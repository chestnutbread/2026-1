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N:\개인\2026\군용엔진관품질인증관련문서모음압축\JSSG-2007A 정리\"/>
    </mc:Choice>
  </mc:AlternateContent>
  <xr:revisionPtr revIDLastSave="0" documentId="13_ncr:1_{1E188335-4298-4236-8D9B-1B9C59AE43D4}" xr6:coauthVersionLast="47" xr6:coauthVersionMax="47" xr10:uidLastSave="{00000000-0000-0000-0000-000000000000}"/>
  <bookViews>
    <workbookView xWindow="-108" yWindow="-108" windowWidth="23256" windowHeight="12456" firstSheet="1" activeTab="1" xr2:uid="{00000000-000D-0000-FFFF-FFFF00000000}"/>
  </bookViews>
  <sheets>
    <sheet name="항우연_자문요청항목" sheetId="1" r:id="rId1"/>
    <sheet name="(평가요청)JSSG-2007A요구도_추적성" sheetId="2" r:id="rId2"/>
    <sheet name="(참고)JSSG-2007A_MOC_용어" sheetId="3" r:id="rId3"/>
    <sheet name="(참고)55종기술분류넘버링(PPT)" sheetId="4" r:id="rId4"/>
    <sheet name="(참고)TA1_시제개발RFP개발요구규격_넘버링" sheetId="5" r:id="rId5"/>
    <sheet name="(참고)TA2_55종기술분류넘버링" sheetId="6" r:id="rId6"/>
    <sheet name="(참고)TA3_시제개발RFP세부개발방안" sheetId="7" r:id="rId7"/>
    <sheet name="(참고)TB1_MIL-HDBK-516C-CH7원천자료_넘" sheetId="8" r:id="rId8"/>
    <sheet name="(참고)TB2_MIL-HDBK-516C-CH15원천자료_" sheetId="9" r:id="rId9"/>
    <sheet name="(참고)TB3_MIL-E-8593A챕터명칭_넘버링"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0" i="2" l="1"/>
  <c r="H219" i="2"/>
  <c r="H217" i="2"/>
  <c r="H216" i="2"/>
  <c r="H215" i="2"/>
  <c r="H214" i="2"/>
  <c r="C34" i="1"/>
  <c r="H218" i="2" l="1"/>
</calcChain>
</file>

<file path=xl/sharedStrings.xml><?xml version="1.0" encoding="utf-8"?>
<sst xmlns="http://schemas.openxmlformats.org/spreadsheetml/2006/main" count="5801" uniqueCount="2971">
  <si>
    <t>JSSG-2007A를 기준으로 터보프롭엔진 시제개발 시 요구도 설정 및 추적성 매트릭스 초안 작성한 결과에 대해 자문요청</t>
  </si>
  <si>
    <t>•	자문 목적: JSSG-2007A 표준을 기반으로 테일러링(Tailoring)한 요구도 설정 결과 및 적합성 입증방법(MOC)의 적절성 검토</t>
  </si>
  <si>
    <t>•	검토 자료: JSSG-2007A 기반 요구도 추적/설정 엑셀 시트 (적용여부, MOC, 근거 등 포함)</t>
  </si>
  <si>
    <t>자문요청질문</t>
  </si>
  <si>
    <t>1:</t>
  </si>
  <si>
    <t>Q1. 시제개발 단계에 따른 '부분 적용(Partial)' 및 '수정 적용(Modified)' 기준의 적절성</t>
  </si>
  <si>
    <t>본 과제는 양산이 아닌 '시제개발' 단계입니다. 이에 따라 JSSG-2007A의 전체 항목 중 신뢰성/수명 관련 일부 항목(예: 장기 내구시험 등)을 '부분 적용' 또는 시제기 비행안전성 확보 수준으로 '수정 적용'하였습니다. (질문) 설정한 [비적용/부분적용/수정적용]의 판단 논리가 시제개발(또는 기술실증) 단계의 통상적인 기준에 부합하는지, 특히 과도하게 완화되거나 반대로 불필요하게 엄격하게 설정된 항목은 없는지 검토를 부탁드립니다.</t>
  </si>
  <si>
    <t>2:</t>
  </si>
  <si>
    <t>Q2. 터보프롭 엔진 특성을 고려한 비적용(N/A) 항목의 타당성</t>
  </si>
  <si>
    <t>JSSG-2007A는 터보팬/터보제트 등을 포괄하는 표준입니다. 이번 터보프롭 엔진 개발 범위에 해당하지 않는 '애프터버너', '가변 노즐', '초음속 흡입구' 등의 항목을 '비적용(N/A)'으로 분류하였습니다. 
(질문) 터보프롭 엔진의 고유 특성(프로펠러 기어박스 연동, 낮은 비행 마하수 등)을 고려할 때, **혹시 '비적용' 처리한 항목 중 터보프롭에서도 필수적으로 고려했어야 하는 놓친 항목(Missing Requirements)**이 있는지 의견을 구합니다.</t>
  </si>
  <si>
    <t>3:</t>
  </si>
  <si>
    <t>Q3. 성능 요구도(Section 3.1)와 RFP 목표 성능 간의 정합성</t>
  </si>
  <si>
    <t>RFP상의 핵심 목표 성능(출력, 비연료소모율, 고도 등)을 JSSG-2007A 요구도 항목에 맵핑하였습니다. (질문) JSSG-2007A의 정성적 요구사항을 RFP의 정량적 수치로 구체화(수정 적용)하는 과정에서, 요구도 기술(Description) 방식이 시험평가 시 판정 기준(Pass/Fail Criteria)으로 삼기에 명확하게 작성되었는지 검토 부탁드립니다.</t>
  </si>
  <si>
    <t>4:</t>
  </si>
  <si>
    <t>Q4. 해석(Analysis) vs 시험(Test) 배분 비율의 적절성</t>
  </si>
  <si>
    <t>비용과 일정을 고려하여, 일부 환경 시험이나 구조 해석 부분을 실제 시험(Test) 대신 해석(Analysis)으로 입증하도록 설정한 항목들이 있습니다. (질문) 엔진 개발의 리스크 관리를 고려할 때, 반드시 실제 시험(Test)이 수행되어야 함에도 불구하고 해석(Analysis)으로만 MOC가 설정된 '과소 검증' 항목이 식별되는지 자문을 구합니다.</t>
  </si>
  <si>
    <t>5:</t>
  </si>
  <si>
    <t>Q5. 구성품 단위(Component) vs 엔진 단위(Engine Level) 검증의 구분</t>
  </si>
  <si>
    <t>압축기, 터빈, 연소기 등 주요 구성품 단위에서 검증할 항목과, 조립된 완성 엔진(Full Engine) 상태에서 검증할 항목을 구분하여 MOC 비고란에 기재하였습니다. 
(질문) 시스템 통합 리스크를 줄이기 위해, 구성품 시험 단계에서 미리 검증을 완료해야 하는데 작성간에 엔진 시험으로 미루어 둔 항목이나, 반대로 엔진 단위에서 상호작용을 봐야 하는데 구성품 시험으로 갈음한 항목이 있는지 검토 부탁드립니다.</t>
  </si>
  <si>
    <t>6:</t>
  </si>
  <si>
    <t>Q6. 제어시스템(FADEC/EEC) 및 S/W 검증 방안(MOC)의 구체성</t>
  </si>
  <si>
    <t>엔진 제어 시스템(Section 3.7)의 검증을 위해 HILs(Hardware-in-the-Loop) 시뮬레이션과 엔진 장착 시험을 병행하는 것으로 계획하였습니다. 
(질문) 최근 감항 인증 추세를 고려할 때, 소프트웨어 및 전자장비의 건전성 입증 방법(MOC)이 JSSG-2007A에 있는 항목만으로 적절한가요?
 혹은 시제개발 단계에서 필수적으로 추가해야 할 검증 절차(Fault Injection Test 등)가 있는지요?</t>
  </si>
  <si>
    <t>7:</t>
  </si>
  <si>
    <t>Q7. 국내 시험 인프라를 고려한 MOC 실현 가능성</t>
  </si>
  <si>
    <t>(질문) 현재 국내 가용 시험 설비(또는 해외 위탁 가능성)를 현실적으로 고려했을 때, 작성된 시험 MOC 중 실행이 불가능하거나 과도한 비용이 예상되어 대체 검증 방법(유사성 검토, 해석 등)으로 변경이 필요한 항목이 있는지 전문가적 식견을 부탁드립니다.</t>
  </si>
  <si>
    <t>8:</t>
  </si>
  <si>
    <t>Q8. 프로펠러-엔진 통합 관련 입증 항목</t>
  </si>
  <si>
    <t>터보프롭의 핵심인 감속기어박스(RGB)와 프로펠러 간의 동적 거동(진동, 공진 등)에 대한 요구도를 포함했습니다. (질문) 엔진 자체 시험뿐만 아니라 프로펠러를 장착한 상태에서의 지상/비행 시험 요구도가 Section 3.4(구조) 및 3.8(설치) 항목에 충분히 반영되었는지, 특히 비틀림 진동(Torsional Vibration) 검증 계획이 적절한지 의견 부탁드립니다.</t>
  </si>
  <si>
    <t>9:</t>
  </si>
  <si>
    <t>Q9. 입증 산출물(Data of Compliance)의 충분성</t>
  </si>
  <si>
    <t>각 MOC 별로 최종적으로 산출해야 할 결과물(성능해석보고서, 시험성적서, 도면 등)을 정의하였습니다. (질문) 향후 체계 적용 및 감항 인증 단계로 진입하기 위해, **이번 시제개발 단계에서 반드시 확보해 두어야 하지만 현재 목록에서 누락된 핵심 산출물(Key Artifacts)**이 있다면 조언 부탁드립니다.</t>
  </si>
  <si>
    <t>10:</t>
  </si>
  <si>
    <t>Q10. 자문요청 드린 표의 추적성 부분 헤더 적절성</t>
  </si>
  <si>
    <t>(질문) 본 표를 작성하면서 JSSG-2007A의 appendix 부분을 먼저 읽고, 3-4장을 읽으면서 필요한 부분을 정리하였고, MOC표를 확인하면서 방법을 도출해보았습니다. 이 방법을 도출하면서SW개발 때처럼 추적성 매트릭스를 작성해보았는데, 이와 관련된 부분이 적절한가요? 또는 이와 관련된 부분에 대해 실제 엔진개발과정에는 어떠한 추적성 매트릭스를 적용하는지, 본 표를 통해 어떻게 수정하면 좋을지 방향성에 대한 조언 부탁 드립니다.</t>
  </si>
  <si>
    <t>11:</t>
  </si>
  <si>
    <t>Q11. 기타의견</t>
  </si>
  <si>
    <t>(질문) 본 표와 관련된 기타의견 있으시면 자유롭게 작성 부탁드립니다.</t>
  </si>
  <si>
    <t>JSSG-2007A를 기준으로 터보프롭엔진 시제개발 시 요구도 테일러링 초안 적용한 결과</t>
  </si>
  <si>
    <t>적용 개수:</t>
  </si>
  <si>
    <t>불가 개수:</t>
  </si>
  <si>
    <t>(시제개발엔진의 RFP범위에 근거하여, 한화AE에서 수행하기 어려운 부분 또는 해당되지 않는 요구도를 식별하였음)</t>
  </si>
  <si>
    <t>수정적용 개수:</t>
  </si>
  <si>
    <t>(한회AE상태를 고려하면 거의 모든 부분이 수정적용 되어야 하지만, 시제개발상태-터보프롭 등을 감안하면 수정 가능한 요구도를 초기에식별하였음)</t>
  </si>
  <si>
    <t>부분적용 개수:</t>
  </si>
  <si>
    <t>(한회AE상태를 고려하면 거의 모든 부분이 부분적용 되어야 하지만, 시제개발상태-터보프롭 등을 감안하면 부분적용 가능한 요구도를 초기 식별하였음)</t>
  </si>
  <si>
    <t>합산</t>
  </si>
  <si>
    <t>순번</t>
  </si>
  <si>
    <t>JSSG-2007A번호체계</t>
  </si>
  <si>
    <t>장/절 명칭(영문)</t>
  </si>
  <si>
    <t>장/절 명칭(한글)</t>
  </si>
  <si>
    <t>정의(3줄이내)</t>
  </si>
  <si>
    <t>근거
(Rationale)</t>
  </si>
  <si>
    <t>적용제안사항
(Guidance)</t>
  </si>
  <si>
    <t>원문적용가능여부</t>
  </si>
  <si>
    <t>비적용/부분적용/수정적용</t>
  </si>
  <si>
    <t>부분적용/수정적용 시 사유</t>
  </si>
  <si>
    <t>부분적용/수정적용을 위한 정의</t>
  </si>
  <si>
    <t>IFR 기준 적합성 입증방법(MOC) 설정결과</t>
  </si>
  <si>
    <t>IFR 기준 적합성 입증방법(MOC)
설정사유(적색: 작성자 추가, 조성욱 교수)</t>
  </si>
  <si>
    <t>수행/적용자료명</t>
  </si>
  <si>
    <t>시제엔진개발 수행/적용현황</t>
  </si>
  <si>
    <t>불가능/부분-수정수행/적용사유</t>
  </si>
  <si>
    <t>부분-수정제공자료명</t>
  </si>
  <si>
    <t>비고</t>
  </si>
  <si>
    <t>추적성 상태</t>
  </si>
  <si>
    <t>추적성 이슈</t>
  </si>
  <si>
    <t>장</t>
  </si>
  <si>
    <t>절</t>
  </si>
  <si>
    <t>IFR 이전 시제개발 활동
(극초반, 중반부)</t>
  </si>
  <si>
    <t>IFR 시점(ref.: JSSG-2007A, TABLE XXXIb)
(중반-후반부)</t>
  </si>
  <si>
    <t>CDR(요구도)</t>
  </si>
  <si>
    <t>원천기술검증</t>
  </si>
  <si>
    <t>요소기술검증</t>
  </si>
  <si>
    <t>(연계과제)연계상태검증</t>
  </si>
  <si>
    <t>구성품단위기술검증</t>
  </si>
  <si>
    <t>지상시험검증</t>
  </si>
  <si>
    <t>고도모사시험검증</t>
  </si>
  <si>
    <t>Interface and installation</t>
  </si>
  <si>
    <t>인터페이스 및 장착</t>
  </si>
  <si>
    <t>ㆍ엔진을 운용하기 위해 필요한 기계적/전기적/전자적(SW)인터페이스를 제시
ㆍ엔진-항공기(지상조종)간 입출력 항목 정의 필요(문서에는 항공기-엔진으로 명시)
ㆍ제어계 인터페이스는 추력/출력/토크 등의 제어명령을 수신/처리/로깅 가능해야함
ㆍ파워 레버 각도(PLA)신호 해석 규칙은 인터페이스화하여 제시</t>
  </si>
  <si>
    <t>ㆍ엔진–항공기 인터페이스는 탑재 적합성·구조 건전성·성능 달성을 좌우하는 필수 설계요소
ㆍ초기 단계부터 엔진사–기체사 간 책임·경계·요구치를 명확히 해야 통합 리스크 저감 가능
ㆍ인터페이스 조건의 명문화는 장착 적합성·요구 성능 보장·검증 용이성 확보</t>
  </si>
  <si>
    <t>ㆍ인터페이스는 ICD(그림/표 포함)로 제시
ㆍM-ICD는 정적/기동 하중(축력·전단·모멘트) 허용치를 MIL-HDBK-1783 기준으로 명시
ㆍ윤활·연료·전기·제어 등 계통별 인터페이스 도식을 ASME Y14.24 양식으로 제공
ㆍ3D CAD 제출·검증 절차를 명기
ㆍESICD는 전기-전자적 내용을 그림/표 포함으로 제시</t>
  </si>
  <si>
    <t>ㆍ과거엔 개요도/개략도로 기술했으나, CAD 기반 상세 정의가 비용·일정 단축에 유리
ㆍ프로젝트 간 인터페이스 문서 표준화가 진전되며 변경 관리·재사용성이 향상
ㆍ최신 사업에서는 표준화된 ICD + CAD 데이터 패키지로 명확·효율적 인터페이스 정의가 권장</t>
  </si>
  <si>
    <t>적용</t>
  </si>
  <si>
    <t>-</t>
  </si>
  <si>
    <t>I, De</t>
  </si>
  <si>
    <t>D</t>
  </si>
  <si>
    <t>ㆍ요구 인터페이스의 형태·치수 등을 검사
ㆍ장착/설치 과정을 시범 운용하여 요구사항 충족을 확인</t>
  </si>
  <si>
    <t>Installation hardware</t>
  </si>
  <si>
    <t>하드웨어 설치</t>
  </si>
  <si>
    <t>ㆍ항공기(지상운용시스템)에 엔진이 장탈착하는 과정 중에 과도한 하드웨어 사용 지양
ㆍ다발항공기의 경우 좌/우 변경 장탈착시에도 과도한 하드웨어 사용 지양</t>
  </si>
  <si>
    <t>ㆍ장착 하드웨어 최소화는 예비부품·직접 정비 노동 감소로 가용성을 높임
ㆍ다양한 다발기관 형상에 부품 교체/위치 변경 없이 탑재 가능하면 정비 시간이 단축
ㆍ결과적으로 재고 축소·정비 TAT 감소·운용 효율 향상의 효과 있음</t>
  </si>
  <si>
    <t>ㆍ교체/조정 필요 부품 목록을 식별·명시
ㆍ제어계·외부 구성품의 대규모 재배치가 필요해지는 설계 변경은 지양
ㆍ다발 엔진 기체에서도 좌/우측 장착 시 추가 하드웨어 변경이 없도록 대칭/공용 설계 적용</t>
  </si>
  <si>
    <t>ㆍ보고된 바 없음</t>
  </si>
  <si>
    <t>수정적용</t>
  </si>
  <si>
    <t>ㆍ현재, 시제개발 엔진은 개발간에 
   다발항공기를 고려하고 있지 않음</t>
  </si>
  <si>
    <t>ㆍ다발항공기 고려한 조항은 제외하고 적용</t>
  </si>
  <si>
    <t>ㆍ엔진 장탈착 시에 필요한 하드웨어 리스트 확인
ㆍ엔진을 다양한 구조에 장탈착하는 과정을 확인
ㆍ엔진 장탈착 중 과도한 설치하드웨어 지원 필요여부 확인</t>
  </si>
  <si>
    <t>Interface loads</t>
  </si>
  <si>
    <t>인터페이스 하중</t>
  </si>
  <si>
    <t>ㆍ항공기-엔진 간의 인터페이스되는 모든 부품에 허용되는 최대 하중 제시 필요</t>
  </si>
  <si>
    <t>ㆍ엔진–항공기 접합부 하중 한계 정보를 ICD에공유하고 허용 한계 내에서 설계·운용 필요
ㆍ사전 합의된 하중 한계는 과하중·구조 손상·재설계 리스크를 예방할 수 있음
ㆍ결과적으로 장착 신뢰성과 검증 용이성(해석/시험 일치)을 높임</t>
  </si>
  <si>
    <t>ㆍM-ICD에 하중/변위 한계치 포함 및 명확히 기술
ㆍ흡입구 플랜지, 추진 레버 연결부, 입자분리기 입·출구, 시동기/발전기, PTO, 
   배기 접속부 등—엔진사가 해석 산출 후 기체사와 합의
ㆍ방빙/제빙, 연료, 전기, 유압, 공기, 워터세척 등 기타 인터페이스에서 유래하는 하중도
   포괄적으로 포함(권고사항)</t>
  </si>
  <si>
    <t>Main mounts</t>
  </si>
  <si>
    <t>주 마운트</t>
  </si>
  <si>
    <t>ㆍ엔진 마운트는 탄성한도·파단한계를 명확히 규정해 정상 운용/수명 전주기 구조강도를 보장해야 함
ㆍ다발 엔진은 단일 장착점 고장 발생 시에도 엔진 탈락·연료 화재 방지로 비행/지상 안전을 유지해야 함
ㆍ엔진–기체 결합부가 허용 하중 내에서 동작하도록 설계·검증 일관성을 확보해야 함</t>
  </si>
  <si>
    <t>ㆍ최대 설계하중·방향·자이로 모멘트·외력·안전계수를 반영해 탄성한도/파단하중을 산정·명시
ㆍ마운트 위치를 도면/ICD에 특정(이중 마운트 포함)하여 엔진·기체 공통 설계 기준선을 일치화
ㆍ3.4(내구/강도/손상허용), 3.4.1.7(파손 기준)과 연계
ㆍFAR Part 33 수준의 탄성/극한 강도 요구를 충족해야 함</t>
  </si>
  <si>
    <t>ㆍ과거 장착점 피로 균열/이탈 사고 사례는 단일 장착점 고장 대비 설계의 중요성을 입증
ㆍ일반적으로 다발: 전방 2 + 후방 1, 단발: 4점 배치
ㆍ한 점 고장에도 위치·작동 유지 설계를 적용
ㆍ마운트 볼트 피로가 대표 고장모드이므로 재질 선택·피로수명 관리·점검주기를 강화</t>
  </si>
  <si>
    <t>A, De</t>
  </si>
  <si>
    <t>Ground handling mounts</t>
  </si>
  <si>
    <t>지상운용 마운트</t>
  </si>
  <si>
    <t>ㆍ지상 취급용 마운트는 엔진+부착 장비/외장품/유체 포함 전체를 엔진 질량중심에서
   작용하는 최대 관성하중 조합 하에서도 마운트 변형·엔진 손상 없이 지지해야함
ㆍ각 지상 취급 마운트의 위치와 상세 설명은 명시된 규격/도면을 준수
ㆍ마운트 배치(Arrangement)는 주 마운트, 지상운용 마운트 상호 호환성 필요
(a) 하중 능력: 마운트는 최소 축방향 4g, 측방향 2g, 수직 3g 하중을 처리할 수 있어야 함
(b) 인터페이스 명시: ICD에 제시하거나, ICD가 없으면 해당 사양 문단에 인터페이스를 기재
(c) 지상장비 식별: 사용자 부대(Using Service)는 사용 예정 지상 취급 장비를 국가재고번호(NSN)와 명칭으로 식별</t>
  </si>
  <si>
    <t>ㆍ엔진 설치·분리·정비 시 지지를 위해 전용 지상 취급용 마운트 필수
ㆍ리프팅/이동 과정의 안전·효율 확보를 위해 충분한 강성·강도가 요구
ㆍ작업 중 전도·충격·진동에 의한 손상 위험을 구조적으로 억제해야함</t>
  </si>
  <si>
    <t>ㆍ지상 취급 상태에서의 최대 관성하중/가속도 조건을 명시하고 허용 변형/손상 기준을 설정
ㆍ지상 지원장비(GSE) 기계적/전기적 인터페이스(리프팅 러그 위치·규격·강도, 체결 방식)를 규정
ㆍ하중 경로·보강부·용접/볼트 체결 등 세부 설계·검증(해석/시험) 절차를 문서화</t>
  </si>
  <si>
    <t>ㆍ지상 취급용 마운트/지지장비 설계 미흡으로 변형·균열이 발생한 사례가 
ㆍ초기 설계에서 강성/국부 좌굴·피로를 충분히 평가하지 않으면 탈착 중 파손 위험 증가
ㆍ보수적 하중 케이스와 제조 공차/손상 허용성을 반영한 설계·검증이 문제 예방에 효과적</t>
  </si>
  <si>
    <t>D, E</t>
  </si>
  <si>
    <t>Engine stiffness</t>
  </si>
  <si>
    <t>엔진 강성</t>
  </si>
  <si>
    <t>ㆍ터보샤프트/터보프롭 엔진은 출력축 단부에 가해지는 힘·모멘트에 대해 
   장착점 기준의 엔진 저항 강성을 명시
ㆍ자유–자유(Free-Free) 조건의 1차 횡·수직 굽힘 모드를 제시해야함
ㆍ강성/모드 정보는 엔진–기체 접합부 해석(하중 전달·공진 회피)에 사용 가능해야함</t>
  </si>
  <si>
    <t>ㆍ장착 엔진에 작용하는 응력·변위·하중 계산을 위해 엔진 구조 강성 데이터 필수
ㆍ터보프롭/터보샤프트는 출력축 단부 하중·모멘트에 대한 강성값이 항공기 구조/진동 해석의 핵심 입력
ㆍ적절한 강성 정의는 하중 경로 설계·공진 회피·구조 건전성 확보로 직결</t>
  </si>
  <si>
    <t>ㆍ출력축에 대한 힘/모멘트–변위관계(강성)를 수치/그래프로 명시
ㆍ강성 수치는 기체 설계자가 엔진–기체 접합부 공진 회피, 하중 분산 설계에 활용
ㆍ주요 모드의 고유진동수가 기체 구조 작동 주파수와 충분히 격리되도록 설계·검증</t>
  </si>
  <si>
    <t>ㆍ초기 설계에서 최초 고유모드 주파수를 기체 위험 주파수와 중첩되지 않게 배치해야함
ㆍ과거 일부 엔진에서 블레이드 진동 피로 민감도가 높아 강성/모드 설계의 중요성이 확인됨
ㆍ강성·모드 형상·감쇠를 통합 최적화하면 피로 수명·신뢰성이 유의미하게 향상됨</t>
  </si>
  <si>
    <t xml:space="preserve">ㆍ엔진 장착점의 강성치를 해석(계산)
ㆍ요구된 강성 조건을 만족하는지 검증
ㆍ필요시, 지상시험 중 전체 인터페이스 장착된 상태로
   진동측정데이터를 통해 강성수치 분석하여 해석결과와 비교분석 </t>
  </si>
  <si>
    <t>Power command lever and signal</t>
  </si>
  <si>
    <t>출력 명령레버 및 신호</t>
  </si>
  <si>
    <t>ㆍ출력명령의 위치/신호정보 정의는 ICD에 명시
ㆍ레버입력-엔진출력 관계는 비례응답(선형)관계 필요</t>
  </si>
  <si>
    <t>ㆍ조종계–엔진제어계 간 정확한 인터페이스 확보를 위해 출력(추력) 지시 레버 특성과 범위를 명시
ㆍ입력(레버각도 등)–엔진 출력 간 의미와 유효 범위를 정의하면 조종 명령이 일관된 엔진 응답으로 연결
ㆍ명확한 규정은 해석·시험·운용 매뉴얼의 기준선이 되어 통합 리스크를 저감</t>
  </si>
  <si>
    <t>ㆍ최대/최소 레버 각도, 단계/증분별 출력 응답 특성(매핑), 선형성/히스테리시스/데드존 기술
ㆍ레버 조작력·스트로크·인체공학(허용 토크/힘, 이동 거리, 감도)을 포함해 조종 피로 최소화
ㆍ보정·검정절차(센서스케일·오프셋, 케이블/전기 인터페이스, 한계 스위치) 규정
ㆍ허용 공차 제시</t>
  </si>
  <si>
    <t>ㆍ레버 감도/범위 정의가 불명확하면 불필요한(초과, 저수준 등) 응답특성, 조종 불편 발생
ㆍ비례관계(레버-출력)를 명확히 해야함
ㆍ지상/HILS/비행 단계별 응답 일관성 시험으로 레버–엔진 매핑을 검증, 추적성에 근거해서 관리
ㆍ유지보수 시 재보정·유격 점검을 누락하면 편차가 누적되므로 주기적 검·교정 절차화</t>
  </si>
  <si>
    <t>ㆍ무인항공기를 고려하고 있지 않음
ㆍIP/EP등의 특성을 고려하고 있지
   않음</t>
  </si>
  <si>
    <t>ㆍ무인항공기 엔진임을 고려해야 함
ㆍ탑승파일럿이 아니기 때문에, 포스피드백을
   고려하고 적용해야 할 필요 있음</t>
  </si>
  <si>
    <t>I, A, De</t>
  </si>
  <si>
    <t>Load demand command and signal</t>
  </si>
  <si>
    <t>부하 변화명령 및 신호</t>
  </si>
  <si>
    <t>ㆍ터보샤프트 엔진에 필요 시, 제어 인터페이스에 급격한 파워 흡수기(부하) 변화 
   보정 수단을 제공
ㆍ항공기 부하 요구 출력 신호와 엔진 제어계 인터페이스 간 완전한 호환성을 확보
ㆍ엔진 출력은 파워 레버 입력에 대해 연속적이며 비례(상수 이득) 관계를 유지</t>
  </si>
  <si>
    <t>ㆍ동력 요구 변동에 대응하기 위해 부하(토크) 요구 신호 처리가 필요
ㆍ해당 신호로 엔진이 동력전달계(로터 등) 부하 변화를 감지·예측해 출력을 적절히 조정
ㆍ결과적으로 추력/토크 안정화, 과·저응답 방지, 시스템 일체 성능을 확보</t>
  </si>
  <si>
    <t>ㆍ부하 요구 신호의 정의·전기적 인터페이스(전압/전류/프로토콜)·정상 범위를 사양에 명시
ㆍ신호 수신 시 제어기가 수행할 동작로직(출력 증대/감소, 제한기 우선순위, 램프율)을 규정
ㆍ진단 비트/유효성 체크(타임아웃, 범위 초과, 고장 안전 상태)와 시험·검정 절차를 포함</t>
  </si>
  <si>
    <t>ㆍ초기 단계에 항공기 시스템 요구와 신호 정의를 일치시켜야함(부조화/진동·과도 응답 문제 예방)
ㆍHW/SW 통합 전 HILS/리그시험으로 인터페이스·응답 일관성을 검증하는 것이 효과적
ㆍ유지보수 시 스케일/오프셋 재보정, 배선·접지 점검을 절차화(장기적 신뢰성 확보)</t>
  </si>
  <si>
    <t>ㆍ 터보프롭엔진 고려하고 있지 않음
ㆍ무인항공기를 고려하고 있지 않음
ㆍIP/EP등의 특성을 고려하고 있지
   않음</t>
  </si>
  <si>
    <t>ㆍ 터보프롭엔진 특성에 맞는 수정적용 필요
ㆍ무인항공기 엔진임을 고려해야 함
ㆍ탑승파일럿이 아니기 때문에, 포스피드백을
   고려하고 적용해야 할 필요 있음</t>
  </si>
  <si>
    <t>Output speed lever and signal</t>
  </si>
  <si>
    <t>출력 속도 레버 및 신호</t>
  </si>
  <si>
    <t>ㆍ터보프롭/터보샤프트 엔진에 출력축 속도 제어용 별도 레버와 신호를 제공해야함
ㆍ항공기 출력속도 레버 신호와 엔진 제어계 인터페이스 간 완전 호환을 보장
ㆍ선형 속도 요구 입력에 대해 출력축 속도가 돌발 변화 없이 부드러운 출력 제공해야함</t>
  </si>
  <si>
    <t>ㆍ조종사가 지정한 RPM을 유지하기 위해 조속 레버(속도 레버) 기능을 명확히 규정해야함
ㆍ가변 피치 프로펠러/로터를 운용하는 터보프롭/터보샤프트에서 속도 유지(거버닝)는 
   비행 성능·안정성에 직결
ㆍ레버–엔진 간 명확한 매핑은 조종 명령이 일정 RPM 유지로 이어져 과·저응답을 방지</t>
  </si>
  <si>
    <t>ㆍRPM 설정 범위·분해능·비선형 구간(데드존/히스테리시스), 신호 형식(전압/전류/디지털)을 명시
ㆍ조속기(ECU/FADEC)가 연료유량/피치/토크 제한기를 어떻게 조합해서 목표 RPM을 유지
   하는지 응답 특성을 규정(MISO시스템 특성에 적합한 규정결과 필요)
ㆍ레버–엔진 응답/매핑함수, 제한기 우선순위, 램프율·필터링(급변 억제) 및 고장안전 상태를 정의</t>
  </si>
  <si>
    <t>ㆍ설정 범위와 실제 응답의 스케일/오프셋 불일치로 시험 단계에서 재조정 사례 있음
ㆍ모델/HILS 단계에서 레버 입력↔엔진 출력 관계를 충분히 검증·보정하면 시험 리스크 경감
ㆍ조종계(항공기)·엔진제어계 간 인터페이스 합치(프로토콜/단위/필터)를 초기에 정렬해야함</t>
  </si>
  <si>
    <t>Fuel shutoff lever and signal</t>
  </si>
  <si>
    <t>연료 차단 레버 및 신호</t>
  </si>
  <si>
    <t>ㆍ엔진의 연료공급을 차단하는 레버와 신호를 제공해야함</t>
  </si>
  <si>
    <t>ㆍ비상 상황에서 조종석 입력만으로 연료 공급을 즉시 차단해 엔진을 안전 정지할 수 있어야 함
ㆍ일부 엔진은 일반 출력 레버만으로 완전 차단 불가하므로 독립된 연료 차단 레버/신호를 규정해야 함
ㆍ명확한 차단 기능은 화재/추가 손상 방지, 비행·지상 안전 확보의 최종 방어선 역할을 함</t>
  </si>
  <si>
    <t>ㆍ차단 메커니즘(연료 차단 밸브)의 작동 조건·위치·전기/논리ICD와 표준 표기(라벨)를 명시
ㆍ차단 시 감속/정지 시퀀스, 연료·점화·제어 해제 순서, 복귀 절차(리셋/재시동 안전 조건)를 규정
ㆍ오작동 방지(가드/이중 동작·인터록·타임아웃·유효성 체크)와 지상/비행 점검·시험 절차를 포함</t>
  </si>
  <si>
    <t>ㆍ실제 사례에서 조종석 차단 레버가 연료제어장치와 불완전 연동되어 정지 실패가 발생
ㆍ설계 단계에서 신호 경로·전원·접점 신뢰성을 확보
ㆍ긴급차단 지상/비행 검증으로 확실성을 입증해야함
ㆍ정비 시 센서/밸브 작동 시험·배선/접지 점검·재보정을 주기화하여 장기 신뢰성을 유지</t>
  </si>
  <si>
    <t>Lever torque</t>
  </si>
  <si>
    <t>레버 조작 토크</t>
  </si>
  <si>
    <t>불가</t>
  </si>
  <si>
    <t>비적용</t>
  </si>
  <si>
    <t>ㆍ원격조종을 고려해야 함</t>
  </si>
  <si>
    <t>ㆍ관련 항목에 포스피드백을 넣어서 요구도 작성
ㆍ유압/전자식의 경우, 포스피드백 제공 언급하고 있음</t>
  </si>
  <si>
    <t>Subsystem interfaces</t>
  </si>
  <si>
    <t>부체계 간 인터페이스</t>
  </si>
  <si>
    <t>ㆍ엔진은 항공기/지상지원(GSE)이 요구하는 모든 신호를 송수신 해야 하며, 신호 목록·특성(기계-물리/전기/논리)ICD를 명시
ㆍ전통적인 SW ICD뿐만 아니라, M-ICD, ESICD등 여러 레벨의 ICD를 치밀하게 작성하고 명시
ㆍ엔진을 구성하는 Subsystem 등에 대해 커넥터/핀아웃, 전압/전류/레벨, 프로토콜/진단, 환경/EMC 요구를 규정
ㆍ항공기↔엔진 제어/모니터링 컴퓨터 간 디지털 메시지 포맷(데이터필드)과 타이밍(주기/전송률)을 본 사양에 구체적으로 규정</t>
  </si>
  <si>
    <t>ㆍ엔진 서브시스템(연료·윤활·제어·냉각 등)과 항공기/타계통 간 ICD 정의해야 통합 후 정상운용 가능
ㆍ명확한 인터페이스는 호환성·안전성·정비성을 확보하고, 장착·시험 단계의 리스크 경감
ㆍ사전 합의된 기준은 요구 추적성/검증 용이성을 높여 변경·재작업을 최소화</t>
  </si>
  <si>
    <t>ㆍ서브시스템별 포트/배관 규격, 유량·압력·전압 한계, 신호/제어 인터페이스 규정 및 수치적 명시
ㆍ연료 입구 압력/온도, 윤활유 배출 온도 범위, ECU 전원·신호 커넥터 규격/핀아웃·프로토콜 등
ㆍ각종 엔진 내부제어 성능/상태변수 파라미터, 외부제어 성능/상태변수 파라미터 등 TmTc 필요 
ㆍICD 문서는 사양 본문+도면(3D CAD 포함)+기타 필요사항양식 등으로 제공
ㆍICD 의 검정·수락 기준을 함께 제시</t>
  </si>
  <si>
    <t>ㆍICD 미흡으로 냉각 공기 배출 라인 불일치→과열 등 통합 문제 사례가 발생
ㆍ초기 합동 설계(엔진사×기체사)와 조기 ICD 확정이 재설계·지연을 크게 경감
ㆍ체계적 리그/HIL 시험과 문서화(로그·변경관리)로 호환성 검증을 선행하는 것이 효과적</t>
  </si>
  <si>
    <t>Bleed air interfaces</t>
  </si>
  <si>
    <t>블리드에어 인터페이스</t>
  </si>
  <si>
    <t>ㆍ블리드에어 운영계통 없음</t>
  </si>
  <si>
    <t>ㆍ비적용 그대로 유지</t>
  </si>
  <si>
    <t>Customer bleed air contamination</t>
  </si>
  <si>
    <t>탑승객 블리드에어 오염</t>
  </si>
  <si>
    <t>ㆍ무인항공기 고려 필요</t>
  </si>
  <si>
    <t>Drains and fluid collection devices</t>
  </si>
  <si>
    <t>배출액체 집수 장치</t>
  </si>
  <si>
    <t>ㆍ유체 드레인 위치/특성/수집 요구도 필요함
ㆍ엔진에서의 유체 누설은 전용 드레인을 제외하고 지정된 용량(cc/hr)을 초과하면 안됨
ㆍ모든 드레인 유입 유량과 정상 운전 후 셧다운 시 가연성 유체 최대 배출량을 요구도로 제시해야함
ㆍ드레인은 정지 상태와 전체 운용영역에서 정상 작동해야함
 ㆍ서로 다른 유체 종류의 드레인 간 상호 혼합은 금지</t>
  </si>
  <si>
    <t>ㆍ운용 중 누설될 수 있는인화성 액체(연료·오일·유압액)를 안전 배출/포집해서 고온 부위 
   장시간 체류로 인한 화재 위험 차단 필요
ㆍ누설 경로를 의도된 드레인 경로로 통제해 엔진/기체 내부 오염·부식·슬립 위험을 최소화
ㆍ규정된 드레인 요구는 정비 점검성·검증 용이성을 높여 운용 신뢰도를 향상시킴</t>
  </si>
  <si>
    <t>ㆍ구역별 드레인 포인트를 설정하고 배치·구경·기울기·유량 한계를 사양에 수치로 명시(정지/전 운용영역 유효)
ㆍ연료·윤활·유압 등 유체별 라인 분리(비상호연결), 
ㆍ연료·윤활·유압 등 유체별 저점 수집·안전 배출(포집탱크/오버보드)
ㆍ연료·윤활·유압 등 유체별 동결·막힘 방지(히터/차수필터)를 설계
ㆍ비행 중 배출 허용/금지 정책수립 필요
 ㆍ지상 점검용 드레인 포트 접근성 중요하고, 마킹 및 누설 확인 절차를 규정해야 함</t>
  </si>
  <si>
    <t>ㆍ미흡한 드레인으로 카울 내부 연료 고임으로 인해 화재 위험 사례 발생
ㆍ모든 인화성 액체는 즉시 포집/안전 배출이 필수적임
ㆍ드레인 라인 막힘/동결은 누설 축적의 주요 원인이므로 가열·보온·배수 경로 이중화, 외부모니터링/내부센서 기반 주기 점검 필요
ㆍ설계·시험 단계에서 유량 시험/색소 추적/스모크 테스트로 실제 배출 경로를 검증해 사고 전 예방필요</t>
  </si>
  <si>
    <t>ㆍ연료·오일·유압유 등의 드레인 배관과 집수장치 구비 여부 및
   시스템 크기 검사
ㆍ요구 기능을 충족함을 확인</t>
  </si>
  <si>
    <t>Power absorber interface</t>
  </si>
  <si>
    <t>동력흡수장치 인터페이스</t>
  </si>
  <si>
    <t>ㆍ파워 흡수기 인터페이스 ICD/사양 문단에 파워 흡수기 허용 특성 범위(J, Kₜ, Cₜ, 정적/동적 하중, 회전 방향, 스플라인,
   정렬 허용치 등)와 공진 회피 기준을 명시
ㆍ출력축 양방향 스러스트 연속 흡수 능력을 정의해야함(권고사항 기재한거 활용)
ㆍ토크 신호의 경우, 전영역 연속성, 정확도(과도한계포함) 기준조건 제시하여 준수, 분해/재조립 후 무재보정 유지 필요
ㆍ토크 센서 정확도(속도의존)의 경우, 제시된 기준 충족여부 확인 필요 
ㆍ엔진–파워 흡수기 결합 토션 모델/HILS로 공진금지 성능 달성해야하므로, 공진주파수 전파 차단 검증(모드 격리, 감쇠 확보)
(a)ICD/사양 문단에 파워 흡수기 허용 특성 범위(J, Kₜ, Cₜ, 정적/동적 하중, 회전 방향, 스플라인, 정렬 허용치 등)와 공진 회피 기준을 명시
(b)출력축 양방향 스러스트 연속 흡수 능력: 정상상태 토크 한계에서 ≥ (b)=20% 주연력 기준 충족 시험/해석
(c-e)토크 센서 정확도(속도 의존): (c)=50% ~ (d)=110% N_rated 구간에서 ±(e)=2%@MCP 충족
(f)토크 신호: 전영역 연속성, 정확도 ±(f)=2%(MCP~과도 한계), 분해/재조립 후 무재보정 유지</t>
  </si>
  <si>
    <t>ㆍ동력흡수장치–엔진 인터페이스를 표준화해야 양산 시 상호 호환성과 교체성(plug-compatible)을 보장
ㆍ출력축 토크·속도 특성을 명확히 하면 엔진–트랜스미션/발전기/로터 간 적합성·신뢰성을 확보
ㆍ규정된 인터페이스는 설계/제작/검증 단계의 불확실성을 줄이고 통합 리스크를 저감</t>
  </si>
  <si>
    <t>ㆍ형상/치수/스플라인 규격/회전방향, 최대 토크·RPM·허용 변동 등 출력축 사양을 수치로 명시
ㆍ클러치·토크 제한장치 요구(과도 부하/시동·정지 이벤트 보호)와 강성 조율·윤활 공유 여부를 규정
ㆍ정렬(러너웃/동심도)·공차, 허용 축변위/각변위, 시스템 연동 시험(HILS/리그) 절차를 포함</t>
  </si>
  <si>
    <t>ㆍICD 설계 미흡은 과도 응력·마모·베어링 과부하를 유발(예: 출력축 정렬 불량 사례)
ㆍ치수 공차·정렬 요구를 엄격하게 준수
ㆍ양산 전 시스템 레벨 연동 시험으로 조기 결함을 식별해야함
ㆍ운용 전/후 토크 스펙트럼·진동(ODS)·정렬 점검을 절차화해서 수명·가용성 개선사례 있음</t>
  </si>
  <si>
    <t>ㆍ엔진 출력에 연결되는 동력흡수 장치(e,g, 프로펠러 등)의
   ICD기반 체결 실시하고 실제 시험을 통해 확인
ㆍ개발과정 중 가상데이터 기반 ICD시험을 통한 검증
ㆍ엔진–파워 흡수기 결합 토션 모델/HILS로 
   공진 전파 차단 검증(모드 격리, 감쇠 확보)</t>
  </si>
  <si>
    <t>Power takeoff</t>
  </si>
  <si>
    <t>동력 추출</t>
  </si>
  <si>
    <t>ㆍ항공기 부속품 구동을 위해 PTO 기반 동력이 제공되는 경우, 정격, 여유 공간, 치수 및 기타 관련 정보를 ICD에 명시하고 준수
ㆍ출력 드라이브 샤프트 추력(스러스트) 흡수 능력, 토크 지시 신호 및 정확도 요구, 공진전파 차단 검증 필요</t>
  </si>
  <si>
    <t>ㆍ동력추출은 엔진 기계동력을 외부 장치로 전달하는 핵심 인터페이스
ㆍ형상·속도·토크 등 정량 특성 제공이 기체·보조장치와의 원활한 동력 연계를 보장
ㆍ명확한 스펙은 통합 리스크 감소와 성능/신뢰성 예측성 향상에 기여</t>
  </si>
  <si>
    <t>ㆍ위치·회전수 범위·정격 토크·회전방향 등 PTO 패드/기어박스 사양을 수치로 명시
ㆍ유압펌프·발전기 등 대표 장비 규격(군표준 등)을 인용해 장착 호환성을 확보
ㆍPTO 사용 시 엔진 성능 영향(마력 손실·한계치)을 명시해 기체 성능 계산에 반영
ㆍPTO는 구동 패드이므로 3.7.16을 준수해야함(터보프롭)
ㆍ또한, 시동 구동 토크는 일반적으로 PTO를 통해 적용되며 3.1.1.11.1과 일치해야함</t>
  </si>
  <si>
    <t>ㆍPTO 정보 미비로 부적합 커플링/정렬 문제가 통합 단계에서 발생한 사례 있음
ㆍ관련 표준 기반 인터페이스와 시뮬레이터/리그 부하 시험으로 조기 검증이 효과적
ㆍ설계·시험 전 과정에서 호환성 확인(공차·키/스플라인 규격·동특성)을 체계적으로 수행</t>
  </si>
  <si>
    <t>Starting drivetrain</t>
  </si>
  <si>
    <t>시동용 드라이브트레인</t>
  </si>
  <si>
    <t>ㆍ시동 토크 수용능(acceptance capability), 즉, 충격하중(impact load)에서도 스타터 드라이브트레인 파손 방지가 가능해야 함
ㆍ시동토크/회전속도(3.1.1.11.1) 및 지상시동(3.2.2.3.1) 요구조건 만족 필요
ㆍ항공기 시동 드라이브트레인 고장이 발생해도 잔여 기어박스 기능 상실되지 않도록 고장격리 필요
ㆍ스타터 드라이브 패드 특성을 포함, 시동 패드에서 바라본 회전방향을 본문에 명시해서 작성(후반부 Table1)
ㆍ엔진 인터페이스를 통해 시동 드라이브트레인의 공진 주파수 전파 금지</t>
  </si>
  <si>
    <t>ㆍ시동 드라이브트레인은 엔진 제작사 외 공급도 많아 기계·기능 인터페이스 명문화 필수
ㆍ시동 토크/속도와 드라이브 치합 조건을 명확히 해야 저온/고고도 등 비정상 환경하의 시동 신뢰성 확보 가능
ㆍ표준화된 요구는 통합 리스크·재작업을 줄이고 양산 호환성을 높임</t>
  </si>
  <si>
    <t>ㆍ위치·형상(기어/스플라인)·회전방향, 요구 토크/속도, 최대 연속 시동시간·쿨다운을 수치로 규정
ㆍ전원/공급 조건(전기 스타터(전압·전류·전력), 공기식 스타터(공급압·유량))을 명시하고 허용 편차 정의
ㆍICD/사양 본문 + Table I에 패드 특성·핀아웃/커넥터·환경/EMC·공진 회피 기준까지 포함해야함</t>
  </si>
  <si>
    <t>ㆍ기어비·전원 매칭 불량으로 저온 시동 실패·치합 문제 사례 있음, 초기 단계 요구 일치·검증 필요
ㆍ시뮬레이션/HILS·리그 시험으로 토크 램프·충격하중·공진을 조기 확인하면 통합 리스크 크게 감소
ㆍ여유 마진(저온/고고도)과 고장 격리 요구(기어박스 기능 유지)를 명확히 반영해야함</t>
  </si>
  <si>
    <t>부분적용</t>
  </si>
  <si>
    <t>ㆍ남극/알래스카 등의 극저온 시험이
   본 개발에 적합한지 검토 필요</t>
  </si>
  <si>
    <t>ㆍ국내 겨울환경 중 가장 보수적인 저온환경을 
   극저온시험조건으로 대체할 필요 있음</t>
  </si>
  <si>
    <t>Starting torque and speed</t>
  </si>
  <si>
    <t>시동 토크 및 회전속도</t>
  </si>
  <si>
    <t>ㆍ시동토크/드라이브속도는 ICD에 명시하면서, 엔진내부저항, 기어박스저항 등을 포함
ㆍ주위 온도 및 해수면부터 3.2.2.3.3에서 규정한 최대 고도까지의 고도, 그리고 스타터 보조 공기를 사용한 공중 시동에 대해, 
    각 영향 단독/복합 효과가 명세서에서 규정한 최악 조건의 연료를 사용한 경우로 제시되어야함 
(a) 고객 블리드 공기 추출 없음, 모델 사양서에 규정된 고객 전력 추출 조건
(b) 허용 가능한 최대 고객 블리드 공기 추출, 모델 사양서에 규정된 고객 전력 추출 조건</t>
  </si>
  <si>
    <t>ㆍ시동 최소 토크·속도를 수치화하면 적정 용량의 시동장치 선정·설계 근거로 사용 가능
ㆍ명확한 요구는 신뢰 시동(각 환경/고도/연료 조건)을 담보하고 통합 리스크를 저감
ㆍ엔진·기어박스 드래그 포함 규정은 실사용 조건과의 괴리를 저감</t>
  </si>
  <si>
    <t>ㆍ최저 시동 토크(N·m), 돌리기 속도(RPM)를 드래그 포함으로 산출·명시(공차·내부 압축비 반영)
ㆍ온도×고도×공중시동(스타터 보조) 매트릭스별 토크–속도 곡선을 제시(연료 최악조건)(Fig.2활용)
ㆍ여유계수를 부여해 혹한/고고도 등 최악 조건에서도 점화 RPM 도달을 보장</t>
  </si>
  <si>
    <t>ㆍ요구 과소평가로 저온 시동 실패/지연 사례 존재 → 스타터 용량 증강 필요가 발생
ㆍ설계 단계에서 시뮬레이션·리그시험으로 토크–속도–환경 상관을 조기 검증해야함
ㆍ최악 조건 기반 요구 설정이 시험/운용 리스크를 실질적으로 저감 가능</t>
  </si>
  <si>
    <t>Thrust reverser interface</t>
  </si>
  <si>
    <t>역추진 인터페이스</t>
  </si>
  <si>
    <t>ㆍ역추진장치 SOR 없음</t>
  </si>
  <si>
    <t>Exhaust system interface</t>
  </si>
  <si>
    <t>배기시스템 인터페이스</t>
  </si>
  <si>
    <t>ㆍ엔진과 배기계 부품 간 모든 배기 인터페이스에 대해, 정적(1g) 전단·축방향·모멘트 하중의 최대 허용치(주축 x, y, z)는 ICD에 명시
ㆍ또한, 3.4.1.2.1에서 정의한 최대 기동 하중에 대한 각 배기 인터페이스의 최대 허용 하중도 규정
ㆍ배기 인터페이스에서 고온 배기가스 누설은 금지되어야함
ㆍ배기계와 엔진 사이로 유해한 공진 주파수의 전달이 없어야함</t>
  </si>
  <si>
    <t>ㆍ배기 인터페이스 하중·온도·진동 정보를 초기부터 공유해야 구조 건전성·성능을 확보할 수 있음
ㆍ항공기쪽 부분파츠(덕트/IR 감쇠장치 등) 설계가 엔진 허용치 내에서 이뤄지도록 참조 기준을 제공
ㆍ명확한 정의는 누설·균열·공진 등 통합 문제를 사전에 차단 가능</t>
  </si>
  <si>
    <t>ㆍ배기 플랜지 치수/형상, 1g 전단·축력·모멘트 허용치(x/y/z), 최대 기동 하중 허용치를 수치로 명시
ㆍ최고 배기가스 온도·배압 허용치(IR 감쇠장치/덕트 연결 시 포함), 누설 불가 기준을 규정
ㆍ열팽창 차 흡수(플렉시블 조인트/벨로우즈), 공진 회피(모드 분리·감쇠) 요구와 검증 방법을 기재</t>
  </si>
  <si>
    <t>ㆍ인터페이스 하중 미정의로 덕트 균열·진동 파손 사례 발생 → 초기 하중전달 해석·데이터 공유가 핵심
ㆍ배압·온도·진동을 동시에 고려하지 않으면 성능 저하/누설 위험이 증가함
ㆍ리그시험(열·진동) + 조립 공차 관리로 누설 제로·공진 회피를 검증해야함</t>
  </si>
  <si>
    <t>Compatibility-engine and air vehicle</t>
  </si>
  <si>
    <t>엔진-기체 호환성</t>
  </si>
  <si>
    <t>ㆍ엔진과 항공기 간의 인터페이스는 엔진사양 기준 요구도에 따라 작동할 수 있도록 해야함</t>
  </si>
  <si>
    <t>ㆍ엔진–항공기 시스템 수준 호환성을 확보해 물리 설치·성능·제어까지 전 영역에서 적합성을 보장해야함
ㆍ통합 시 발생 가능한 기계·열·전기·제어·운용 요인을 종합적으로 고려하는 상위 요구조건 필수적임
ㆍ결과적으로 플랫폼 임무 수행능력과 신뢰성/가용성을 안정적으로 달성하도록 만드는 요구도에 해당</t>
  </si>
  <si>
    <t>ㆍ본 요구는 3.1.1 세부 항목(인터페이스/배치/하중/신호 등)의 총괄 충족을 강조하는 상위호환 요구도
ㆍ엔진–기체 통합 시험·모델 시뮬레이션(HILS/리그)로 전반적 호환성을 검증·추적해야함
ㆍ엔진 변경이 무게중심·전력수요·열/EMI 등 기체 요구에 미치는 영향평가 절차를 포함해야함</t>
  </si>
  <si>
    <t>ㆍ통합 단계에서의 간섭/성능 저하는 비용·일정 증가로 직결되므로 초기부터 통합을 설계해야함
ㆍ현재는 초기 단계 IPT(통합 제품팀) 운영으로 엔진·항공기 요구 동시 고려가 일반화되고 있음
ㆍ모든 엔진 요구는 최종적으로 항공기 임무 달성에 부합하도록 명확·정량으로 규정해야함</t>
  </si>
  <si>
    <t>Control and external components list</t>
  </si>
  <si>
    <t>제어계 및 외부 부품류 리스트</t>
  </si>
  <si>
    <t>ㆍ엔진과 별도로 감항 또는 품질인증이 필요한 엔진의 제어, 외부 구성 요소 및 구성 요소 기능 하위 시스템을 나열(4.11.2 참조)</t>
  </si>
  <si>
    <t>ㆍ엔진에 장착하는 제어계·외부 부품(밸브/펌프/센서 등)은 일괄 식별·자격인증(qualification)을 통해 신뢰성 확보 필요
ㆍ개발 초기부터 목록화·형상통제로 변경/추적 가능성을 높여 운용·정비 리스크를 경감 필요
ㆍ체계적인 부품 관리가 안전성(미션 영향 최소화)·품질 일관성의 기반임</t>
  </si>
  <si>
    <t>ㆍ모든 크리티컬 구성품 목록을 작성·관리하고, CSI(Critical Safety Item)·수명추적 부품은 별도 표기·추적 시스템에 포함
ㆍ목록에 부품 규격/일련번호/형상버전/공급처/대체품 허용 기준을 포함
ㆍ부품교체 시 동일성 보장의 참조로 사용
ㆍ공급처/제조공정 변경 시 승인 절차(3.1.9 관련)를 준수하고 변경 이력·근거 문서를 기록·보관해야함</t>
  </si>
  <si>
    <t>ㆍ정부 자산은 식별표·일련번호 관리가 필수이며 미흡 시 부품 추적 실패로 정비 차질이 발생할 수 있으니 유의
ㆍ과거 사례를 통해 제품 식별체계(라벨·SN·데이터베이스)의 중요성이 검증되었고, 전 수명주기에 적용 중임
ㆍ표준화된 식별·추적 절차가 품질감사/사후 조사/안전성 분석의 신뢰도를 높이는데 기여</t>
  </si>
  <si>
    <t>ㆍ연계과제성과물 연동하고 있으므로, 
   이 요구도의 품질인증 부분 서류를
   조율할 필요 있음</t>
  </si>
  <si>
    <t>ㆍ연계과제성과물 연동 시, 공인시험성적서, 통계치
    확보 가능한 정량적/정성적 시험결과분석보고서 등
    의 문서를 유효한 품질인증서류로 인정할 필요 있음</t>
  </si>
  <si>
    <t>A</t>
  </si>
  <si>
    <t>I</t>
  </si>
  <si>
    <t>Dry weight of complete engine</t>
  </si>
  <si>
    <t>엔진 순수 건식 중량</t>
  </si>
  <si>
    <t>ㆍ엔진의 순수 건식 중량치를 계산하고, 개발과정 중에 이를 검증해야함
ㆍ주요항목 기재 필요
- complete engine, dry
- engine exhaust system (if a separate system), dry
- residual fluids (draining attitude 명시° from horizontal)
- operating fluids
- items part of the engine parts list not mounted on the engine(identify and list each item)</t>
  </si>
  <si>
    <t>ㆍ엔진 건식중량(작동유체 제외)은 중량중심(CG)·성능·연료소모 계산의 핵심 입력값
ㆍ목표 대비 중량 증가는 임무 지속시간/탑재량/이륙거리 등 플랫폼 성능에 부정적 영향
ㆍ개발 초기부터 엄격한 중량 관리·추적으로 리스크를 선제적으로 경감할 필요 있음</t>
  </si>
  <si>
    <t>ㆍ계약 요구로 최대 허용 건식중량(초과금지무게)을 명시하고 계측 기준/상태(부속 포함·유체 제외) 규정필수
ㆍ중량 산출 절차·검증 빈도와 초과 시 페널티/상쇄 조건(성능 보전, 비용/일정 반영)을 사전에 규정
ㆍ경량화 가이드(재료·공정·형상 최적화, 부품 통합)와 변경 시 중량 영향 평가 의무를 포함</t>
  </si>
  <si>
    <t>ㆍ목표 중량 초과로 CG 변동·성능 미달이 발생한 사례가 다수 → 전주기 중량관리 체계의 필요성 확인
ㆍ중량관리팀(WB/MBOM연계)을 두고 모든 설계변경에 중량 영향 FMEA/승인 게이트를 적용하면 중량초과상태 경감 가능
ㆍ조기 원가·제조성 고려(DFM/DFA)와 공급망 협업이 실제 중량/비용 목표 달성률 향상에 기여함</t>
  </si>
  <si>
    <t>ㆍ엔진의 CAD/CAM/CAE업무를 통해 중량을 예측
ㆍ개발과정 중에 엔진을 실제 계측하여 중량을 측정
ㆍ측정결과 확인 및 예측결과와 오차분석하여 요구된 최대 중량 만족여부 판단</t>
  </si>
  <si>
    <t>Mass moment of inertia of complete engine</t>
  </si>
  <si>
    <t>엔진 완전체의 관성 모멘트</t>
  </si>
  <si>
    <t>ㆍ엔진 완체(부속 포함, 유체 제외) 기준으로 Ixx/Iyy/Izz와 기준 좌표계 정의(원점·축 방향)를 명시
ㆍ측정/산출 방법(진자법·3D CAD 관성 계산·관성측정 장치)과 허용 오차·환경 조건을 규정
ㆍCG 좌표·중량과 함께 공식 인증 데이터패키지로 제공(형상통제/리비전 추적 포함)</t>
  </si>
  <si>
    <t>ㆍ관성 데이터 누락/오차로 취급장비 설계 차질·현장 균형 문제가 발생한 사례 있음
ㆍCG 위치+관성 특성을 정확히 제공하면 지지대/리프터·트레블러 설계의 안전여유 확보에 유리
ㆍ프로그램 전 과정에서 변경 시 재산출·재검증(BoM/형상 변경 연동) 절차를 표준화해야 후속업무 수행 시 차질없음</t>
  </si>
  <si>
    <t>ㆍ엔진의 CAD/CAM/CAE업무를 통해 관성모멘트행렬을 예측
ㆍ개발과정 중에 엔진을 실제 계측하여 필수축방향 관성모멘트를 측정
ㆍ측정결과 확인 및 예측결과와 오차분석하여 요구된 관성모멘트 만족여부 판단</t>
  </si>
  <si>
    <t>Materials, processes, and parts</t>
  </si>
  <si>
    <t>재료, 공정, 부품</t>
  </si>
  <si>
    <t>ㆍ군용 환경(고온·고하중·부식·피로)에 견딜 내열성·강도·내구성을 갖춘 재료·공정 선정이 필수
ㆍ안전·품질 확보를 위해 표준(MIL/AMS) 부합 및 공정 규격 준수가 요구
ㆍ적정 재료/공정 적용은 수명·신뢰성·임무 가용성을 좌우</t>
  </si>
  <si>
    <t>ㆍ허용 재료 등급/합금 성분 한계, 열처리·코팅 표준, 용접·접착 절차를 사양에 명시
ㆍ구성품별 필수 특성치(Ti 합금 파괴인성, 연소실 합금 내황화)와 참조 규격(MIL-STD/AMS 등)을 인용
ㆍ공정 인증, 샘플링 시험, 로트 추적 등 제조 관리 프로세스를 요구·확인</t>
  </si>
  <si>
    <t>ㆍ부적절한 재료 선택은 조기 균열/수명 단축/안전 위험을 초래하므로 유의
ㆍMIL-HDBK 지침 준수와 사전 시험(내열온도 등 필수 특성 검증)이 재발 방지에 효과적임
ㆍ재료·공정 변경 시 체계적 검증/승인 절차를 통해 리스크를 관리해야함</t>
  </si>
  <si>
    <t>D, E, C</t>
  </si>
  <si>
    <t>ㆍRFP 및 요구도에 의거한 재료/공정/부품 설정 필요하고, 이를 문서화해서 확인
ㆍ개념/기본/상세설계를 통해 분석도출된 결과를 반영했는지의 여부를 확인
ㆍ재료/공정/부품관련 각종 분석자료 확보하여 확인
ㆍ특히, 업체의 제조공정 관련 입증자료 확보하여 제시 필요
ㆍ개발단계 진행하면서 시연과 시험을 통해 전체 시스템 상에서의 재료/공정/부품 관련
   사항들이 다 반영되었는지 객관적으로 검증 필수</t>
  </si>
  <si>
    <t>(A) Hazadous materials</t>
  </si>
  <si>
    <t>유해물질</t>
  </si>
  <si>
    <t>ㆍ금지물질(banned materials), 사용제한물질(highly restricted materials) 등재된 것들에 대한 전체 개발과정 간의 금지/제한/관리 필요</t>
  </si>
  <si>
    <t>ㆍ금지물질(banned materials)로 등재된 물질은 엔진 납품 하드웨어의 제작, 운용, 정비, 보관, 수송, 폐기 전 과정에서 사용불가
ㆍ사용제한물질(highly restricted materials)로 등재된 물질은, 엔진 납품 하드웨어의 제작, 운용, 정비, 보관, 수송, 폐기에 사용 전 
   조달기관(Procuring Activity)의 사전 승인 필요</t>
  </si>
  <si>
    <t>ㆍ인체/환경 유해물질(석면, 카드뮴 도금, 특정 방사성 물질)을 배제해 작업자 안전·환경 규제 준수 보장
ㆍ군 운용 특성상 전 생애주기(제작~폐기)에서의 노출 위험을 제도적으로 차단 필요
ㆍ금지/제한 규정은 품질·안전 감사 및 인증의 기본 전제 조건</t>
  </si>
  <si>
    <t>ㆍ과거 금지물질 관리 미흡으로 정비병 건강 문제·환경 비용이 발생한 사례 다수
ㆍ최근 프로그램은 초기 설계 단계부터 금지물질 조항 반영, 승인 기반의 대체 기술을 표준화
ㆍ부품 식별·추적(라벨/SN/BoM)과 변경관리로 현장 혼입 방지가 실효성을 향상시킬 수 있음</t>
  </si>
  <si>
    <t>ㆍ금지/제한 목록 표 확인: CAS 번호, 용도 범주, 허용/금지 상태, 예외 규정, 대체 가이드
ㆍ승인 절차확인: 요청서 양식, 독성·노출 평가, 대체 가능성 검토, 조달기관 승인 기록
ㆍ검증: 수입검사(CoC), XRF/습식 분석 샘플링, 공정 감사, 현장 혼입 관리(5S/Red-Tag)
ㆍ문서화: SDS, 작업지침, 폐기 절차, 교육 이수 기록(연간 재교육 포함)</t>
  </si>
  <si>
    <t>Fasteners</t>
  </si>
  <si>
    <t>패스너</t>
  </si>
  <si>
    <t>ㆍ신뢰성 있는 패스너 사용은 항공엔진의 신뢰성을 좌우할 수 있음
ㆍ패스너의 손실/상실이 비행안전과 엔진제어기능에 영향을 주지 않도록 주의할 필요 있음</t>
  </si>
  <si>
    <t>ㆍ나사·체결류는 엔진 구조 일체성을 좌우하므로 인장강도·진동 내성·고온특성을 충족해야함
ㆍ표준품 우선 적용으로 정비·조달 용이성을 확보하고 현장 오류를 줄이는 노력 필요함
ㆍ적정 체결구 선택은 신뢰성·안전성·수명에 직결됨</t>
  </si>
  <si>
    <t>ㆍ모든 볼트/너트/리벳의 규격·등급(MIL/AS 등), 토크 값/조임 규격, 코팅·윤활 처리를 명시
ㆍ재사용 한계(횟수/상태기준), 교체시점기준, 특수 체결구 사용 시 사유·관리방안(대체·추적)을 규정
ㆍ부품수 최소화를 위해 동일 종류 체결구 표준화를 유도(규격 통일, 공구 호환성 확보)</t>
  </si>
  <si>
    <t>ㆍ비표준 체결구 남발은 관리 복잡도·취급 오류·비용 증가를 초래
ㆍ규격이 통일된 표준화 체결구 세트 적용으로 정비성·현장 만족도·비용이 개선된 사례 있음
ㆍ설계 단계부터 표준화·토크/윤활 절차·재사용 기준을 반영하면 유무형적 사건사고 예방 가능</t>
  </si>
  <si>
    <t>I, A</t>
  </si>
  <si>
    <t>ㆍ항공엔진 하드웨어(볼트,너트,와셔,스크류,리벳,패스너등)의 표준화 리스트 검사
ㆍ적정사용시한, 교체주기 분석자료 제시확인
ㆍ관련문서 표준화를 통한 문서구비상태 검사</t>
  </si>
  <si>
    <t>Engine data plate marking</t>
  </si>
  <si>
    <t>엔진 데이터 명판 마킹</t>
  </si>
  <si>
    <t>ㆍ장비, 조립체, 모듈 및 부품은 식별이 명확히 되도록 마킹해야함
ㆍ데이터 플레이트를 읽기 위해 부품 탈거가 필요하지 않도록 배치·부착
ㆍ데이터 플레이트에 사용하는 제품 식별문자(형식/길이)는 사용군(Using Service)의 정비 추적 시스템과 호환되도록 조치
ㆍ적색표시는 원칙적으로 사용하지 않음
ㆍ적색 사용이 필요한 경우에는 적색 조명 환경에서도 쉽게 판독 가능한 비적색 인접 표기를 함께 제공</t>
  </si>
  <si>
    <t>ㆍ군용 자산의 고유 식별을 위해 엔진에도 명판(Nameplate) 부착이 필수이며 예외 없음
ㆍ명판에 모델, 일련번호(SN), 계약번호 등을 표기해 자산 추적·구성관리에 활용
ㆍ전 수명주기 동안 정비 이력·성능 추적을 가능하게 해 관리 효율·책임성을 강화</t>
  </si>
  <si>
    <t>ㆍ부착 위치·재질·기재 내용을 규정(예: 케이싱 측면 가시 위치, 모델명/SN/제조사/제조일/NSN 포함)
ㆍ영구 판독성과 환경 내구성(진동·온도·유체)을 만족하도록 네임플레이트 설계·시험 기준 명시 필요
ㆍ각인 방식·글자 크기와 바코드/QR/UID(IUID) 적용 여부 및 데이터 포맷 정의 필요</t>
  </si>
  <si>
    <t>ㆍ미 국방부 정책상 모든 군 재산은 식별부호/UID를 가져야 하며, 엔진도 동일하게 적용
ㆍUID 기반 전산 추적으로 수명주기 정비·성능 이력 관리가 용이
ㆍ명판 마킹 요구는 이러한 식별·추적 제도의 기반으로, 초기 설계부터 반영해야함</t>
  </si>
  <si>
    <t>Critical parts/critical safety items identification and tracking</t>
  </si>
  <si>
    <t>중요부품 및 치명적 안전 부품 식별 및 추적</t>
  </si>
  <si>
    <t>ㆍ대상: 엔진 수명 치명부품(Engine Life-Critical Parts) / 치명적 안전부품(Critical Safety Items, CSI) 및 해당 서브어셈블리
ㆍ언급대상들은 부품 자체에 식별 가능한 일련번호(Serial No.)를 영구적·명확한 방식으로 마킹
ㆍ각 부품은 마모되지 않는 참조면(non-wearing reference surfaces)을 복수로 가져야함
ㆍ오버홀(OH) 주기 사이마다 누적 사이클(회전수명)·누적 시간 기록을 위해 지정된 기록 마킹 공간 확보 필수
ㆍ엔진 치명부품은 Critical Item Management Plan(CIMP) 에 따라 식별·추적·관리되어야함</t>
  </si>
  <si>
    <t>ㆍ치명부품은 고장 시 항공기 손실·인명 피해까지 초래할 수 있어 특별 관리 필수
ㆍ일련번호·누적수명(사이클/시간) 추적은 설계/제조/정비 이력의 완전한 추적성을 보장
ㆍCIMP 기반 관리로 위험을 체계화하여 안전성·신뢰성을 확보</t>
  </si>
  <si>
    <t>ㆍ엔진 내 Critical Part 목록을 확정(예: 터빈 디스크, HPT 블레이드 등)하고 고유 ID를 부여·관리
ㆍ사양에 각 부품의 수명제한(cycle/time limit), NDT 주기, 수리·교체 이력 추적 방식을 규정
ㆍ교체 시 원제작사 인증(approved source) 부품만 사용, 위조품/무승인 부품 금지를 명시</t>
  </si>
  <si>
    <t>ㆍ모호한 지정/추적 미흡은 비행 중 정지·파손 등 중대 사고로 이어진 사례 있으니 유의
ㆍ이후 프로그램들은 MIL-STD-882 위험분류 등 절차에 따라 CSI 지정·추적 체계를 표준화
ㆍ완전한 추적성(Serial·Cycle/Time·NDT 이력)이 사전 예방·사후 조사 모두에서 결정적 역할</t>
  </si>
  <si>
    <t>Transportability</t>
  </si>
  <si>
    <t>운송성능</t>
  </si>
  <si>
    <t>ㆍ운송관련 SOR 없음</t>
  </si>
  <si>
    <t>ㆍ비적용 유지이지만, 논의는 필요</t>
  </si>
  <si>
    <t>Interchangeability</t>
  </si>
  <si>
    <t>상호교환성능</t>
  </si>
  <si>
    <t>ㆍ시제엔진특성상 상호교환/호환성은 차후 고려 필요</t>
  </si>
  <si>
    <t>Flammable fluid systems</t>
  </si>
  <si>
    <t>가연성 유체 계통</t>
  </si>
  <si>
    <t>ㆍ엔진 외부 연료 계통(배관·피팅·구성품)은 내화(Fire-Resistant) 성능을 필요
-최소 화염온도 1093 °C(2000 °F)에서 5분 이상 성능을 유지해야함
ㆍ엔진 외부 윤활유 계통 및 유압 계통(배관·피팅·구성품)은 내화(정의상 Fireproof) 성능 필요
- 최소 화염온도 1093 °C(2000 °F)에서 15분 이상 성능을 유지해야 한다.
ㆍ위 조건에 노출되는 동안, 해당 라인·구성품은 아래 성능 필요함
-엔진의 전체 환경·운용 엔벨로프에서 발생 가능한 최악 조합의 유체 파라미터(유량·압력·온도)상태
-해당 조합의 유체 파라미터 상태일 때, 실유체 이송 상태를 유지(누설·파손·성능저하 없는 조건)</t>
  </si>
  <si>
    <t>ㆍ연료/오일/유압 등 가연성 유체는 누설 시 고온부 접촉→화재로 연계
-내화·내화(15 min) 성능 요구가 필수
ㆍ외부 라인·피팅은 실제 운용 유체 조건에서도 성능을 유지해서 시험-현장 간 괴리 저감노력 필요
ㆍ엄격한 요구는 사고 예방·인명/자산 보호, 임무 지속성을 보장할 수 있음</t>
  </si>
  <si>
    <t>ㆍ이중 차폐·드레인 경로 설계로 누설 시 고온부 유입 차단, 분사 방향은 터빈 하우징 등 고온부 회피
ㆍ방염·내열 소재 호스/배관 및 클램프·가드·써멀 슬리브 적용, 배압·진동 고려한 지지·여유 설계 필요
ㆍ정비 절차(연료/오일 취급·세척·토크 재조임·누설 점검)와 재료·호환성(seal/liner) 요구 병기</t>
  </si>
  <si>
    <t>ㆍ연료라인 균열/피팅 누설이 다수 화재의 직접 원인 → 이후 이중벽·드레인 유도 설계가 표준화
ㆍ시험 시 유량·압력·온도 최악 조합을 반영하지 않으면 현장에서 예상 외 파손/누설이 발생
ㆍ정기 점검(누설/열화)와 구성품 수명관리가 화재 리스크를 현저히 저감</t>
  </si>
  <si>
    <t>I, C</t>
  </si>
  <si>
    <t>Fire prevention</t>
  </si>
  <si>
    <t>화재 예방</t>
  </si>
  <si>
    <t>ㆍ연소성 유체가 엔진에 분사될 경우 점화될 수 있는 엔진 표면 고온 영역은 ICD 식별 필수
ㆍ방화 차폐(Fire Shield)가 필요한 경우 해당 방화 차폐의 요구 및 위치/형상/재료·성능을 ICD에 명시
ㆍICD대신 요구도 작성 시 해당 문단 활용하고 식별 내용을 기재할 수도 있음</t>
  </si>
  <si>
    <t>ㆍ엔진 주변 고온 부(터빈·배기 등) 존재로 연료·오일 누설, 전기 합선, 과열 등 점화 위험 높음
ㆍ화재 예방은 구조·열·전기·유체 전 분야에 걸친 종합 설계 대책 필수
ㆍ예방 설계는 인명·자산 보호, 임무 지속성, 정비성 향상에 직결</t>
  </si>
  <si>
    <t>ㆍ과거 화재사고를 계기로 방화벽 성능·감지 체계가 고도화
ㆍ1980년대 이후 엔진 나셀 Halon 소화기 채택이 표준이 되어 피해 최소화에 기여
ㆍ초기 설계 단계부터 방화·감지·소화 통합 설계를 적용하는 것이 재발 방지에 효과적</t>
  </si>
  <si>
    <t>I, D, E, C</t>
  </si>
  <si>
    <t>Explosion-proof</t>
  </si>
  <si>
    <t>방폭 성능</t>
  </si>
  <si>
    <t>ㆍ점화플러그 전극 및 연료-공기 혼합물을 점화하기 위해 의도된 장치를 제외한 모든 전기 구성품이 대상
ㆍ대상장비 주변에 존재할 수 있는 폭발성 혼합기(연료·증기·가스·분진 등)를 점화시키지 않아야함</t>
  </si>
  <si>
    <t>ㆍ연료·오일 계통의 가연성 가스/증기와 전기계통의 스파크가 공존함
ㆍ폭발위험 환경에서도 안전 작동이 가능한 방폭 설계가 필요
ㆍ엔진은 점화원 관리(온표면·스파크·아크)와 위험구역(Zoning) 고려를 통해 폭발 가능성을 체계적 저감해야함
ㆍ설계 단계에서 위험식별/분석(FMEA/FTA)과 표준 준수를 통해 점화 에너지·누설·혼합 리스크를 사전에 차단해야함</t>
  </si>
  <si>
    <t>ㆍ위험구역 내 전기장치는 방폭 등급(밀폐·내압·본질안전)을 부여
ㆍ커넥터/모터/스위치는 밀봉·차폐 및 전압·전류 제한을 적용
ㆍ배선·단자함은 밀폐형/내압형, 접지·본딩·차폐와 연료라인과의 이격/격벽을 확보
ㆍ환기·퍼지·플레임어레스터를 설계에 포함
ㆍ부품 사양에는 가스군/온도등급(T-rating), 최대 표면온도, 허용 스파크 에너지를 명시
ㆍ시험·인증(점화원 부재/온도 상승/누설)으로 검증</t>
  </si>
  <si>
    <t>ㆍ정비 중 연료 증기 + 전기 스파크로 내부 폭발이 발생한 사례 → 내폭형 점화장치·밀폐 배선함이 표준화
ㆍ초기 위험구역 정의·인터페이스 관리와 선형/분산 환기가 폭발 위험을 현저히 저감
ㆍ운용·정비 시 가스 농도 확인/가스프리 절차, LOTO, 누설 점검, ESD 관리를 절차화해 안전여유를 확보</t>
  </si>
  <si>
    <t>C</t>
  </si>
  <si>
    <t>Combustible fluid drains</t>
  </si>
  <si>
    <t>가연성 유체 드레인</t>
  </si>
  <si>
    <t>ㆍ엔진 누설/잔류 가연성 액체(연료·오일)를 신속·안전 배출하는 드레인 시스템은 화재 예방의 핵심
ㆍ고여 있는 인화성 액체는 소화 불꽃·전기 스파크·고온 표면에 의해 쉽게 점화될 수 있음
ㆍ상시 배수 경로 확보와 막힘 방지를 전제로 한 설계가 필수</t>
  </si>
  <si>
    <t>ㆍ엔진 하부에 연료/오일 집수→배출을 위한 드레인 포트/라인을 설계하고 안전 구역·수집용기로 유도
ㆍ비행 중 폐쇄·지상에서 개방 등 운용 모드에 따른 밸브 로직을 적용, 불필요한 유출을 방지
ㆍ점검 용이성(가시성·접근성)을 확보하고 막힘 방지 필터/각도·경사 등 유지관리 친화 설계를 반영</t>
  </si>
  <si>
    <t>ㆍ드레인 막힘→연료 고임이 화재로 이어진 사례 다수 → 이물·얼음 방지 설계가 필요
ㆍ정비 매뉴얼에 주기적 드레인 점검·청소 절차를 포함해 재발을 억제
ㆍ시험·검증 단계에서 유량 시험/색소 추적/콜드소크-가열 사이클로 실제 배출 경로를 확인해야함</t>
  </si>
  <si>
    <t>Air and gas leakage</t>
  </si>
  <si>
    <t>기체 및 가스 누설</t>
  </si>
  <si>
    <t>ㆍ설치 요건, 나셀(엔진 덮개) 장비에 악영향을 줄 수 있을 정도의 고온·집중 분사(impingement) 공기/가스 누설은 허용되지 않음
ㆍ누설 기준치 정의하고 열/분사영향 시험, 설치영향 평가 수행
ㆍ운용범위 간의 해석검증과 하드웨어적 대책구비/정비성/재발방지전략 필요</t>
  </si>
  <si>
    <t>ㆍ고압 공기/가스 누설은 성능 저하(압축기 공기 손실→추력/출력 감소)와 안전 문제(배기가스 누설→주변 과열)를 유발
ㆍ엔진 전 구간(압축기 케이싱, 연소기–터빈 접합 등)에서 기밀 설계·관리가 필수
ㆍ누설 최소화는 성능 확보·열손상 방지·수명/신뢰성 향상에 직결</t>
  </si>
  <si>
    <t>ㆍ엔진 외부로의 공기/가스 누설 허용치를 정량 규정(예: “외부 누설 ≤ XX kg/min”)
ㆍ패킹/실/랩실 등으로 주요 접합부 누설 경로를 차단하고, 불가피 누설(예: 베어링 하우징 환기)은 안전 경로로 유도
ㆍ설계–해석–시험에서 압력·온도·진동을 고려한 실링 여유·내열재/코팅 적용 및 검증 절차(헬륨/기밀·블로바이 시험) 포함</t>
  </si>
  <si>
    <t>ㆍ최종 성능 저하는 실링 누설 과대가 원인이 된 사례 다수 → 누설 요인 과소평가를 금지함
ㆍ설계 단계부터 보수적 누설 모델·공차 관리와 리그/엔진 시험 상관으로 조기 식별 필요
ㆍ변경·수리 후 재기밀 시험(좌굴/열사이클포함)을 표준화하면 재발 리스크 저감 가능</t>
  </si>
  <si>
    <t>Ground safety</t>
  </si>
  <si>
    <t>지상 안전</t>
  </si>
  <si>
    <t>ㆍ적용 가능한 경우, 다음 장비/원에 대해 경고(Warning Notices)를 제공
-고전압 점화 시스템 및 기타 고전압 전원, 방사성 장치, 폭발물 장치, 고출력 광원.
-경고 표지는 영구 판독성, 해당 언어(현지 운용어) 표기, 가시성·내환경성을 만족해야함
ㆍ범위식별, 표지규격, 부착/내구성, 인터록-안전연계, 문서화 등을 망라한 체크리스트 운용으로 지상안전 보장 필요</t>
  </si>
  <si>
    <t>ㆍ지상 취급·시운전(run-up) 시 후류·소음·흡입력·고온 표면으로 인한 작업자/장비 위험이 발생
ㆍ엔진 설계 단계에서 지상 안전 요구를 반영해 사전 예방이 필요
ㆍ안전 설계는 운용부대 교육 효과를 보완해 사고 가능성을 실질적으로 저감</t>
  </si>
  <si>
    <t>ㆍ회전체 핀(anti-rotation pin), 흡입구 보호그물, 고온부 접근금지 표식 등 물리적 안전장치/표식을 제공
ㆍ배연 연장관 인터페이스(지상 시운전용), 흡입구 FOD 방지 장치 장착 옵션을 사양에 명시
ㆍ위험구역 표시(흡입/후류 구역), 작업 절차·체크리스트 및 락아웃/태그아웃(LOTO)을 연계</t>
  </si>
  <si>
    <t>ㆍ흡입구 전방 미통제로 정비사 흡입 사고 발생 → 위험구역 설정·흡입 방지망 사용 절차가 도입
ㆍ지상 안전은 교육만으로 부족하며, 엔진 자체의 안전장치 설계가 필수적
ㆍ표준화된 경고/표지·물리 인터록·점검 절차가 지상 시운전 사고를 현저히 저감할 수 있음</t>
  </si>
  <si>
    <t>ㆍ지상작업 시 엔진으로 인한 위험요소를 해석하여 식별하고 보고서화
ㆍ안전표지·차단장치 구비 등을 검사하여 지상 안전 요구를 충족함을 확인</t>
  </si>
  <si>
    <t>Jet wake</t>
  </si>
  <si>
    <t>제트 배기류</t>
  </si>
  <si>
    <t>ㆍ해수면 정지 표준일 조건(Sea Level, Static, Standard Day)에서 아이들, 중간, 최대 출력 운전 중의 
   제트 후류의 온도·유속 프로파일 제시 필요
ㆍ인원 및 장비에 위험한 구역(hazardous areas)을 명확히 정의·표시</t>
  </si>
  <si>
    <t>ㆍ엔진 배기가스 제트는 고온·고속 유동으로 인원·장비·구조물에 화상·손상 위험을 초래
ㆍ협소 공간에서는 과열·재료 열화·장비 오작동의 주요 원인이 될 수 있음
ㆍ배기 분사 영향(열·속도·확산)을 고려한 설계·운용 안전 대책 필수</t>
  </si>
  <si>
    <t>ㆍ함상 운용에서 후류로 인한 주변 장비 손상 사례 → 회피 거리/방향이 엄격히 규정됨
ㆍ지상 시험셀에서는 배기열로 벽체 손상 발생 → 시설 설계에 엔진 배기 특성 반영이 필수
ㆍ체계적인 열/유동 해석 + 현장 계측으로 배기 안전 대책을 사전 검증하는 것이 효과적</t>
  </si>
  <si>
    <t>ㆍ엔진 배기가스 분출로 인한 후류(Jet Wake)의 영향과 제어방안을 설계 문서로 검사
ㆍ요구기준을 만족함을 확인한다.
ㆍ배기가스 분출상황 관련 유동분석자료 산출 및 검토하고, 안전기준 수립</t>
  </si>
  <si>
    <t>Parts list</t>
  </si>
  <si>
    <t>부품 목록</t>
  </si>
  <si>
    <t>ㆍ제작사는 엔진 완제품에 대한 일러스트 포함 부품목록(IPL)을 제출·유지
ㆍIPL에는 부품번호(P/N), 명칭, 수량, 치수/재질, 등급(수명·소모·치명 등), 공급처, 적용 위치가 포함되어야 하며 
   형상관리(Change control)로 최신 개정 상태를 유지
ㆍIPL 변경 시, 정비체계·조달 시스템에 동시 전파(전자 목록 연동 권장)</t>
  </si>
  <si>
    <t>ㆍ체계적 목록화는 형상 통제·정비지원·조달 정확도를 높임
ㆍ위치·주기·규격 파악으로 오정비/과잉재고를 예방
ㆍ부품목록은 전 수명주기 추적성 확보에 필수</t>
  </si>
  <si>
    <t>ㆍ전자 IPL(도면 링크/분해도), 검색 필드(모델/시리얼/구역), 교차호환 정보 포함
ㆍ부품 등급(CSI/수명제한/소모품)과 대체·단종 대책 명시
ㆍECN/EBOM–MBOM–SBOM 연계로 변경 즉시 반영</t>
  </si>
  <si>
    <t>ㆍ부품목록 오류로 오주문/가동률 저하 사례 다수 → 전자 IPL로 즉시성·정확성 향상
ㆍ표준 필드·코드 일원화가 교육·정비 효율을 높임
ㆍ형상관리 누락은 현장 혼선 유발 → 변경 전파 절차가 핵심</t>
  </si>
  <si>
    <t>I, P</t>
  </si>
  <si>
    <t>ㆍ엔진의 전체 부품 목록이 작성·관리되고 있는지 검사
ㆍ누락이나 오류 없이 요구사항을 충족함을 확인</t>
  </si>
  <si>
    <t>Assembly of components and parts</t>
  </si>
  <si>
    <t>구성품 및 부품 조립</t>
  </si>
  <si>
    <t>ㆍ제작사는 표준 조립 공정서를 수립하고, 지정 토크·순서·공차에 따라 조립해야함
ㆍ특수 공정(베어링 프리로드, 회전체 밸런싱, 접착/실링 등)은 공정인증과 검사 기준을 갖추어야함
ㆍ상호조정(pair-matching)이 필요한 경우, 조합 기준과 기록·추적 절차를 의무화</t>
  </si>
  <si>
    <t>ㆍ조립 품질은 성능·신뢰성·안전에 직결
ㆍ잘못된 토크/공차는 볼트 풀림·과도진동 등 고장을 유발
ㆍ표준화된 절차가 편차/휴먼에러를 최소화</t>
  </si>
  <si>
    <t>ㆍ토크 표준(장비 교정/컬러코딩), 체결 순서 도식, 공차대장 운영
ㆍ회전체 밸런싱(ISO/SAE 기준), 베어링 프리로드 규정, NDT/치수검사 포함
ㆍFMEA로 취약공정 식별 → 중점관리/이중검증 설정</t>
  </si>
  <si>
    <t>ㆍ토크 혼동으로 풀림·파손 사례 발생 → 토크렌치 컬러코딩·공구 관리 도입 후 불량 감소
ㆍ체계적 작업지도서와 공정 감사가 재발 방지에 효과
ㆍ조립 데이터의 디지털 기록이 원인규명·개선 속도를 높일 수 있음</t>
  </si>
  <si>
    <t>ㆍ엔진의 부품 조립 절차와 체결 방법이 규정된 대로 수행되는지 검사
ㆍ조립 관련 요구사항을 검증
ㆍ관련 문서가 구비되었는지 확인하고, 그것이 시연될 때, 조립간에 전후인과관계 준수하는지 확인</t>
  </si>
  <si>
    <t>Changes in vendors or fabrication process</t>
  </si>
  <si>
    <t>공급업체 및 제작공정 변경</t>
  </si>
  <si>
    <t>ㆍ시제업체지정완료</t>
  </si>
  <si>
    <t>Standardization</t>
  </si>
  <si>
    <t>표준화</t>
  </si>
  <si>
    <t>ㆍ엔진 부품·공정·도구는 표준(MIL-STD, ANSI, SAE, ISO 등)을 우선 적용
ㆍ비표준/전용부품 사용 시 사유서·승인 절차와 예비부품 확보 계획을 제출
ㆍ체결구·커넥터 등 공용영역은 표준 규격(MIL-DTL-38999, 표준 체결구 시리즈)으로 통일</t>
  </si>
  <si>
    <t>ㆍ표준화는 공용화·교육 단순화·비용 절감을 달성할 수 있음
ㆍ장기 지원성(단종 리스크저감)과 조달 리드타임을 개선
ㆍ시스템 간 상호운용성·품질일관성을 보장</t>
  </si>
  <si>
    <t>ㆍ표준 우선 순위표(정부→산업→사내)를 정의, 예외 승인 플로우 운영
ㆍ부품군별 표준 목록(체결·전장·유공압 등)과 대체·역호환 지침 제공
ㆍLCC/수명지원성 분석을 통해 표준 채택의 경제성을 문서화</t>
  </si>
  <si>
    <t>ㆍ독자부품 채택은 단종·가격상승·지원 난항으로 귀결되는 사례 다수
ㆍMIL-STD-970 등 표준화 지침 준수가 장기적 이익을 입증
ㆍ개발 초기부터 표준화 전략을 반영하면 후속 비용을 크게 절감</t>
  </si>
  <si>
    <t>Steady-state performance</t>
  </si>
  <si>
    <t>정상상태 성능</t>
  </si>
  <si>
    <t>ㆍ정상상태 성능(정격 출력·SFC)은 임무 달성(탑재량·속도·항속) 보장의 최소 기준
ㆍ모든 엔진은 최소 성능치를 충족해야 하며, 이는 플랫폼 성능 확보의 전제
ㆍ성능 컴퓨터 프로그램으로 시험 전 예측/평가가 가능해 개발 효율·리스크를 개선할 수 있음</t>
  </si>
  <si>
    <t>ㆍ최소 정상상태 추력/출력·SFC를 전 작전 환경에서 만족하도록 수치로 규정
ㆍ신품·열화 상태 모두 성능을 성능해석 프로그램(e.g.SAE AS681 준거)으로 산출·검증
ㆍ사양에 해면 ISA 기준 성능치(추력/출력/SFC)와 표–프로그램 불일치 처리기준(프로그램 우선 등)을 명시</t>
  </si>
  <si>
    <t>ㆍ성능 요구가 모호하면 해석 상이·제안 비교 곤란함
ㆍ최소 성능 개념 + 성능모델(Deck이라고 표현) 도입으로 공정한 비교·유연한 검증이 가능
ㆍ표준화된 성능 정의는 입찰 평가 신뢰도·체계 설계 품질을 높임</t>
  </si>
  <si>
    <t>A, S</t>
  </si>
  <si>
    <t>D, De, E</t>
  </si>
  <si>
    <t>Transient performance</t>
  </si>
  <si>
    <t>과도상태 성능</t>
  </si>
  <si>
    <t>ㆍ엔진 과도응답(가속/감속)은 조종성·안전성·임무 수행에 직결되므로 정량 규정이 필수
ㆍ가속 지연은 추력 부족, 급감속/연료 컷은 연소 불안정(플레임아웃)·스톨 위험을 유발
ㆍ명확한 과도 기준은 설계/시험/인증 전 과정의 일관성 있는 검증을 가능하게 함</t>
  </si>
  <si>
    <t>ㆍ규정예시: SLS/ISA에서 Idle→Max 가속시간 ≤ X s, Max→Idle 감속시간 ≤ Y s
- 과도 중 플레임아웃·스톨·한계초과(속도/온도/토크) 금지
- 연료 스케줄·리미터 우선순위(온도/속도/토크)·램프율, VBV/IGV·블리드·엔진 밸브 제어로 안정 연소·서지 마진 확보
ㆍ전 운용범위(온도/고도/속도/전원상태)에서 가장 열악한 조합을 포함해 HIL/리그/비행시험으로 검증</t>
  </si>
  <si>
    <t>ㆍ과도 성능을 과도하게 공격적으로 설정하면 콤프레서 스톨·엔진 정지 사례가 발생
ㆍ가속도 완화·연료 PRV 제어·팁 스피드 제약 등으로 미션 영향 없이 안정성을 달성 가능
ㆍ임무 관점 최적화(모델–HIL–비행 상관)와 최악환경(Hot/High) 마진 반영이 재발 방지의 핵심</t>
  </si>
  <si>
    <t>Performance computer program</t>
  </si>
  <si>
    <t>성능 컴퓨터 프로그램</t>
  </si>
  <si>
    <t>ㆍ성능 컴퓨터 시뮬레이션(성능Deck)은 개발 초기부터 활용되어 왔고, 1959년 MIL-E-5007B부터 공식 요구로 포함
ㆍ성능덱은 전 운용 범위에서 엔진 성능 수치(추력/출력·연료소모·유량·온도 등)를 산출해 항공기 성능 해석·시험 대비에 필수적
ㆍ표준화된 모델 요구는 엔진 간 공정 비교와 개발 리스크 완화에 기여</t>
  </si>
  <si>
    <t>ㆍ제작사는 SAE AS681 등 표준에 따라 성능 Deck을 개발·제공해야함
ㆍ고도·마하·온도 등 입력에 따른 추력/출력·SFC·유량·온도를 계산 가능해야함
ㆍ평균 신품·최소 성능·열화 엔진 상태를 모두 모델링하고, 산출물은 사양 성능표와 일치해야함
ㆍ불일치 발생 시 우선순위(보통 프로그램 우선)를 사양에 명시하고, 형상관리로 버전·입력 정의를 통제해야함</t>
  </si>
  <si>
    <t>ㆍ성능모델 요구는 오랜 기간 공정성·예측성을 높였고, 군 당국은 이를 통해 사전 성능 검증이 가능했음
ㆍ과거 모델–시험 편차는 주로 입력 해석(흡입효율 등) 차이에서 기인→현재는 입력 정의·가정을 명확히 규정
ㆍ시험 결과 기반 업데이트를 계약상 관리하여 모델 정확도·신뢰성을 지속 개선하고 있음</t>
  </si>
  <si>
    <t>I, S</t>
  </si>
  <si>
    <t>Performance retention</t>
  </si>
  <si>
    <t>성능 유지</t>
  </si>
  <si>
    <t>ㆍ별도 규정이 없는 한, 콜드 파트 수명(Cold Parts Life) 운용 중 및 종료 시점에, 엔진 추력/출력은 기준온도에서 3.2.1.1 및 3.2.1.2에 
   규정된 최소 엔진 추력/출력 요구치보다 기준수치 이상 감소해서는 안됨
ㆍ지정된 핫 섹션 수명(Hot Section Life) 운용 중 및 종료 시점에, 엔진 추력/출력은 기준온도에서 핫 섹션 수명 시작 시점의 실제 추력/출력의 
   기준치 이상이어야 함
ㆍ특정 연료소모율(SFC)은 기준온도에서 동일 추력/출력점 기준 핫 섹션 수명 시작 시점의 실제 SFC의 기준치 이하이어야 함</t>
  </si>
  <si>
    <t>ㆍ엔진은 운용 중 마모·열화로 출력↓·SFC↑가 발생하므로 허용 저하 한도를 규정해 임무 수행능력을 보장
ㆍ성능 저하 한도는 정비/오버홀 주기 설정의 근거가 되며 LCC와 가용성에 직접 영향
ㆍ계약·인증 단계에서 수명 구간별 성능 유지도를 수치로 명시하면 예측성·공정성이 높아짐</t>
  </si>
  <si>
    <t>ㆍ엔진은 Cold Parts Life(e.g. 3,000 cycles) 동안 추력(또는 축출력) 저하성능, SFC 악화성능을 기준 이내로 달성 필요
- 성능이내 표현을 위한 수치기준 명시
ㆍ달성 수단: 내마모 코팅/공기여과 향상/성능복원 세척 주기 등 설계·운용 개선 적용
ㆍ측정/평가 방법(주기적 성능 점검점, SLS/Hot-Day 표준점, 모델–시험 상관)과 판정 기준을 사양에 명시</t>
  </si>
  <si>
    <t>ㆍ고온부 열화로 Hot-Day 이륙 출력 부족 사례 다수 → 성능 유지 요구 도입으로 개선
ㆍEngine B 사례: 예상보다 빠른 추력 감소로 임무반경 축소 → 저하 한도 강화·보정 후 신뢰성 회복
ㆍ현재 대부분 계약에서 성능보존도(ΔThrust/ΔSFC)가 핵심 KPI로 관리</t>
  </si>
  <si>
    <t>Operating envelope</t>
  </si>
  <si>
    <t>운용 영역</t>
  </si>
  <si>
    <t>ㆍ엔진의 운용 한계 조건(온도, 압력, 회전속도 등)과 운용 절차, 안정성 등 운용성 전반을 규정하는 항목
ㆍ엔진 운용특성·한계치(operating limits)를 명확히 제시해야 사용자가 안전 운용 범위를 인지·준수할 수 있음
ㆍ한계 초과 운용은 성능·수명 보장 곤란을 초래하므로 사전 정의가 운용 매뉴얼의 기초(단, 절대한계, 경고-완화한계 등을 명시)
ㆍ명확한 한계 규정을 정상/과도한계(최대최소) 등의 형태로 표 형식 제시 및 명문화, 이것은 책임 범위·보증 조건을 분명히 해 분쟁·리스크를 저감 가능
- 최고 회전속도, 최대 터빈입구온도, 최대오일온도, 진동한계치 등
ㆍ엔진은 완전한 운용영역 전 구간에서 어떠한 한계도 초과하지 않고, 본 사양의 모든 요구사항을 충족해야함
ㆍ엔진 운용 한계는 Figure 5의 환경에 대해, Figures 6 및 7의 서식과 Tables IIa, IIb, IIc, III에 따라 명시하여야함
ㆍ적용 가능한 경우, 추력 증강(Thrust Augmentation) 운용 엔벨로프도 Figures 6 및 7에 포함해야함</t>
  </si>
  <si>
    <t>ㆍ운용영역은 고도·속도·온도 범위 내에서 엔진이 기능·성능·안정성을 발휘해야 하는 설계 범위
ㆍ본 요구는 임무환경 전체를 포괄하여 영역 내 모든 요구(추력·응답·안정) 충족을 보장해야함
ㆍ항공기 요구와 정합된 엔진 엔벨로프 정의가 임무 달성·통합 리스크 최소화의 전제</t>
  </si>
  <si>
    <t>ㆍ사양에 그래프/표로 운용가능 영역(고도, 마하속도, 운용온도 등)을 제시
ㆍ이 범위 전역에서 추력·과도응답·안정도 요구를 동시에 만족하도록 규정
ㆍ고고도/고속 등 특별 고려 구간은 부연 설명하고, 항공기 사양과 일치하도록 조율</t>
  </si>
  <si>
    <t>ㆍ엔진–항공기 운용영역 미정합은 고도/속도 구간에서 성능 미달로 이어진 사례가 있음
ㆍ현재는 항공기 요구 문서에 연계해 엔진 엔벨로프를 규정, 개발 초기에 상호 조율을 필수화
ㆍ운용에서는 영역 외 운전 금지 원칙과 매뉴얼 교육으로 현장 운용 리스크를 저감</t>
  </si>
  <si>
    <t>E</t>
  </si>
  <si>
    <t>Operating attitude and conditions</t>
  </si>
  <si>
    <t>운용 자세 및 조건</t>
  </si>
  <si>
    <t>ㆍFigure 8에는 엔진 운용 자세 한계(Operating Attitude Limits)를 제시하고 있음, 엔진은 Figure 8의 비음영(unshaded) 영역에서 본 사양의 모든 요구사항을 충족해야함
- 음영(shaded) 영역에서는 연속 최소 시간 동안 성능 저하나 손상 없이 운전 가능해야함
ㆍ엔진은 Figure 8 비음영 영역 내 모든 자세에서 시동(Start)·정지(Stop)·스토우(Stow) 가 가능해야함
ㆍ비음영 영역 밖의 스토우 가능 범위는 별도 문서에 명시
ㆍ엔진은 음의 g(−g) 상태에서 최소 시간동안, 제로g 상태에서 최소 시간 이상 동안 만족스럽게 기능해야함
-위에 정의된 −g 및 0g 비행은 발생 횟수 제한 없이(unlimited occurrences) 본 사양의 모든 요구를 충족해야함
ㆍ값 정합: 각각의 값은 항공기사양의 요구와 일치해야함
-항공기 사양이 없는 경우, 다음 전형값을 적용, (a)=30 s, (b)=60 s, (c)=30 s.</t>
  </si>
  <si>
    <t>ㆍ항공기 급기동/비정상 자세(0g, −g, 고피치/롤)에서도 엔진은 연속 작동을 보장
ㆍ이러한 자세에서 연료공급·윤활유 순환·흡기/배기 흐름이 교란되므로 자세 무관 운용성을 요구
ㆍ보장 실패 시 출력 저하·베어링 손상·엔진 정지로 안전/임무에 치명적 영향</t>
  </si>
  <si>
    <t>ㆍ운용 g 한계(지속시간 포함)와 피치/롤 각도 한계를 정량 규정(e.g. 0g 10s, −1g 5s 연속 정상 작동)
ㆍ오일 피더/안티-슬로싱 배플/연료 피크업 형상 등 특수 설계를 반영해 윤활·연료 연속성 확보
ㆍ필요 시 자세별 시동능력(공중시동) 요구를 포함하고, 항공기 기동 요구와 정합되도록 설정</t>
  </si>
  <si>
    <t>ㆍ장시간 0g/−g에서 윤활 공급 단절→베어링 손상 사례 발생 → 지속시간 한계 상향·설계 개선 실시
ㆍ보수적 한계 설정과 운영 매뉴얼(기동제한)의 병행이 재발 방지에 효과적
ㆍ개발 단계 리그/HIL/비행 시험으로 자세별 연료·윤활 연속성 검증이 필수</t>
  </si>
  <si>
    <t>Ground starts</t>
  </si>
  <si>
    <t>지상 시동</t>
  </si>
  <si>
    <t>ㆍ엔진은 Figure 9a에 제시된 주변온도·고도 조건에서, Figure 9a의 시동시간 이하로 시동되어야함
ㆍ엔진은 연속 시동 사이클을 수행할 수 있어야 하며, 각 사이클 종료부터 다음 사이클 개시까지의 최대 간격은 제시된 시간을 초과하지 않아야함
ㆍ지상 시동을 위한 풍조건 엔벨로프는 Figure 9b에 제시
ㆍ특수 시동 요구(Special starting requirements)
-고온 소크(Hot temperature soak) 시동: 엔진은 Figure 5에 규정된 온도에서 일정 시간의 핫 소크 후, 지정된 연료를 사용하고 
 흡입 공기·연료·오일이 Figure 5의 최대 고온 주변온도에 있을 때 시동되어야함
-셧다운 후 Figure 5의 온도에서 지정된 시간의 리소크(resoak) 후에도 동일 조건(지정연료, 최대 고온 흡입공기·연료·오일)에서 시동되어야함
-저온 소크(Cold temperature soak) 시동: 엔진은 Figure 5의 최저 저온 주변온도에서 지정시간 콜드 소크 후, 지정 연료 및 지정 오일을 사용하고
 흡입 공기·연료·오일이 Figure 5의 최저 저온에 있을 때 시동되어야 함
(a) 연속 시동 사이클(개수)
(b) 사이클 간 최대 간격(초)
(c) 핫 소크 시간(시간)
(d) 핫 조건 시 연료        사양 3.7.3.1 지정 연료
(e) 리소크(재소크) 시간(분)
(f)  콜드 조건 연료        3.7.3.1의 겨울등급/저온규격 연료, 동점도·휘발도 기준 명시
(g) 콜드 조건 오일        3.7.10의 저온 등급 오일 (e.g.MIL-PRF 계열의 저온 등급)
(h) 콜드 소크 시간(8시간): 야간 주기 가정(8~24 h)
ㆍ시동 성공 정의: 점화 후 T ≤ Figure 9a 한계 내에 자립 속도 달성, 한계(온도/속도/토크) 미초과, 안정 아이들 도달.
ㆍ보조수단 조건: APU 공기주입, 오일/연료 예열 등 허용 여부·조건을 명확히 작성
ㆍ연료/오일 스펙 연계: 3.7.3.1(연료), 3.7.10(오일)과 직접 참조하여 혼선 방지
ㆍ형상관리: Figure 5/9a/9b 개정 시 동시 업데이트 및 시험 절차 개정 이력화</t>
  </si>
  <si>
    <t>ㆍ엔진 시동·재시동(재점화)은 임무 지속성·생존성의 핵심으로, 지상·공중·각종 환경에서 확실한 시동성이 요구
ㆍ공중 재시동 불능은 엔진 정지 → 항공기 손실 위험으로 직결되므로 조건별 시동 요건을 명확히 해야함
ㆍ정량 요건은 설계·시험·운용의 공통 기준이 되어 신뢰성 검증을 가능하게 함
ㆍ전 세계 기지 운용을 위해 혹한/혹서에서도 확실한 지상 시동성을 확보해야함
ㆍ시동 불능은 임무 지연·정비 부담으로 직결되므로 온도 기반 정량 요구도를 선정하여 리스크 감소
ㆍ명확한 한계(예: −XX °C / +YY °C)는 시험·인증·운용 매뉴얼의 공통 기준으로 설정</t>
  </si>
  <si>
    <t>ㆍ시동 가능 범위를 수치로 규정: 최대 고도/속도, 대기온도 범위, 시간 내 시동 완료 기준(RPM 상승→안정 운전)
ㆍ지상 시동 + 공중 재시동 모두 충족; 자동 재점화 장치가 있을 경우 발생 후 △초 내 자동 재점화 등 요건 포함
ㆍ조건부 보완(e.g. APU 공기 주입, 연료/오일 예열) 허용 시 사용 조건·절차를 사양에 명시
ㆍ요구도예시: 외부 보조 없이 −32 °C 시동 가능, +52 °C 고온에서도 시동 가능”을 규정(공기/연료/오일 조건 포함)
ㆍ한랭상황: 오일 예열·배터리/스타터 용량·연료 성상(점도/휘발도) 요구, 점화 지연 방지 대책 명시
ㆍ혹서상황: 베이퍼락 방지, 연료/연료라인 차열·환기, APU 공기주입 등 보조 절차(허용·조건) 규정</t>
  </si>
  <si>
    <t xml:space="preserve">
ㆍ다중 점화원/향상된 점화 에너지/연료 스케줄 개선으로 재점화 신뢰도가 크게 향상
ㆍ단발기 등은 자동 재점화 필수화, 프로그램 단계에서 재시동 시험 프로파일을 표준화해 리스크를 저감
ㆍ사막·혹한 기지에서 연료 성상/열관리 미흡으로 시동 난항 사례 다수 → 사전 극한 시동 시험이 표준화
ㆍ불능 구간은 **절차적 완화(예: APU 공기주입, 예열 시간)**를 병행해 실사용성을 확보
ㆍ초기 설계에서 시동 온도 한계 + 보조수단 조건을 함께 계약·사양에 명시해야 재작업을 줄일 수 있음</t>
  </si>
  <si>
    <t>ㆍ혹서/혹한상황을 시제개발엔진에 모두 대응하는
   것은 과도한 조건이라고 판단
ㆍ전세계환경 모두 대응할 수 있는 시동조건은 
   시제개발엔진에서 대응하기 어렵다고 판단</t>
  </si>
  <si>
    <t>ㆍRFP에 명시된 운용온도범위 내에서 지상시동
   성능요구도 정의 필요</t>
  </si>
  <si>
    <t>Air starts</t>
  </si>
  <si>
    <t>공중 시동</t>
  </si>
  <si>
    <t>ㆍ윈드밀·스풀다운·스타터 보조 공중시동의 엔벨로프 및 최대 시동시간(고객 블리드/전력 인출 포함)은 운용영역/도면에 정의
ㆍFigure 10 범위 내 공중시동은, 지정된 시동시간 내에 엔진 아이들 속도 도달 및 시동/운용 한계 미초과 시 적합 간주
- Figure 10/ICD: 고도-마하-온도(ISA/ΔISA), 풍속/풍향, 블리드/전력 인출 상태별 윈드밀/스풀다운/스타터 보조 영역과 최대 시동시간 곡선 표기
ㆍ엔진은 연속 시동 사이클을 수행할 수 있어야 하며, 각 사이클 종료 후 다음 사이클 개시까지의 최대 간격은 일정 시간을 초과하지 않아야함
ㆍ시동시간 측정 기준: 시동 시퀀스 개시부터 안 보정(stabilized uncorrected) 엔진 아이들 로터 속도의 일정수준 도달 시점까지로 함
ㆍ공중시동 중 엔진 로터 부하는 Table I에 제시된 드라이브 총 최대 부하의 최소 일정수준 이상이어야 함
ㆍ터보프롭엔진 특기사항: 비행 중 엔진 정지 상태에서 Figure 7의 loiter 종료 고도(start envelope)에서 일정시간 이상 비작동 후에도 시동 가능해야함
(a) 운용영역/도면 위치: ICD에 정의. ICD 미사용 시 본 사양의 Figure 10에 엔벨로프(고도·마하·온도·풍속/방향, 고객 블리드/전력 인출 상태 포함) 표시
-형상관리: ICD/도면(7,10) 변경 시 본문 수치와 동시 개정, 충돌 시 우선순위(보통 ICD/도면 우선) 명시
(b) 연속 시동 사이클 간 최대 간격: 범위: 0 ~ 60 s, 권고: 30 s(배터리/스타터 열관리, 점화 재시도 절차 고려)
-연속 사이클 시험: (b)s 이하 간격으로 N회(프로그램 정의) 반복, 열관리/배터리/스타터 성능 모니터링
(c) 아이들 속도 판정치: 범위: 95 ~ 100% of stabilized uncorrected idle rotor speed, 권고: 98%(계측 변동/안정화 시간 고려)
-시동 성공 기준: (c)% idle 도달, 한계(온도/속도/토크/진동) 미초과, 연료·점화·제어 이벤트 로그 일치
(d) 공중시동 중 로터 부하(액세서리 구동 대비): 권고 범위: 5 ~ 10%(프로그램에서 확정), 주의: Table I의 총 최대 부하 대비 최소 보장 부하로 명시
-부하 조건: 공중시동 중 액세서리 부하를 **≥ (d)%**로 인가(발전/펌프 등 대표 부하 조합)하여 검증
(e) Loiter 비작동 시간(초계기 터보프롭): ICD에 loiter 기간 명시. ICD 미사용 시 본 사양 본문에 기재(예: 2 h 또는 4 h)
-시나리오: (e)h 비작동 후 Figure 7 고도에서 재시동 시험(연료/오일 점도·온도 조건 포함)</t>
  </si>
  <si>
    <t>ㆍ비행 중 엔진 정지 시 재시동 가능성은 조종사 생존·임무 완수에 직결
ㆍ다양한 고도/속도 범위에서 재점화 능력을 요구하여 비상 상황 대응력을 확보
ㆍ명확한 요구는 설계·시험·운용의 공통 기준이 되어 신뢰성을 향상</t>
  </si>
  <si>
    <t>ㆍ공중시동 가능 고도/속도 영역(예: 0~12 km, M 0~0.8)을 규정하고 풍차(윈드밀)/공기시동 모두에 대한 기준을 명시
-30,000 ft, M 0.6, 윈드밀링 RPM ≥ X%일 때 Y s 이내 재점화와 같은 RPM·시간·연료/점화 조건을 수치화
ㆍ시동 성공 기준(자립 RPM 도달/안정 아이들/한계 미초과) 포함
ㆍ시나리오별 절차(스타터 보조, 재시동 시도 횟수/대기시간) 포함</t>
  </si>
  <si>
    <t>ㆍ고고도 재점화 실패 사례는 점화계 성능·연료 분무·공력 조건의 중요성을 부각했다.
ㆍ단일엔진 플랫폼에서 풍차 RPM 부족 → 재점화 실패 위험 사례 존재
ㆍ터빈 공차/공력 최적화로 저밀도 공기에서도 충분한 풍차 속도를 확보하여 문제를 해소.
ㆍ요구 산정 전 광범위한 공중시동 시험과 모델–시험 상관이 필수라는 교훈이 확립</t>
  </si>
  <si>
    <t>Staring limits</t>
  </si>
  <si>
    <t>시동 한계</t>
  </si>
  <si>
    <t>ㆍ지상 시동 가능 고도: 터보프롭엔진, 4.5km(14,764 ft)
ㆍ지상 및 공중 시동 최대 터빈 온도(e.g. EGT/ITT) 한계, 핫/콜드 엔진 고도 한계의 차이, 최대 고객 블리드/최대 고객 전력 인출 시 한계, 
   터보프롭의 포스트 로이터(post-loiter) 고도 시동 한계는 ICD에 명시
ㆍ단발/쌍발 항공기 적용 시, 공중 시동 고도 한계는 높을수록, 시동 가능 대기속도는 낮을수록 설정
ㆍ세부 한계의 문서화
- 최대 터빈 온도: 지상/공중 시동 시 EGT/ITT 한계(°C), 초과 시 중단·쿨다운 절차
- 핫/콜드 엔진 차등 한계: 핫 소크/콜드 소크 시간 정의와 각각의 최대 시동 고도
- 고객 블리드/전력 인출: 최대 블리드 질량유량(%), 최대 전력 인출(kW/shp) 조건에서의 시동 고도/속도 한계
- 터보프롭 포스트 로이터: 로이터 종료 고도/속도에서 비가열(비작동) (e) 시간 후 시동 한계
ㆍFigure/표 연계
-Figure 10: 윈드밀/스풀다운/스타터 보조 공중 시동 엔벨로프 + 최대 시동 시간(고도–속도 등고선)
-Figure 9a/9b(해당 시): 지상 시동 시간 vs. 고도/온도, 지상 풍조건 엔벨로프
-Table I: 액세서리 드라이브 최대 부하(공중 시동 중 최소 (d)% 로드 반영)</t>
  </si>
  <si>
    <t>ㆍ연속 시동 횟수·간격 제한을 규정해 스타터 과열·배터리 방전·구성품 손상을 예방
ㆍ무리한 반복 시동으로 인한 과부하·열 축적을 제어해 시동 신뢰성·안전성을 높임
ㆍ명확한 한계 설정은 운용 절차·교육·자동 보호 로직의 기준선이 됨</t>
  </si>
  <si>
    <t>ㆍ예: 최대 연속 시동 3회, 각 시도 후 쿨다운 30 s(또는 X s) → Y분 휴지 후 재시도
ㆍ시동 금지 조건 명시: 내부 온도 한계(예: EGT/ITT &gt; Tlim), 고고도/저전압 등 환경·상태 기반 차단
ㆍ매뉴얼·FADEC 로직과 연계: 자동 카운트/타이머, 쿨다운 강제, 경고·잠금(LOTO) 조건을 요구</t>
  </si>
  <si>
    <t>ㆍ현장 반복 시도로 스타터 화재/손상 사례 다수 → 횟수 제한·간격 규정 도입 후 사고 감소
ㆍ조종사 교육과 계기·ECU 경고가 준수율을 높이고 시스템 보호에 효과적
ㆍ수치화된 제한을 계약·사양에 명시하면 책임·운용 일관성이 확보</t>
  </si>
  <si>
    <t>Starting procedure</t>
  </si>
  <si>
    <t>시동 절차</t>
  </si>
  <si>
    <t>ㆍ시동 절차는 단순해야 하며 정밀한 타이밍을 요구하지 않아야함
ㆍ엔진은 추력/출력 요구가 아이들(Idle) 또는 그 이상인 상태에서도 시동 가능해야함
ㆍ시동 시퀀스 개시 후, 엔진은 지체 없이 즉시 임의의 파워 요구치로 가속될 수 있어야함
ㆍ이 과정은 규정된 시동 한계 내에서 스톨 없이 이루어져야함
ㆍ절차 단순성: 조작 단계 ≤ N단계(프로그램 정의), 타이밍 윈도우 요구 없음(±t 허용 넓음) 시험/HMI 점검
ㆍIdle 이상 요구 시 시동성: Idle·Idle+Δ 파워 커맨드 상태에서 Figure 9a 시간 이내 시동 성공(자립 RPM 도달)
ㆍ즉시 가속: 시동 시퀀스 개시 후 T≤T_lim 내 임의 파워 커맨드(예: Idle→MIL/TO) 적용 시 스톨/플레임아웃·한계 초과 無
ㆍ한계 준수: 시동/가속 동안 EGT/ITT, N, 토크, 진동이 표 IV Red-line 미초과
ㆍ반복성: 연속 시동 사이클 규정(예: 3회, 간격 b초) 하에서 동일 결과 재현
ㆍ제어 로직 일치: FADEC 자동 시동/가속 로직이 위 요구를 모델(HIL)–리그–비행에서 일관되게 충족
ㆍ환경 범위: Figure 5(온도/고도/습도) 대표점(SLS, Hot, Cold)에서 동등 성능 확인</t>
  </si>
  <si>
    <t>ㆍ엔진별 시동 절차 표준화는 안전·성공률을 좌우하므로 요구사항으로 명문화가 필요
ㆍ점화 시점·연료 커트인 등 핵심 조작 타이밍을 규정해 오조작·오발화를 예방
ㆍ표준 절차는 제어 로직(FADEC)·운용 매뉴얼·시험 절차의 공통 기준선으로 사용</t>
  </si>
  <si>
    <t>ㆍ예시 단계: 스타터 작동 → n₁%에서 점화 → n₂%에서 연료 투입 → n₃%에서 스타터 컷아웃 → 안정 아이들
ㆍ각 단계의 한계시간/재시도 조건/한계 미초과(온도·속도·토크)를 정량 명시하고 자동/수동 흐름을 구분
ㆍ비정상 분기(점화 실패·온도 급상승·연료 압력 저하 등) 시 자동 중단/냉각 대기/경고 로직을 요구</t>
  </si>
  <si>
    <t>ㆍ좁은 타이밍 윈도우는 수동 시동 실패율상승으로 이어짐 → FADEC 기반 자동 시동이 효과적
ㆍ점화–연료 투입–스타터 컷아웃의 최적 타이밍을 모델/리그/비행으로 상관 검증해야함
ㆍ절차 단순화·Human-factor 설계(표시·경고·단계 자동화)가 조종 실수와 엔진 손상을 감소</t>
  </si>
  <si>
    <t>Automatic relight</t>
  </si>
  <si>
    <t>자동 재점화</t>
  </si>
  <si>
    <t>ㆍ민감도/응답/점화 유지 해석: 자동 재점화(Automatic Relight) 시스템은 다음을 만족해야함
-민감도: 시스템은 계측 파라미터(예: 연소실 압력/온도, 광센서, 가속도·RPM 변화율)에 대해 스풀다운 발생 이전에 요구 신호를 생성할 만큼 
             충분한 민감도를 가져야함
-응답성: 블로아웃/플레임아웃 신호 생성 후 로터 스풀다운을 방지할 만큼 충분히 빠르게 동작해야함(연료 재분사/점화 투입/공기유량 보정 등).
-점화 유지시간: 안정 연소 확립이 확인될 때까지 점화(ignition)가 충분 시간 유지되어야 함
ㆍ성능 엔벨로프: Figure 7에 제시한 자동 재점화 능력은 Airstart 엔벨로프 이상(동등 또는 우수)이어야함
ㆍ지속 점화/급속 재점화 운용: 아래의 플레임아웃 원인에 대해 예방 또는 극복에 유효해야함
(a) 총기/로켓 발사 배기가스 유입, (b) 고고도 기동 중 흡입면 공기유동 왜곡, (c) 얼음 유입, (d) 악천후.</t>
  </si>
  <si>
    <t>ㆍ단발기·무인기에서 자동 재점화는 생존성 핵심으로, 조종사 개입 없이 즉시 추력 복원이 가능해야함
ㆍ꺼짐(Flameout) 감지→자동 재점화 시도로 추력 공백 시간을 최소화하고 사고 가능성을 저감
ㆍ자동화된 보호 기능은 복잡한 전술·기상 상황에서도 인적 오류를 보완</t>
  </si>
  <si>
    <t>ㆍ감지 로직(압력/온도/광센서·dN/dt 등)으로 꺼짐 판단 시 점화 ON + 연료 재분사 자동 수행
ㆍ시도 횟수·간격·총 소요시간과 실패 시 경고/전환 절차(조종사 알림, 수동 재시동 모드) 규정
ㆍ작동 범위(고도/속도/왜곡·빙 조건) 명시: 전 범위 또는 Figure 7/10의 재점화·에어스타트 엔벨로프와 정합</t>
  </si>
  <si>
    <t>ㆍ단발 전투기에서 자동 재점화로 복귀 성공 사례 다수 → 기능 미채택 시 상실 위험 증가
ㆍ기능 채택 후 꺼짐 대응 시간 단축·사고율 감소가 확인되었고, 현재 기본 탑재·요구사항화가 일반적
ㆍ다발기에서도 안정성·가용성 향상 목적의 요구가 늘고 있으며, 모델–리그–비행으로 신뢰성 검증이 필수</t>
  </si>
  <si>
    <t>ㆍ지상/고도모사시험 중 자동으로 재점화되는지 시험하고 해당 성능을 확인
ㆍ자동재점화분석 및 시뮬레이션 기술자료를 통한 입증
-스풀다운 마진 분석:
T_detect + T_decide + T_actuate + T_ign_dwell &lt; T_margin_to_spooldown
(각 항목: 감지, 판정, 구동(연료/밸브/점화), 점화 유지시간)
-민감도 곡선: 센서별 검출 한계(ΔP, ΔT, dN/dt, 광강도 등) vs 플레임아웃 초기 징후 응답시간 곡선 제시
-재점화 한계: 고도/속도/온도/습도/왜곡 계수/DC60 등 Figure 7 전영역에서 점화 에너지·연료분무·
 공기유량 조합 적정성 확인.
ㆍ지상/고도모사시험
-유도 플레임아웃 시나리오별(배기가스 유입, 왜곡, 아이스, 악천후 모사) 검출-응답-안정화 시간 계측.
ㆍ수락 기준:
-검출 시간 T_detect ≤ T_detect,max(예: 100~200 ms 클래스)
-총 응답 시간 T_total ≤ T_total,max(예: 1~2 s 클래스, 형식/엔진에 맞게 정의)
-한계 미초과: 재점화 전후 EGT/ITT, N, 토크, 진동 red-line 미초과
-안정화 판정: 자립 아이들 도달 + 연소 변동/COI(Combustion Instability) 기준 충족
-연속 사건: 단일 sortie 내 복수 회 발생에도 성능 유지(FADEC 보호 로직, 열/전원 마진 확인)</t>
  </si>
  <si>
    <t>Stopping</t>
  </si>
  <si>
    <t>시동 차단</t>
  </si>
  <si>
    <t>ㆍ정지 신호 수신 시 연료 차단: 항공기로부터 정지 신호를 수신하면, 엔진은 어떠한 운용 상태에서도 즉시 연료 유량을 차단해야함
ㆍ임의 파워/율 정지 허용: 임의의 파워 설정(증강기 포함) 및 임의의 정지율에서의 엔진 정지는 다음을 야기해서는 안됨
(a) 즉시 또는 후속 엔진 한계 초과
(b) 내구성·구조 건전성·운용능력에 대한 악영향
(c) 로터 보잉(휘어짐) 또는 **로터 시저(회전부 고착)**의 수용 불가 수준
(d) 만족스러운 재시동 또는 **증강기 점화(augmentor light)**의 지연
ㆍ정지 후 화재 금지: 정지 이후 포스트 셧다운 화재가 발생해서는 안됨
ㆍ상기 방법으로 연료를 차단하거나, 엔진 인렛 연료 접속부에서의 연료 차단에 의해 어떠한 운용 상태에서도 엔진 손상이 발생해서는 안됨
ㆍ비(非)순수 기계식 정지수단: 완전 기계식이 아닌 수단으로 엔진을 정지시키는 모든 설계는 Using Service의 승인을 받아야함</t>
  </si>
  <si>
    <t>ㆍ엔진 정지(Shutdown) 능력은 지상·비상 상황에서 안전·정비 용이성을 보장하는 필수 기능
ㆍ미흡한 정지는 연료 미차단·열 과도로 화재·구성품 손상 등 안전사고로 이어짐
ㆍ명확한 정지 요구는 절차·제어 로직·검증의 공통 기준이 되어 신뢰성을 높임</t>
  </si>
  <si>
    <t>ㆍ정지 방식(연료 차단·점화 차단·공기 차단)과 판정 기준(레버 작동 후 일정시간 이내에 N→0)을 규정
ㆍ정지 후 조건: 잔여 연료 분사 금지, 누설없음, 재시동 가능 상태(오버슛·스파이크 없이) 보장
ㆍ열 보호: 최소 아이들 쿨다운 일정시간 이후 정지, 또는 EGT/ITT 일정온도 이내 조건 충족 시 정지 허용</t>
  </si>
  <si>
    <t>ㆍ급격 차단으로 열 과도 → 고온부 크랙 사례 발생 → 쿨다운 런·지연 정지 설계가 표준화
ㆍ연료 완전 차단 실패는 화재 위험 증대 → 이중 차단·상태 모니터링 요구가 도입됨
ㆍ정지 요구를 수치화·자동화(FADEC)하면 수명 보전·안전성이 유의미하게 향상</t>
  </si>
  <si>
    <t>Idle trust or power - (ground or flight idle)</t>
  </si>
  <si>
    <t>아이들 추력/출력(지상비행)</t>
  </si>
  <si>
    <t>ㆍ엔진에 추가 아이들 파워 세팅(예: 지상 아이들, Ground Idle)을 적용하는 경우, 해당 성능 수치와 한계는 Table II에 포함되어야함
ㆍ추가 아이들 파워 세팅의 실현 방법(제어 로직, 스케줄, 기계적 수단 등)은 본 문서 본문 또는 ICD에 명시해야함</t>
  </si>
  <si>
    <t>ㆍ아이들(IDLE)은 최저 안정 출력 상태로, 지상 대기·공중 슬로틀 아이들 시 운용 편의와 안전에 직결
ㆍ아이들 출력이 높으면 불필요한 추진력/연료 소모, 낮으면 안정성 저하(실화·스톨 위험)가 발생
ㆍ따라서 적정 아이들 추력/출력을 요구해 연료 효율·조종성·신뢰성을 균형 있게 확보</t>
  </si>
  <si>
    <t>ㆍ아이들 최대 추력(출력) 상한을 정량 규정(예: 지상 아이들 ≤ 정격의 X% / 비행 아이들 별도 값)
ㆍ아이들에서 안정 연소/자립 RPM 유지, 멈춤·맥동/서지 금지, 응답 특성(아이들→가속) 기준 제시
ㆍ지상/비행 아이들 RPM 차이·제어 로직(연료 스케줄/IGV/VBV)을 명시해 환경·설치에 따른 편차를 관리</t>
  </si>
  <si>
    <t>ㆍ아이들 설정 미흡으로 지상 활주 과속·조종 불편 사례 발생 → 아이들 추력 조정으로 개선
ㆍ요구사항에 아이들 상한/안정성 기준을 명문화하면 개발 단계부터 최적화·연료 절감이 촉진
ㆍ모델–리그–비행 상관으로 아이들 성능을 조기에 검증하면 운용성·신뢰성이 향상</t>
  </si>
  <si>
    <t>No-load condition</t>
  </si>
  <si>
    <t>무부하 조건</t>
  </si>
  <si>
    <t>ㆍ무부하 조건 정의(터보프롭: 지정된 파워 흡수기(specified power absorber) 장착 상태에서 출력축 전달 토크 = 0이고, 정상상태 거버닝 출력축 속도(상수)를 유지하며, 지정 최대 고도까지 운용 가능한 엔진 상태를 의미
ㆍ가스제너레이터 속도: 무부하 조건에서의 가스제너레이터 회전속도(N_g)는 3.2.1.3 성능 컴퓨터 프로그램에 명시
ㆍ부하↔무부하 전이 성능: 엔진(들)과 토크 흡수기 시스템은 3.2.2.7에서 정의된 로터 속도/토크 불일치 한계 
   이내에서 부하↔무부하 전이가 가능해야함
-이 과정에서 가스제너레이터 운용 한계를 초과해서는 안됨
-고도 상한: 임무/기체 요구에 정합되게 설정(4.5 km (14,764 ft) 터보프롭)
-N_g@no-load: 성능소프트웨어(AS681)에 점/스케줄로 명시(고도/온도 의존성 포함)
-거버닝 출력축 속도: 상수 RPM 목표 ±허용오차(예: ±1~2%)를 규정</t>
  </si>
  <si>
    <t>ㆍ무부하 공회전 상황(예: 터보샤프트의 로터/프로펠러 분리)에서도 엔진은 안전 운전이 가능해야함
ㆍ부하 상실 시 자생적 RPM 상승→과속(overspeed) 위험이 커지므로 제어·보호 요구가 필요
ㆍ적절한 제한이 없으면 구성품 파손·임무 중단·안전사고로 이어질 수 있음</t>
  </si>
  <si>
    <t>ㆍ무부하 감지 시 자동 연료 컷백/리미터로 정격 최대의 일정수준 이내의 RPM을 유지하도록 규정
ㆍFADEC 로직: 부하 상실 판정(dTorque/dt, 드라이브 상태) → 연료 스케줄 감축·한계기 우선순위 적용
ㆍ프로펠러/로터활용엔진은 클러치 분리·프리휠 동작 시에도 과속 방지가 필수(시험·절차 포함)</t>
  </si>
  <si>
    <t>ㆍ로터 클러치 해제 중 엔진 과속 사고 사례 다수 → 전기/기계식 Overspeed 보호가 표준화됨
ㆍ무부하 차단 기능을 요구사항에 명문화하고, 리그/비행 시험으로 검증 시 재발이 감소
ㆍ다중 보호(기계 오버스피드+전자 리미트)와 이벤트 로깅이 인명·장비 보호에 효과적</t>
  </si>
  <si>
    <t>Stability</t>
  </si>
  <si>
    <t>안정성</t>
  </si>
  <si>
    <t>ㆍ정상상태(steady-state)에서, 아이들↔중간 또는 최대 연속 구간의 엔진 추력/출력 변동(peak-to-peak) 은 (a)% 또는 해당 파워 레벨·운용조건에서 
   가용 추력/출력의 (b)% 중 더 작은 값을 초과하지 않아야함
ㆍ중간 초과~최대 증강(augmentor) 구간 운전 중 변동은 해당 조건 가용 추력/출력의 (c)%를 초과하지 않아야함
ㆍ정상상태에서 주요 이산 주파수 변동(major discrete frequency fluctuations) 사이의 기간은 일정시간 미만이어서는 안됨
-정의는 3.7.11 Guidance Background 참조
ㆍ메인 연소기/증강기 블로아웃 마진은 최악 조건의 급가감속 및 제어/스택업 공차 하에서도 블로아웃/플레임아웃 방지에 충분해야함
ㆍ블리드 추출은 엔진 안정성/한계 유지를 위해 추력/출력 수요 변조를 요구하지 않아야함
ㆍ허용 가능한 변동의 절대 최대치는 어떠한 경우에도 (e) (추력 또는 출력) 미만이어서는 안됨
ㆍ전체수치보수적: (a)=1%, (b)=3%, (c)=1%, (d)=≥5 s, (e)=25 lbf
-제어 로직: 스케줄 이득 제한·연료/IGV/VBV 협조·전력 인출 feed-forward, 안정화 필터 적용
-연소/음향: 스와렐·연료 분무 최적화, 모드 탈동기화(detuning)로 이산 변동 억제
-설치 영향: 흡입 왜곡·배기 반사 저감(라이너/디플렉터), 기체-엔진 공진 분리</t>
  </si>
  <si>
    <t>ㆍ엔진은 전 운용영역에서 안정 연소와 압축기 안정도를 유지해 스톨/서지 무발생을 보장해야함
ㆍ스톨/서지는 추력 급감·진동·제어 상실로 이어져 조종·안전·임무에 치명적
ㆍ명확한 안정성 요구는 설계(여유·제어)–시험(검증)–운용(한계준수)의 공통 기준을 제공</t>
  </si>
  <si>
    <t>ㆍ엔진은 정상 운용 중 어떠한 속도·추력 전환/과도에서도 콤프레서 스톨·서지를 일으켜서는 안됨(사양에 명시)
ㆍ안정성 확보 수단: 가변 정익(IGV/VSV)·VBV/VBV 스케줄, 제어 리미터(온도/속도/토크), 서지 라인 여유(SM) 확보
ㆍ흡입 왜곡·블리드·전력/블리드 인출 등 설치·임무 변수 포함 최악 조건에서의 안정성 검증을 요구</t>
  </si>
  <si>
    <t>ㆍ과거 고고도 가속 중 빈번한 스톨(예: Engine J)은 임무 실패·신뢰성 저하를 초래
ㆍ블리드/가변기하 최적화·안정영역 확장으로 문제를 해결했고, 이후 광범위 시험(풍동/고도실험)이 표준화
ㆍ현재는 정량 서지 여유·설치 왜곡 한계·급과도 프로파일을 포함한 요구/검증으로 운용 신뢰성이 크게 향상</t>
  </si>
  <si>
    <t>Overshoot and undershoot</t>
  </si>
  <si>
    <t>오버 및 언더슈트</t>
  </si>
  <si>
    <t>ㆍOvershoot/Undershoot는 엔진 추력 변동 시 일시적으로 목표치를 넘거나 못 미치는 현상
ㆍ이를 정량화하여 제어 시스템의 역할을 명확히 해야함
-너무 큰 overshoot은 엔진 및 기체 구조에 무리
-undershoot이 크면 조종 응답 지연 발생
-출력축 무부하(Load removal)는 어떠한 순서·율의 과도에서도 응답 품질을 해치지 않아야함
ㆍ엔진은 전 운용 엔벨로프에서 어떤 추력/출력 트랜지언트도 본 사양 요구를 충족하며 만족스럽게 수행해야함
ㆍ어떤 순서·율의 추력/출력 요구(프라이머리·백업 제어 모드 모두)는 어떤 엔진 한계(오버스피드/오버템프 포함)도 초과하지 않고, 
   불안정 운전이나 기계적 손상을 야기해서는 안됨
-백업 제어 모드 운전 시, 추력/출력 트랜지언트 시간은 프라이머리 제어 모드 대비 (a) 이내여야함
-프라이머리 제어 모드 운전 시, 모든 백업 제어 모드의 추력/출력 트랜지언트 시간은 프라이머리 제어 모드 대비 (a) 이내여야함
-설치 엔진 조건(고객 블리드/전력 인출/안티아이스 블리드/인렛 왜곡/노즐 영향, 단독 또는 조합) 및 
 비표준일 전 환경·엔벨로프에서의 트랜지언트 시간은 **표준일(SLS/ISA) 트랜지언트 시간의 (b) %**를 초과하지 않아야함
-스로틀 (c) °/s 변위율에서의 트랜지언트 시간은, 표준일·고객 블리드/전력 인출 없음·엔진 안티아이스 블리드 없음
 (단, 가속/냉각 등 기타 시스템 블리드는 포함) 조건에서의 최장(슬로우스트) 트랜지언트 시간으로 정의
-엔진이 **추력/출력 변화의 (d) %**에 도달하는 데 필요한 시간과, 전체 트랜지언트를 완료하여 트랜지언트 안정(steady) 
 도달까지 필요한 총 시간을 아래에 명시
-연속 사인(sinusoidal) 스로틀 트랜지언트(피크투피크 (e) % 요구, 주파수 (f) Hz)는 발산(different, divergent) 응답을 유발해서는 안됨
-위상 지연은 (g) ° 이내, 응답 피크는 요구의 최소 (h) % 이상이어야함
-대칭 스로틀 요구는 발산 대칭 응답을 유발해서는 안됨
(a) (백업↔프라이머리 시간 편차 한도): ±10~20% (민감 임무/IFR는 10% 권고)
(b) (설치/비표준일 증가율 상한): ≤120~130% (기준: 120% 보수권고)
(c) (스로틀 변위율 기준): 60~90 °/s (전술기 90 °/s, 수송/헬기는 60~75 °/s)
(d) (부분 도달 판정 비율): 90% *(일반), 필요 시 95%
(e) (사인 요구 피크투피크): ±5% (p-p 10%) 또는 p-p 5% (플랫폼 민감도에 따라)
(f) (사인 주파수): 0.5~1.0 Hz (급응답 임무 1.0 Hz 권고)
(g) (위상 지연 한도): ≤30° (정밀 급유/접근 임무 20°까지 보수 가능)
(h) (응답 피크 크기): ≥95% (IFR/급유용은 98% 권고)
예시(전술기 보수안):(a)=±10%, (b)=120%, (c)=90°/s, (d)=90%, (e)=p-p 10%, (f)=1.0 Hz, (g)=20°, (h)=98%
ㆍ터보프롭엔진 표준상태(SLS, ISA) 과도응답 요구도 설정예시, 해수면~10,000 ft &amp; 0~150 KIAS (M 0.0~0.25):
a. 무부하 ↔ 최대연속/중간 출력: 각 구간 ≤ (aa)=5 s.
b. 아이들 ↔ 최대 출력: 각 구간 ≤ (bb)=7 s.
c. 최대연속/중간 ↔ 풀 리버스:
-비(非)자유터빈형: 각 구간 ≤ (cc)=3 s.
-자유터빈형: 과속 방지를 위해 아이들 경유 전환을 허용하며, 이때 소요 시간은 본 항의 다른 과도시간(예: (bb))과 동일 수준으로 일치시켜야 한다.
d. 30% MC/I ↔ MC/I: 각 구간 ≤ (dd)=4 s.
e. 10% → 20% MC/I: ≤ (ee)=0.5 s, 스로틀 이동량은 정상상태 변화에 필요한 이동의 125% 초과 금지.
f. 20% → 10% MC/I: ≤ (ff)=0.5 s, 동일 125% 제한.
g. 20% → 30% MC/I: ≤ (gg)=0.5 s, 동일 125% 제한.
h. 30% → 20% MC/I: ≤ (hh)=0.5 s, 동일 125% 제한.
i. 아이들 및 10/20/30/40/50% MC/I → MC/I 및 MAX의 출력–시간 곡선은 (ii) 도표/표로 제시한다(모델 사양에 수록).
10,000 ft ~ 절대고도:
j. 아이들 ↔ MC/I: 각 구간 ≤ (jj)=12 s.
모든 운용 조건(전 구간 공통):
k. MAX ↔ FULL REV:
-비(非)자유터빈형: 각 구간 ≤ (kk)=2 s.
-자유터빈형: 아이들 경유 전환 허용, 총 소요 시간은 본 항의 다른 과도시간(예: (bb))과 일관되어야 한다.
l. FULL REV ↔ MC/I:
-비(非)자유터빈형: 각 구간 ≤ (ll)=2 s.
-자유터빈형: 아이들 경유 전환 허용, 총 소요 시간은 본 항의 다른 과도시간(예: (bb))과 일관되어야 한다.
m. MAX ↔ MC/I: 각 구간 ≤ (mm)=2 s.</t>
  </si>
  <si>
    <t>ㆍ급가속/감속 시 발생하는 추력/출력 트랜지언트를 정량 규정해 일시적 과다·과소 응답을 통제
ㆍ과도 변동이 크면 한계 초과(온도/속도/토크)·조종성 저하·임무 수행 지연 발생 가능
ㆍ명확한 한계는 제어기(FADEC) 튜닝 목표를 제공해 안전·신뢰성을 높임
ㆍ추력/회전수 명령 변화 시 발생하는 Overshoot/Undershoot를 정량화해 제어 시스템의 목표를 명확하게 정의
ㆍ큰 Overshoot는 엔진/기체 구조 부하·한계 초과를 유발하고, 큰 Undershoot는 응답 지연·추력 공백을 키움
ㆍ제한값을 규정하면 안전·수명·조종성을 동시에 확보할 수 있음</t>
  </si>
  <si>
    <t>ㆍ오버슈트/언더슈트 크기를 정격 대비 ±X% 이내, 정상 복귀 시간 ≤ Y s로 규정(가속·감속 각각 정의)
-명령 변화 시 목표 대비 +X% / −Y% 이내로만 편차 허용, Z초 이내 안정 상태 복귀를 요구한다.
ㆍ판정 조건(e.g.SLS/Hot/High, 각 파워 구간), 참조 값(정격/요구 파워), 허용 빈도를 명시
ㆍ제어수단: 연료 스케줄 램프/리미터 우선순위(온도·속도·토크), IGV/VSV·VBV 협조, 피드포워드 적용
-제어계는 피드백/피드포워드·리미터(온도/속도/토크)로 편차·복귀시간 요구를 충족해야함
-시험·모델 기준(조건·참조값·허용 빈도)을 명시해 판정의 일관성을 확보</t>
  </si>
  <si>
    <t>ㆍ과거 연료제어 최적화 미흡으로 큰 오버슈트→한계 초과 또는 언더슈트→응답 지연 사례있음
ㆍFADEC 기반 제어와 요구치 명문화로 트랜지언트를 미미하게 유지하고 안정성을 확보
ㆍ현재는 모델–리그–비행 상관을 통해 X·Y 값 최적화가 표준이며, 제조사 제어기 튜닝 품질이 성능 차이를 좌우</t>
  </si>
  <si>
    <t>Droop
드룹(엔진에 부하가 증가할수록 엔진의 속도가 감소하는 특성)</t>
  </si>
  <si>
    <t>엔진 드룹</t>
  </si>
  <si>
    <t>ㆍ어떠한 가속(acceleration) 중에도, 요구 추력/출력 대비 (b)% 변화 달성 시점부터 3.2.2.7의 트랜지언트 안정 도달 시점까지, 
   실제 추력/출력은 요구값의 (a)% 미만으로 드룹(droop) 되어서는 안됨
- 트랜지언트 안정 시점부터 3.2.2.6의 정상상태 안정 도달 시점까지의 구간에서, 추력/출력 드룹은 (c)%를 초과해서는 안됨 
(a) (가속 중 허용 최소 추력/출력 비율): ≥ 95% (권장 범위 95–99%)
(b) (부분 도달 판정 비율): 90% (일반적으로 t₉₀ 기준과 정합)
(c) (트랜지언트 안정→정상 안정 구간 드룹 상한): ≤ 1.0% (권장 범위 0.5–1.0%)
ㆍ예시 채택안: (a)=95%, (b)=90%, (c)=1.0%
ㆍ체크해야할부분
-프로파일 정의: 표준일(SLS/ISA) 및 대표 비표준일에서 Idle→MC/Max, 단계/램프 가속 프로파일 수립
-측정 기준:t₉₀(= (b)%) 도달 시각, 트랜지언트 안정 시각, 정상 안정 시각을 표준화
-드룹 계산 = (요구값 − 실제값)/요구값 ×100% (peak-to-valley, 단위 %)
-판정:t₉₀→트랜지언트 안정 구간: 드룹 ≥ (100−a)% 금지(즉, 실제 ≥ a%)
        트랜지언트 안정→정상 안정 구간: 드룹 ≤ (c)%
        전 구간 레드라인(속도/온도/토크/진동) 미초과, 플레임아웃/서지 無
-설치·환경 영향: 블리드/전력 인출/인렛 왜곡/노즐 효과 및 비표준일에서도 동일 기준 충족(필요 시 (b) 동일, (a)(c) 유지)
-제어 로직 확인: FADEC 연료 스케줄·리미터 우선순위(온도/속도/토크)와 IGV/VBV 협조로 드룹 억제 동작 확인
-상관: 성능/제어 덱(AS681) 예측치와 리그/엔진/비행 데이터 상관, 불일치 시 근거 포함 보정</t>
  </si>
  <si>
    <t>ㆍ추력 레버 급변 시 가스온도(TIT/T4/ITT) 급상승은 부품 열응력을 유발하므로 정량 관리가 필요
ㆍ과도 온도 스파이크/상승률을 방치하면 수명 저하·신뢰성 악화로 직결
ㆍ내부 과도응답을 요구로 명문화해 한계 준수·보호 로직을 보장해야함</t>
  </si>
  <si>
    <t>ㆍ급가속: “TIT(T4) ≤ Tlim + ΔT” 및 “dT/dt ≤ Rmax”, “초과 지속시간 ≤ τmax” 등 수치 한계를 규정
ㆍ급감속: 최소 연료 유량/점화 유지 요건을 두어 플레임아웃 방지(언더슈트 제어)
ㆍFADEC은 온도 리미터 우선(Temp &gt; Speed/Torque), T4 트림·연료 램프/히스테리시스를 구현</t>
  </si>
  <si>
    <t>ㆍ과거 급가속 시험에서 온도 초과 → 고온부 손상 사례 발생 → 가속 중 온도 제한(T4 trim) 도입
ㆍ과도 온도·상승률 한계를 요구에 포함하면 제어 튜닝 품질과 신뢰성이 유의미하게 향상
ㆍ모델–리그–비행 상관으로 △T, R, Z 값을 최적화해 성능·수명 균형을 달성하는 것이 표준화</t>
  </si>
  <si>
    <t>Windmilling</t>
  </si>
  <si>
    <t>엔진 자회전</t>
  </si>
  <si>
    <t>ㆍ엔진은 윈드밀링 상태에서 무손상으로 지정된 연속시간 동안 운전 가능해야 하며, 윤활/냉각/전원(필요 시)이 유지되어야함
ㆍ윈드밀링 중 로터 속도·온도·진동·오일압/유량은 Table WM-B의 한계를 초과하지 않아야함
ㆍ윈드밀링 기간 후, 엔진은 재시동 및 정상 운용 능력에 열/기계적 손상으로 인한 제약이 없어야함
-자유/비자유터빈 TP/TS: 프로펠러는 자동 페더(또는 저항 최소 베타) 기능으로 윈드밀링 항력 한도 만족필요
-자동 페더 작동은 명령 또는 조건 진입 후 일정시간 이내 완료 필요
-부하 제거/인가 전이(부하↔무부하)는 3.2.2.7의 속도/토크 불일치를 초과하지 않아야함
-윈드밀링 중 오버스피드 방지 로직이 동작해야함</t>
  </si>
  <si>
    <t>ㆍ비행 중 윈드밀링(무추력 자회전) 상태에서도 엔진은 손상 없이 장시간 견딜 수 있어야함
ㆍ이는 비상 상황(동력 상실) 대비 및 운용 절차(다발기 연료절감 운용 등)에 필수 역량
ㆍ윈드밀링 능력은 플랫폼 환경/임무에 맞게 충분한 내구·안정성을 확보하도록 요구</t>
  </si>
  <si>
    <t xml:space="preserve">ㆍ사양에 지속 허용시간(t_wm,cont)과 조건(Alt/M/V, 온도, 설치효과)을 정량 명시
ㆍN_wm–M 곡선, Drag(또는 −Thrust)–M 곡선, 오일소모/윤활 한계, 윤활 실패 시 허용 시간 등을 표/도면으로 포함
ㆍ단발기는 생존성 관점에서 보수적 한계를 적용
-재시동성 보장, 오버스피드보호강화 필요
ㆍ터보프롭, 프로펠러: 페더 각도/베타 스케줄, 자동전환 조건(WoW, N, 토크, M/Alt)을 ICD에 구체화
</t>
  </si>
  <si>
    <t>ㆍ윈드밀링 운용 시 윤활·냉각 유지가 핵심이라는 교훈이 도출되었으며 이를 사양에 반영
ㆍ윈드밀링 후 재시동 성능에 영향이 될 수 있어, 지속 시간 후 재시동·정상 운용 능력 보장 요구 필요
ㆍ과거 사례를 바탕으로 Drag 저감(페더/베타), 오버스피드 보호, 윤활 한계 관리를 설계·검증에 포함</t>
  </si>
  <si>
    <t>Reverse thrust</t>
  </si>
  <si>
    <t>엔진 역추진</t>
  </si>
  <si>
    <t>ㆍ시제개발엔진 SOR에 역추진 없음</t>
  </si>
  <si>
    <t>Steady-state and transient airflow</t>
  </si>
  <si>
    <t>정상상태 및 과도상태 공기유동</t>
  </si>
  <si>
    <t>ㆍ정상상태 공기유량(ṁ_air,ss) 은 성능 컴퓨터 프로그램(3.2.1.1) 산출 값 대비 ±(a)% 범위를 초과하지 않아야함
ㆍ과도 공기유량(ṁ_air,tr) 은 과도 성능 프로그램(3.2.1.2) 산출 값 대비 ±(b)% 범위를 초과하지 않아야함
ㆍ모든 과도 과정에서 최대 정상 유량(ṁ_air,ss,max) 대비 |(ṁ_air,tr − ṁ_air,ss,max)| ≤ (c)%·ṁ_air,ss,max 를 만족
-이로 인해 서지/실속 또는 흡입구 흐름 분리가 발생해서는 안됨
ㆍ상기 한계는 엔진 열화·제어 허용오차·엔진 간 편차·비표준 대기조건을 포함하여 설정
-Table AF-1(대표점) 및 Figure AF-1(고도–마하–온도 등고선)로 제시
ㆍ수치제안:(a)=±2~3%, (b)=±3~5%, (c)=±5~10%
-제어: 연료 스케줄 램프, IGV/VSV·VBV/VBV 협조, 블리드 프리셋/피드포워드로 유량 스텝 억제
-흡입구: 압력회수 스케줄·왜곡 완화 장치(스크린/베인), 설치 상호작용을 초기 CFD/시험으로 확인
-여유: 제작 편차·센서 오차·환경 변동을 포함한 모델 마진을 한계치에 내재화</t>
  </si>
  <si>
    <t>ㆍ정상·과도 공기유량 한계를 명시해 흡기–엔진(과급계) 안정과 흡입구–엔진 호환성을 보장
ㆍ유량 값과 허용 편차를 통해 요구 추력 달성과 서지/실속 무발생을 확보
ㆍ제작 편차·제어 오차·엔진 간 편차·비표준 대기를 고려한 여유(margin)를 설정해 운용 신뢰성 향상</t>
  </si>
  <si>
    <t>ㆍ정상상태 공기유량: 성능 모델(3.2.1.1) 산출 값의 ±(a)% 이내, 과도 유량: 과도 모델(3.2.1.2) 값의 ±(b)% 이내로 제한
ㆍ과도 유량은 최대 정상 유량 대비 (c)% 이상 이탈 금지(흡입구 흐름 분리·불일치 방지)
ㆍ한계치 산정 시 열화·제어허용·엔진간·비표준대기 효과를 모두 포함(표/도면으로 제시)</t>
  </si>
  <si>
    <t>ㆍ돌풍·급기동·급고도 변화로 흡입 유량 급변→정상 한계 초과 사례 발생
ㆍ명세에 과도 유량 조건을 포함하고 시험 단계에서 충분 검증해야 함이 확인
ㆍ흡입구–엔진 상호작용을 설계 초기에 반영하면 과도 유량 문제를 예방할 수 있음</t>
  </si>
  <si>
    <t>Inlet airflow distortion</t>
  </si>
  <si>
    <t>흡입구 공기유동 왜곡</t>
  </si>
  <si>
    <t>ㆍ흡입류 왜곡(압력·온도 비균일)은 서지/스톨/플레임아웃을 유발할 수 있어, 엔진–기체 호환 한계를 명확히 정의
ㆍ허용 왜곡 한계 규정은 설치·기동·무장 사용·증강(AB) 등 비정상 조건에서도 안정 운전을 보장
ㆍ초기 계면 정의로 성능 손실·개발 재작업을 예방하고, 엔진·기체 공력 설계 협조를 촉진</t>
  </si>
  <si>
    <t>ㆍ엔진은 정상/시간변화 왜곡 하에서 서지·스톨·플레임아웃·손상없음를 만족해야함
ㆍAIP(공력 계면면) 위치·정의 = (a), 왜곡 평가지표·방법론은 (b)(예: SAE ARP1420)에 따라 명시·적용
ㆍFigure 13(최악/임무 임계 패턴)과 Table ID-1(정량 한계)을 제시
-시험 패턴 수는 필수 세트+필요 패턴으로 테일러링
(a) AIP 위치 예): 인렛 립 후방 x = ___ mm, 엔진 축 기준 R = ___, θ = 0° at top-dead-center.
(b) 방법론: SAE ARP1420 최신판 또는 당사 승인 동등 기준(정의·계측·후처리·정적/동적 왜곡).
Table ID-1 권장 항목: DC60max ≤ __, ACmax ≤ __, ΔTmax ≤ __ K, Swirl ≤ __ deg, 
Dynamic f ≤ __ Hz, P–P ≤ __, 조건(Alt/M/ΔISA/AB/무장/블리드 조합).
Figure 13: 최악/임계 패턴(세그먼트, 쿠키바이트, 하프링, 스텝, 스월, 온도 링/스팟, 복합)을 필수+선택으로 표기.</t>
  </si>
  <si>
    <t>ㆍ왜곡 한계 미정의는 통합 단계 팬/압축기 손상·가속 불안정으로 이어짐
ㆍ기동/AB/무장 배기가스/캐터펄트 증기 등 비정상 흡입 조건을 요구·교정치에 반영해야함
ㆍ다양한 왜곡 상황 모델–시험 상관이 최종 승인·신뢰성 확보에 필수임이 확인</t>
  </si>
  <si>
    <t>Pressure and temperature rate of change</t>
  </si>
  <si>
    <t>압력 및 온도 변화율</t>
  </si>
  <si>
    <t>ㆍ흡입구 압력 및 온도의 급격한 변화율은 엔진의 순간적인 밀도변화를 유발
ㆍ실속 여유 감소 등 일시적인 성능 저하를 초래할 수 있음
ㆍ엔진의 폭발 충격 내성이 항공기 전체 생존성의 약점이 될 수 있음이 발견
ㆍ엔진의 고출력 환경에서도 압력/온도 급변을 견디는 설계를 사전에 확보
ㆍ국방성(DNA)이 관련 시험기법까지 개발하여 검증할 필요 있음
ㆍ엔진은 AIP(공력 계면면)에서 인가되는 흡입구 총압/정압 및 흡입구 총온/정온의 급격 변화율에 대해, 
   아래 한계 이내의 과도에 서지/스톨/플레임아웃/한계 초과(속도·온도·토크) 없이 안정 운전해야함
-압력 변화율 한계: |dP/dt| ≤ (a) kPa/s를 연속 (b) s 동안 인가
-온도 변화율 한계: |dT/dt| ≤ (c) °C/s를 연속 (d) s 동안 인가
ㆍ상기 과도 중 및 직후, 추력/출력 드룹·오버슈트/언더슈트는 별도 과도 변동 요구를 준수
ㆍ재시동/재점화 필요 없이 정상상태로 복귀해야함
ㆍ한계는 설치·임무 조건(로켓/포 배기가스, 터빈 배기가스 재순환, 핵/재래 폭발 충격·과압 등)과 비표준 대기, 엔진 간 편차/제어 공차/열화를 포함하여 설정
ㆍAIP 위치·계측 격자·평가방법은 (b)에서 정의된 기준(예: SAE ARP1420 등)으로 함
(a) 압력 변화율: 전술기/공격기 사례 참고 ≈ 7 psi/s(≈ 48 kPa/s)
(b) 지속시간: 0.40 s (충격파/과압 펄스 수준)
(c) 온도 변화율: 1,000 °C/s (로켓/포 가스 급가열 사례)
(d) 지속시간: 0.15 s</t>
  </si>
  <si>
    <t>ㆍ과거 전투기 및 공격기에서 로켓/기관포 가스 흡입 시 급격한 온도 상승으로 압축기 스톨이 발생한 사례있음
ㆍ이를 통해 엔진 흡기 변화율 조건을 명세화하고 개발 시험에서 모사하는 것이 중요함이 확인
ㆍ국방부 시험에서는 비교적 작은 전면 과압에도 엔진이 기체보다 먼저 손상되는 사례 있음</t>
  </si>
  <si>
    <t>Engine recoverability</t>
  </si>
  <si>
    <t>엔진 회복 능력</t>
  </si>
  <si>
    <t>ㆍ운용 한계 내·외의 돌발 상황(일시 스톨 등)에서도 엔진이 자동으로 정상 상태로 복귀해야 생존성·신뢰성을 보장
ㆍ단발기/무인기 등에서는 조종사 개입 지연이 치명적이므로 자체 복원(Self-Recovery) 능력이 필수
ㆍ실제 운용에서 과도 운용으로 일시 스톨 사례가 있었으며, 자기복원 기능이 안전성 향상에 기여함이 확인</t>
  </si>
  <si>
    <t>ㆍ우선순위: 복구 중 한계 리미터(온도&gt;속도&gt;토크) 우선, 서지 방지 블리드 적극 사용
ㆍ재점화 연동: 플레임아웃 감지 시 연속/자동 재점화 즉시 ON, 안정 확인 후 자동 OFF
ㆍ휴리스틱/감시: dN/dt, 연소 압력/광센서 기반 스톨 전조 검출→연료·공기 선제 조정
ㆍTailoring 힌트: 소형 APU류/일부 TS 등에서 불필요 시, 해당 없음(N/A) 혹은 비상 모드에 한정으로 표기</t>
  </si>
  <si>
    <t>ㆍ현재까지 엔진 회복 능력 요구 자체에 대해 특기할 만한 실패 사례는 보고되지 않음
ㆍ대체로 엔진이 스톨 등의 한계를 넘지 않도록 설계·제어됨
ㆍ스톨 발생 시도에서 자동 복구 장치(연료공급 조정)가 이미 적용되어 큰 문제 없었음을 시사
-설계 단계에서 엔진 제어 시스템에 복구 로직을 구현해야함
-시험에서 의도적으로 스톨을 유발해 복구 여부를 검증하는 등의 노력이 필요</t>
  </si>
  <si>
    <t>Gas path and measurement plane temperature limits</t>
  </si>
  <si>
    <t>가스 경로 및 계측면 온도 한계</t>
  </si>
  <si>
    <t>ㆍ터빈 입구온도 등의 한계를 명시함으로써 엔진이 그 이상 온도로 운용되지 않도록 보장
ㆍ가스 경로 온도(TRIT/TIT/EGT 등)는 신뢰성·수명·성능을 좌우하므로 정상·과도 한계를 설정
ㆍ한계 초과는 열변형/손상을 유발하므로 측정 위치(Measurement Plane)와 기준을 명확하게 설정
ㆍ일관된 모니터링을 위해 측정 스테이션/방법을 표준화</t>
  </si>
  <si>
    <t>ㆍ최대 허용 가스온도(정상상태 및 과도상태)를 표 등으로 제시
ㆍ표/도(예: Table T-1)에 최대 지속/과도 가스온도(시동/가속 등)와 허용 지속시간을 명시
ㆍMeasurement Plane(스테이션 No.)**을 표기하고, 금속온도 계측이 있을 경우 금속온도 한계도 병기
ㆍ비상 단시간 정격을 허용 시, 평상시보다 높은 한계 + 시간 제한(예: 12 s)을 부여</t>
  </si>
  <si>
    <t>ㆍ특별한 과거 실폐사례는 언급되지 않음
-일반적으로 엔진 온도 한계는 엔진 개발 후 상당 기간 운용해보아야 그 영향이 완전히 파악되는 영역
ㆍ과거 몇몇 엔진 프로그램에서 초기에는 온도 한계를 높게 설정했지만 부정적 영향(수명 단축 등) 발생
-후기에 운용 온도 한도를 하향 조정한 사례 있음
-개발 단계에서 보수적인 온도 한계 설정, 그리고 장기 운용 데이터에 따른 피드백이 중요</t>
  </si>
  <si>
    <t>A, E</t>
  </si>
  <si>
    <t>Surface temperature and heat rejection</t>
  </si>
  <si>
    <t>표면온도 및 열 방출</t>
  </si>
  <si>
    <t>ㆍ외부 표면 온도·열방출은 인접 구조/화재 안전/체계 냉각 부담에 직접 영향
ㆍ한계 정의로 내구·호환성을 보장하고 화재 위험을 저감
ㆍ방열특성(복사율) 제공은 항공기 단열/냉각 설계에 필수 입력
 열영상·접촉 센서로 대표 운용점 측정 → Figure 14a/b 한계 준수
-엔진 베이 모사/장착 시험: 국부 과열/열적 과도 확인, 냉각 유량·차열재 효과 검증
-화재 위험성 평가: 누설 시나리오 + 표면온도 한계 연계.</t>
  </si>
  <si>
    <t>ㆍ엔진 외부 표면 온도와 방출 열은 항공기와의 호환성 및 안전성에 큰 영향
ㆍ지나치게 높은 표면 온도는 인접 구조물 손상이나 화재 위험을 초래할 수 있음
ㆍ방출 열이 과도하면 항공기 냉각부담이 커짐</t>
  </si>
  <si>
    <t>ㆍ명세서에는 엔진 운용 조건 별 최대 표면 온도와 열방출율 곡선을 도표(Figure 14a 등)로 제시
ㆍ운용점별 최대 표면 온도 &amp; 열방출율 곡선(Figure 14a/b) 제공, 주변조건·출력상태·오일온도 병기
ㆍ특별 냉각 필요 구성품 목록과 무냉각 운용시간을 표로 명시
ㆍ엔진 공급 Components의 표면온도는 엔진사가 책임, Accessories는 본 사양 범위 밖임을 명확화</t>
  </si>
  <si>
    <t>ㆍ과거 엔진 구성품과 엔진 부착 외부품의 온도 요구 구분을 명확히 하지 않아 혼란함 존재
ㆍ엔진 제작사가 공급하는 부품(Components)의 표면온도는 엔진 업체 책임으로 다뤄야함
ㆍ엔진에 장착되지만 타 업체 공급품(Accessories)의 표면온도는 본 사양에서 다루지 않는다는 점을 명확히 해야함</t>
  </si>
  <si>
    <t>Controls and external components limiting temgeratures</t>
  </si>
  <si>
    <t>제어계 및 외장부품 온도 한계온도</t>
  </si>
  <si>
    <t>ㆍ엔진 주변 제어계·외부 구성품은 복사/대류 가열에도 허용온도 초과 없이 기능해야함
ㆍ최악 정체 조건에서도 기능 저하·손상 없음이 요구
ㆍ사전에 열환경·허용한계를 명확히 해 통합 신뢰성을 확보할 필요 있음</t>
  </si>
  <si>
    <t>ㆍ엔진 제작사와 항공기 체계자가 엔진 주변 열환경을 명확히 인지하고 대책을 세우도록 하는 근거
ㆍ엔진/항공기 통합 신뢰성을 확보하기 위한 중요 파라미터
ㆍ공기유동이 정체된 최악 조건의 엔진 내부에서도 기능이상-손상 없어야 함</t>
  </si>
  <si>
    <t>ㆍ가장 열이 과심한 조건에서 각 구성품 주위의 최대 주위온도와 해당 구성품의 허용 표면온도 한계를 표 V 등에 제시
ㆍ특수 냉각/환기가 필요한 구성품 목록과, 무냉각으로 운용 가능한 한계 시간 등을 정의
ㆍ균일 유동·냉각 여유 확보가 핵심, 최고 연료온도/외기온도에서 장착환경 시험으로 확인</t>
  </si>
  <si>
    <t>ㆍ엔진실(Engine bay) 내 복잡한 기류로 인한 국부과열 사례 있음
ㆍ엔진 주변 구성품 냉각설계에서 공기 흐름의 균일성과 충분한 냉각여유 확보가 중요함
ㆍ검증 단계에서 엔진을 실제 장착환경이나 모사 시험에서 최고 연료온도, 최고 외기온도 조건으로 가동
-주요 부품 온도를 계측하여, 모든 치명적 부품이 규정 온도 이하인지 확인하도록 하고 있음</t>
  </si>
  <si>
    <t>Humidity</t>
  </si>
  <si>
    <t>습도</t>
  </si>
  <si>
    <t>ㆍ고온다습한 작전 환경에서 엔진이 장기간 노출되는 조건을 정의함
ㆍ높은 습도로 인한 재료의 부식, 물성 저하, 전기적 성능 악화 등을 방지하기 위함
ㆍ규정된 고습(통상 95% RH 이상) 환경에서 성능 및 내구성 저하 없이 안정적으로 작동할 수 있는 내성을 요구함</t>
  </si>
  <si>
    <t>ㆍ고습 환경은 재료 물성 저하와 부식을 유발함
ㆍ높은 습도는 재료 팽윤, 강도 저하, 윤활유 변질, 전기 절연 성능 악화, 결로로 인한 합선 등 여러 문제를 일으킴
ㆍ특히 열대 환경에서 장기간 노출될 경우 성능 유지 및 정비성에 영향이 크므로, 습도 영향에 대한 요구를 둠</t>
  </si>
  <si>
    <t>ㆍ일반적으로 상대습도 95% @ 32℃ 이상의 극한 조건을 견딜 것을 요구하며, 이는 MIL-STD-810을 근거로 함
ㆍ습도 시험 시 엔진 부품 단위로 장시간 고습에 노출 후 기능 시험을 실시하여 부식, 팽창 등의 이상이 없어야 함
ㆍ비영양성 재질 사용이나 방습 코팅 등 설계지침을 추가로 제시하여 곰팡이 및 부식 발생을 억제하도록 유도함</t>
  </si>
  <si>
    <t>ㆍ고습 환경에서 금속 부식이 진행되어 장기간 성능이 저하되거나, 전자부품에 결로가 생겨 고장난 사례가 있었음
ㆍ과거 압축기 케이스 내부 코팅이 고습에 팽창하여, 블레이드와 간섭을 일으키는 문제가 개발시험 중 발견됨
ㆍ 이 사례는 개발단계 습도시험의 중요성과, 습도를 고려한 **재료 선정(코팅 포함)**이 얼마나 중요한지 보여줌</t>
  </si>
  <si>
    <t>De</t>
  </si>
  <si>
    <t>Fungus</t>
  </si>
  <si>
    <t>곰팡이</t>
  </si>
  <si>
    <t>ㆍ고온다습 환경에서 유기물 재료에 곰팡이가 성장하는 조건을 정의함
ㆍ곰팡이 증식으로 인한 재료 손상, 부식 촉진, 전기적 절연 파괴 등을 방지하기 위함
ㆍ곰팡이 성장에 저항하는 비영양성 재료를 사용하거나 방균 처리를 통해 기능 및 성능에 영향을 받지 않도록 요구함</t>
  </si>
  <si>
    <t>ㆍ진균(Fungus)은 재료 표면에서 성장하며 금속 부식, 윤활유 경화, 절연 성능 저하 및 단락(short) 등을 일으킬 수 있음
ㆍ열대 및 해상 환경에서 이러한 문제가 특히 심각함
ㆍ엔진에 사용된 재료와 구성품들이 곰팡이 성장에 견디거나 예방되도록 요구함</t>
  </si>
  <si>
    <t>ㆍ명세서에는 “엔진은 곰팡이에 노출되어도 모든 규격 요구를 충족할 것”으로 간략히 요구함
ㆍ비영양성 재료 사용, 항균 코팅 도포 등을 권장하며, 재료 선택 시 균형을 지시함
ㆍ시험은 완제품 단위보다는 MIL-STD-810 방법 508 등에 따른 부품 및 소재 수준 테스트로 대체 가능함</t>
  </si>
  <si>
    <t>ㆍ동남아 열대 환경에서 미생물이 유기재료를 분해하거나 금속부식을 촉진하고 전기적 쇼트를 낸 사례가 있었음
ㆍ일부 엔진의 유동로 코팅재에 곰팡이 영양분이 포함되어 시험 중 균 증식이 발견된 일이 있었음
ㆍ초기에 소재 선정 단계에서 곰팡이 내성을 고려
ㆍ전기계통 등에는 RTCA-DO-160 등의 민간 기준을 함께 참조하여 요구를 강화하는 추세임</t>
  </si>
  <si>
    <t>Corrosive atmosphere</t>
  </si>
  <si>
    <t>부식성 대기</t>
  </si>
  <si>
    <t>ㆍ해안 및 해상 작전 시 염무(Salt Fog) 또는 공업지대의 오염된 대기에 노출되는 조건을 정의함
ㆍ염분 및 화학물질로 인한 엔진 내/외부의 부식, 특히 고온부 부품의 성능 저하를 방지하기 위함
ㆍ규정된 염수 분무 시험 사이클 후에도 허용치 이내의 성능(추력/연비)을 유지하고 구조적 건전성을 확보하도록 요구함</t>
  </si>
  <si>
    <t>ㆍ염분이 많은 해양 대기나 오염된 대기에 노출되면 엔진 소재에 부식이 발생하여 수명과 성능이 저하됨
ㆍ부식으로 볼트·클램프 등이 손상되면 정비 시 고착되어 제거에 막대한 인력이 소모되고, 운용 안전에도 위협이 됨
ㆍ부식성 환경 하에서 운용 후에도 추력 및 연비 저하를 5% 이하 등으로 성능 열화를 제한할 것을 요구함</t>
  </si>
  <si>
    <t>ㆍ항공기가 부식성 환경에서 운용될 경우에만 이 요구를 적용하며, 그렇지 않으면 “해당 없음”으로 둘 수 있음
ㆍ염수 분무 시험 25사이클(약 1000시간 운용 대응) 후 엔진 추력 저하 ≤5%, SFC 증대 ≤5% 등을 명시함
ㆍ내부 가스경로 부품과 외부 노출부품에 대해 평가 기준을 별도로 두며, 기능 저하가 없을 것을 포함시킴</t>
  </si>
  <si>
    <t>ㆍ미 해군에서 부식 방지에 연간 250만 시간의 정비노력이 들었고, 터빈 블레이드 파손 및 압축기 원판 부식 사례가 있었음 
ㆍ1980년대 해군 헬기 엔진이 온습한 해상환경 부식으로 조기 출력저하된 일이 있어, 기존 시험의 부족함이 드러남
ㆍ개발 단계에서 충분한 부식 내환경 시험을 수행하지 않으면 실전 배치 후 비용이 증가한다는 교훈이 나옴</t>
  </si>
  <si>
    <t>Icing conditions</t>
  </si>
  <si>
    <t>착빙 조건</t>
  </si>
  <si>
    <t>ㆍ비행 중 과냉각 수증기(Supercooled Water Droplets)를 포함한 대기를 통과하며 엔진 입구 및 내부에 얼음이 형성되는 조건을 정의함
ㆍ결빙으로 인한 공기흐름 방해, 추력 감소, 엔진 실속 및 내부 부품 손상을 방지하기 위함
ㆍ규정된 착빙 조건에서 엔진이 안정적으로 작동하고, 일시적인 성능 저하가 허용치 이내이며, 착빙 후 정상 성능으로 회복할 것을 요구함</t>
  </si>
  <si>
    <t>ㆍ군용 항공기는 각종 착빙 조건에서도 임무를 수행해야 하므로, 엔진 역시 얼음 형성 환경에서 안정적으로 작동해야 함
ㆍ엔진에 빙결이 발생하면 추력 저하나 손상이 생길 수 있음
ㆍ착빙 조건에서 추력 손실 5~9% 이내, 연료소모 증가 5% 이내 등의 범위로 정상 운용됨을 요구하여 대응능력을 확보함</t>
  </si>
  <si>
    <t>ㆍ민간 규정(FAR 25 등)과 유사하게 층운형/적운형 구름의 착빙조건을 정의함
ㆍ착빙 조건에서 (a) % 이내 추력 감소 및 (b) % 이내 SFC 증가만 허용되고, 얼음 노출 후 원래 성능으로 회복되어야 함
ㆍ시험 절차로 각 출력에서 운용하며 주기적으로 가속 응답을 확인하고, 별도로 얼음 축적 후 급가속 시험 등을 수행하도록 권장함</t>
  </si>
  <si>
    <t>ㆍ일부 계약자들이 “5% 출력 감소”조건을 최대 출력에서만 적용하면 된다고 오해한 사례가 있었음
ㆍ미 해군 보고서(1986)와 NTSB 통계에 따르면 연간 100건 이상의 착빙 사고와 수십명의 희생자가 발생함
ㆍ모든 교훈은 착빙 대비 설계/시험의 중요성을 뒷받침하며, 엔진 제작사는 반빙/제빙 시스템 성능도 함께 고려해야 함</t>
  </si>
  <si>
    <t>Bird ingestion</t>
  </si>
  <si>
    <t>조류 흡입(충돌)</t>
  </si>
  <si>
    <t>ㆍ항공기 운용, 특히 저고도 이착륙 시 엔진이 조류와 충돌하여 흡입하는 상황을 정의함
ㆍ조류 충돌로 인한 팬/압축기 블레이드의 심각한 파손, 급격한 추력 상실 및 파국적 엔진 고장을 방지하기 위함
ㆍ규정된 크기와 수량의 조류 흡입 후에도 최소한의 추력을 유지하고, 비행 안전에 치명적인 손상(Uncontained Failure)이 발생하지 않도록 요구함</t>
  </si>
  <si>
    <t>ㆍ운용 중 엔진으로 새가 빨려 들어가는 상황에서도 엔진이 즉각적인 큰 추력 손실이나 위험한 파손 없이 동작을 지속해야 함
ㆍ버드 스트라이크는 특히 이착륙시 흔하며, 이를 견디지 못하면 추락 등 큰 사고로 이어질 수 있음
ㆍ엔진 흡입구 면적당 허용 조류 크기/마리 수 등의 기준을 정하여, 해당 조건에서 안전하게 작동하도록 요구함</t>
  </si>
  <si>
    <t>ㆍ흡입구 면적별로 엔진이 견뎌야 할 조류 중량과 마릿수를 규정함
ㆍ충돌 후 성능 기준을 명시하는데, 예컨대 1kg 조류 흡입 후 즉각 75% 이상 출력 유지 및 엔진 정지 없이 작동 지속 등임
ㆍ2kg 조류의 경우 파국적 고장을 일으키지 않아야 하고, 어떤 경우에도 엔진을 안전하게 정지시킬 수 있어야 함</t>
  </si>
  <si>
    <t>ㆍ전체 항공기 충돌 새의 60% 이상이 엔진에 흡입되며, 이들 중 5% 정도가 엔진 실패로 이어졌음
ㆍ과거 군용 엔진 개발 시 조류 시험 기준이 실제 운영 환경보다 낮게 완화된 사례들이 있었음
ㆍ최근에는 엔진-흡입구 일체형 시험의 중요성이 대두되어, 실제 흡입구 장착 상태로 조류시험을 실시하도록 권장됨</t>
  </si>
  <si>
    <t>Foreign object damage(FOD)</t>
  </si>
  <si>
    <t>이물질 손상</t>
  </si>
  <si>
    <t>ㆍ활주로의 작은 돌, 볼트, 작업 도구 등 외부 이물질이 엔진으로 흡입되는 상황을 정의함
ㆍ흡입된 이물질로 인한 고속 회전 부품(블레이드 등)의 손상 및 2차 파손을 방지하기 위함
ㆍ규정된 크기와 재질의 이물질 흡입 시에도 운용을 지속하거나, 최소한 안전하게 정지할 수 있는 내구성을 요구함</t>
  </si>
  <si>
    <t>ㆍ엔진은 작은 이물질(볼트, 돌 등)이 흡입될 가능성이 있으며, 이를 어느 정도 견디도록 설계해야 함
ㆍ흡입속도와 압축기 구조상 작은 물체도 가스경로 손상을 일으킬 수 있음
ㆍ허용 범위 내에서는 엔진이 심각한 고장 없이 견디거나 최소한 안전 정지 가능해야 함</t>
  </si>
  <si>
    <t>ㆍMIL-HDBK-1783 등 FOD 내구성 기준을 참고하여 요구사항을 구체화함
ㆍ “엔진은 직경 __mm, 중량 __g 이하의 낙하물 N개를 흡입 시 운용을 지속하거나 안전 정지할 것”과 같이 명시함
ㆍFOD 내성을 높이기 위한 설계 조치(블레이드 재질 강인성 향상, FOD 방지망 등)도 설계 가이드로 제시함</t>
  </si>
  <si>
    <t>ㆍFOD로 인한 블레이드 손상으로 비행 중 엔진 정지(IFSD) 사례들이 있었음
ㆍ교훈적으로, 블레이드에 손상 영향을 최소화하는 질량분포, 보다 인성 높은 소재 채택으로 FOD 허용력을 향상시킬 수 있음
ㆍ현재는 개발단계에 엔진 FOD 시험을 실시하고, 그 결과를 토대로 흡입구 형상이나 재질을 개선하는 프로세스가 정착됨</t>
  </si>
  <si>
    <t>Ice ingestion</t>
  </si>
  <si>
    <t>빙편 흡입</t>
  </si>
  <si>
    <t>ㆍ기체 표면(주로 엔진 흡입구)에 생성된 얼음 조각이 떨어져 나와 엔진으로 흡입되는 상황을 정의함
ㆍ단단한 얼음 덩어리로 인한 팬/압축기 블레이드의 변형 및 파손을 방지하기 위함
ㆍ규정된 크기와 개수의 빙편 흡입 후에도 즉각적인 엔진 정지나 위험한 진동 없이, 허용치 이내의 성능을 회복할 것을 요구함</t>
  </si>
  <si>
    <t>ㆍ항공기 운용 중 우박이나 기체 표면에서 떨어져 나온 얼음 조각이 엔진에 들어갈 수 있음
ㆍ이러한 얼음은 압축기 날개 손상을 초래하고, 심하면 엔진 파손까지 이어질 수 있으므로 견디는 능력이 요구됨
ㆍ일정 크기/개수까지 흡입해도 현장수리로 복구 가능한 손상만 입도록 설계되어야 함</t>
  </si>
  <si>
    <t>ㆍ테이블 IX에 우박 구형 얼음과 판상 얼음의 크기, 개수를 흡입구 면적에 따라 규정함
ㆍ시험 시 이륙, 순항, 하강속도 조건에서 해당 개수의 우박을 투입하여, 5초 이내에 95% 이상의 출력을 회복해야 함
ㆍ얼음조각의 밀도를 규정하고, 판상 얼음(sheet ice)은 이륙·순항 조건에서 시험함</t>
  </si>
  <si>
    <t>ㆍ착빙방지체계가 미흡한 엔진들은 과거 빙편 흡입으로 팬 블레이드 손상과 엔진 해체수리가 빈번했음
ㆍ한 해군 항공기 사례에서 개발시 착빙 시험을 생략했다가 실전 배치 후 엔진이 손상된 일이 있었음
ㆍ통계적으로 미 해군에 1964~1984년간 525건의 빙흡입 관련 사고가 보고되었고, 이후 시험이 표준화됨</t>
  </si>
  <si>
    <t>Sand and dust ingestion</t>
  </si>
  <si>
    <t>모래/먼지 흡입</t>
  </si>
  <si>
    <t>ㆍ사막 등 미립자 농도가 높은 지역에서 이착륙 및 비행 시 모래와 먼지를 흡입하는 조건을 정의함
ㆍ입자로 인한 부품의 침식(Erosion), 냉각 통로 막힘, 고온부 퇴적(CMAS)으로 인한 성능 저하 및 수명 단축을 방지하기 위함
ㆍ규정된 농도의 모래/먼지 환경에서 일정 시간 운용 후에도 허용치 이내의 성능을 유지하고, 정비주기에 치명적인 영향을 주지 않도록 요구함</t>
  </si>
  <si>
    <t>ㆍ모래와 미세먼지가 엔진에 대량 유입되면 블레이드 침식, 냉각구멍 막힘 등으로 엔진 성능과 수명이 심각히 저하됨
ㆍ사막처럼 먼지가 많은 환경에서의 운용을 위해, 일정 농도의 모래/먼지를 장시간 흡입해도 허용 범위 내 성능 저하만 발생해야 함
ㆍ치명적 손상이 없어야 한다고 요구함</t>
  </si>
  <si>
    <t>ㆍ모래/먼지 농도를 mg/m³ 단위로 명시하고, 흡입 시간과 성능 허용 저하를 규정함
ㆍ헬리콥터 엔진의 예로는 53mg/m³ 농도를 50시간 이상 흡입한 후 치명적 고장 임박 징후가 없을 것을 요구함
ㆍ성능 검증 방법으로 일정 터빈온도 정격상태에서 추력 감소를 측정하도록 하여, 제어 로직으로 인한 오차를 배제하도록 권고함</t>
  </si>
  <si>
    <t>ㆍ조대한 모래는 침식을, 미세한 먼지는 냉각공기 통로 막힘과 퇴적물을 초래함
ㆍ걸프전 등 중동 작전 시, 기존 엔진들이 사막 모래로 출력이 급격히 떨어지거나 정비 주기가 단축된 사례들이 다수 있었음
ㆍ현재는 엔진 필터링 장치(모래 분리기)를 개발하거나, Fine dust 시험을 통해 냉각구멍 막힘 취약성을 사전에 평가하여 대책을 반영함</t>
  </si>
  <si>
    <t>Atmospheric liquid water ingestion</t>
  </si>
  <si>
    <t>대기 중 액체 흡입</t>
  </si>
  <si>
    <t>ㆍ폭우(Heavy Rain) 또는 활주로의 고인 물(Standing Water)이 대량으로 엔진에 유입되는 상황을 정의함
ㆍ다량의 물 유입으로 인한 연소 불안정, 일시적 엔진 출력 손실 또는 꺼짐(Flame-out)을 방지하기 위함
ㆍ공기 유량 대비 규정된 비율(통상 4% 이상)의 물을 흡입해도 엔진이 안정적인 연소를 유지하고 지속적으로 작동할 것을 요구함</t>
  </si>
  <si>
    <t>ㆍ폭우나 활주로 웅덩이 비산수 등으로 대량의 물이 엔진에 유입되면 연소가 약화되거나 압축기 실속이 발생할 수 있음
ㆍ실제로 많은 강우 상황에서 엔진이 꺼지는 사례가 있어, 일정 비율의 물/공기 혼합을 엔진이 견뎌내도록 요구함
ㆍ전천후 운용을 보장하고, 이착륙시 안전을 확보하기 위함임</t>
  </si>
  <si>
    <t>ㆍ“총 흡입공기 유량 대비 (a)% 물을 포함한 공기를 엔진이 정상 연소/작동할 것”으로 요구함
ㆍ물의 절반 이상이 흡입구 단면 일부로 집중 유입되는 최악 조건을 가정함 (통상 (a)는 5%)
ㆍ FAA 신규 규정 등에서 제시된 증폭 효과(고속·저출력 조건)를 참고해 필요시 더 높은 수분혼합도를 고려하도록 권장함</t>
  </si>
  <si>
    <t>ㆍ과거 이륙시 노즈 휠 스프레이가 엔진에 들어가 실속 또는 플레임아웃된 사례들이 있었음
ㆍ일부 항공기는 노즈휠에 차수가드(Chine tire)를 장착하거나 디플렉터를 추가해 물 분사를 줄이는 대책을 썼음
ㆍ교훈으로 엔진/기체 설계부터 물배출 경로를 고려하고, **제어 로직(워터스커빙 등)**을 설계에 반영하게 되었음</t>
  </si>
  <si>
    <t>Armament gas ingestion</t>
  </si>
  <si>
    <t>무장 가스 흡입</t>
  </si>
  <si>
    <t>ㆍ시제개발엔진 SOR에 무장장착 없음</t>
  </si>
  <si>
    <t>ㆍ비적용 그대로 유지
ㆍ단, 증기흡입실험 시 무장가스모사상태를 
   추가로 고려해서 대체 가능</t>
  </si>
  <si>
    <t>Steam ingestion</t>
  </si>
  <si>
    <t>증기 흡입</t>
  </si>
  <si>
    <t>ㆍ항공모함 캐터펄트(Catapult)에서 발생한 증기가 이함 시 엔진으로 흡입되는 상황을 정의함
ㆍ고온의 증기 유입으로 인한 압축기 작동점 이탈 및 실속/서지 발생을 방지하기 위함
ㆍ규정된 양의 증기가 흡입되는 조건에서도 엔진이 정지나 손상 없이 안정적인 작동을 유지할 것을 요구함</t>
  </si>
  <si>
    <t>ㆍ항공모함 사출기(catapult) 증기가 엔진에 흡입되면, 국부적인 고온다습 공기로 압축기 실속/서지를 일으킬 수 있음
ㆍ실제 1960년대와 1980년대에 항모 이륙 시 증기흡입으로 전투기 엔진들이 서지한 사례들이 발생했음
ㆍ함상기 등에서는 엔진이 일정량의 증기가 유입되어도 정지나 영구손상 없이 견디도록 요구함</t>
  </si>
  <si>
    <t>ㆍ“총 흡입류 중 (a)%가 증기일 때...엔진은 스톨/서지/플레임아웃/손상이 없어야 한다”고 명시함
ㆍ(a)는 2%, 온도상승률은 2840°C/s, 온도증가는 100°C 등이 선례로 제시됨
ㆍ항모 운용이 아닌 경우 이 요구는 “해당 없음”으로 둘 것을 명시함</t>
  </si>
  <si>
    <t>ㆍ증기 흡입 현상은 항공기 흡입구 설계, 엔진 압축기 여유 및 사출기 상태(누증량)에 따라 달려 있음
ㆍ1966년 사건 후 잊혔다가 1988년에 다시 발생하여, 문제가 재발할 수 있음을 보여줌
ㆍ증기 흡입 대처법은 항공기 흡입구 설계 개선과 **엔진 자체 내성 증가(서지여유 확대)**를 병행해야 함을 알게 되었음</t>
  </si>
  <si>
    <t>Electromagnetic interference</t>
  </si>
  <si>
    <t>전자기 간섭</t>
  </si>
  <si>
    <t>ㆍ엔진 자체 또는 외부의 전자기파가 엔진 제어 시스템(FADEC 등)의 작동을 방해하는 조건을 정의함
ㆍ전자기 간섭으로 인한 제어 시스템의 오작동, 성능 저하, 심각할 경우 엔진 정지를 방지하기 위함
ㆍ규정된 전자기 환경(MIL-STD-461 등)에서 내성(Susceptibility)을 가지며, 외부 장비에 영향을 주는 방출(Emission) 수준도 제한치를 만족하도록 요구함</t>
  </si>
  <si>
    <t>ㆍ엔진은 내외부 전자기 환경에 노출되며, 이로 인해 **전자식 제어장치(FADEC등)**가 오작동하면 위험할 수 있음
ㆍ반대로 엔진 자체도 전자파를 방출하여 다른 장비에 간섭을 줄 수 있음
ㆍMIL-STD-461 등에 따라 필요한 **내성(Susceptibility)**과 발산(Emission)요건을 충족하도록 요구함</t>
  </si>
  <si>
    <t>ㆍ명세서에는 MIL-STD-461이나 RTCA-DO-160 중 적용 표준과 구체적 시험항목을 지정함
ㆍ내성 항목(CS101, RS103 등)과 방사 항목(CE102, RE102 등)을 모두 만족해야 한다고 구체화함
ㆍLightning, EMP 등 특수 환경은 항공기 차원에서 고려되므로 항공기 체계업체와 협의해야함</t>
  </si>
  <si>
    <t>ㆍ일부 프로그램에서는 엔진 EMI 요구를 면제(waiver)해준 장비가 이후 문제를 일으킨 경우도 있었음
ㆍ한 사례로, 강한 엔진 전자파가 인근 지상지원장비를 교란한 일이 보고되어, 검사용 장비도 EMI 영향을 받을 수 있음을 알게 됨
ㆍ엄격한 EMI 요구 설정과 개발단계 지속 감시가 중요하다는 교훈이 나옴</t>
  </si>
  <si>
    <t>Intrasystem electromagnetic compatibility</t>
  </si>
  <si>
    <t>대내적 전자기 적합성</t>
  </si>
  <si>
    <t>ㆍ엔진이 장착된 항공기 내부의 다른 전자장비들과 전자기적으로 상호 간섭 없이 공존하는 조건을 정의함
ㆍ엔진 시스템과 항공기 시스템 간의 전자기 간섭으로 인한 전체 항공기 시스템의 오작동을 방지하기 위함
ㆍ항공기 체계(MIL-STD-464 등)의 일부로서, 통합된 상태에서 다른 장비에 간섭을 주거나 받지 않고 정상 작동할 것을 요구함</t>
  </si>
  <si>
    <t>ㆍ엔진과 항공기 플랫폼이 통합될 때, 엔진이 다른 전자장비들과 전자기적으로 양립(EMC)해야 함
ㆍ엔진이 항공기 내부 배선망, 통신/항법 장비 등과 간섭을 주고받지 않아야 함
ㆍ이를 위해 엔진 자체에 충분한 EMI 내성/차폐 설계가 요구됨</t>
  </si>
  <si>
    <t>ㆍ명세서에는 MIL-STD-464 같은 항공기 시스템 EMC 표준의 해당 절을 지정함
ㆍ중요한 것은 항공기 플랫폼의 구체적 특성에 따라 MIL-STD-461 개별 테스트 수준을 높여야 할 수 있다는 점임
ㆍ이 부분은 항공기 통합업체(Integrator) 협조하여 Tailoring해야 함.</t>
  </si>
  <si>
    <t>ㆍ엔진 단품 EMI 기준만 만족해서는 실제 항공기 통합 시 EMC를 보장 못하는 경우가 있었음
ㆍEngine C가 장착된 Aircraft C에서는 통합 시 다수의 EMC 문제가 발생했고, 해결에 막대한 시간/비용이 소요됨
ㆍ이 경험으로 초기에 플랫폼 환경을 고려해 설계해야 한다는 교훈을 얻었고, 선제적으로 대응하고 있음.</t>
  </si>
  <si>
    <t>Intersystem electromagnetic compatibility</t>
  </si>
  <si>
    <t>대외적 전자기 적합성</t>
  </si>
  <si>
    <t>ㆍ항공기 외부의 강력한 전자기 환경(레이더, 통신 장비 등)에 노출되었을 때의 조건을 정의함
ㆍ고출력 전자기파(HIRF 등)로 인한 엔진 제어 시스템의 오작동 및 비행 안전 위협을 방지하기 위함
ㆍ규정된 외부 전자기 위협 환경에서도 엔진 시스템이 성능 저하 및 오작동 없이 임무를 지속할 수 있는 내성을 요구함</t>
  </si>
  <si>
    <t>ㆍ항공기는 외부 전자기 환경(레이더, 통신, 위협 전자기파 등)에 노출되며, 엔진도 이에 영향을 받을 수 있음
ㆍ엔진이 고강도 전자파(HIRF), 낙뢰 EMP 등에서도 오작동 없이 운용되어야 함
ㆍ엔진에 충분한 전자적 경경(hardening)설계를 반영하여, 항공기 전체 전자환경 요구를 만족시켜야 함</t>
  </si>
  <si>
    <t>ㆍ이 요구는 MIL-STD-464 표 5.3 등을 참조해 Tailoring함
ㆍ엔진 제작사는 항공기 업체와 협의하여, 해당 항공기 프로파일에 맞는 전자파 노출 레벨을 선정하고 엔진에 적용함
ㆍ엔진 제작사는 추가 경경 조치 내용을 ICD에 명시하여 통합업체가 실행하게 함</t>
  </si>
  <si>
    <t>ㆍAircraft C의 엔진 통합 사례에서, 엔진을 외부 전자환경에 대한 경경 없이 설계했다가 통합 후 수많은 문제가 발견됨
ㆍ이는 엔진 자체가 충분한 내성을 갖추지 않으면 한계가 있다는 교훈을 주었음
ㆍ현재는 개발시험 중 HIRF 시험 등을 수행하며, 항공기 전자파 결합도 해석 데이터를 사용하여 검증하기도 함</t>
  </si>
  <si>
    <t>Lighttning</t>
  </si>
  <si>
    <t>낙뢰</t>
  </si>
  <si>
    <t>ㆍ항공기가 비행 중 낙뢰에 직접 맞거나(Direct), 근처 뇌격에 의해 간접적인(Indirect) 전기적 영향을 받는 조건을 정의함
ㆍ낙뢰로 인한 막대한 전류 및 전자기 펄스가 기체 구조를 손상시키거나 전자 제어 시스템을 파괴하는 것을 방지하기 위함
ㆍ규정된 낙뢰 파형의 직접/간접적 영향에 대해 구조적 손상 및 제어 시스템의 고장 없이 안전하게 비행을 지속할 수 있도록 요구함</t>
  </si>
  <si>
    <t>ㆍ항공기가 낙뢰를 맞거나 인근 번개로 인한 전자기 서지에 노출될 경우, 엔진 제어계통과 센서는 과도전류/전압에 견뎌야 함
ㆍ항공기 시스템 차원에서는 MIL-STD-464 등에 낙뢰 요구가 포함됨
ㆍ엔진도 이에 부합하는 경경 설계가 필요하며, RTCA-DO-160 섹션 22 등에 따라 직접/간접 낙뢰 영향을 견디도록 요구됨</t>
  </si>
  <si>
    <t>ㆍ명세서에는 MIL-STD-464 또는 SAE ARP5412 등 해당 기준을 인용함
ㆍ엔진 제작사는 엔진 장착 전기/전자장치들이 DO-160 낙뢰 카테고리에 부합하도록 경경 설계하고 시험성적을 제출함
ㆍ명세서에는 이러한 시험 기준을 명시하고, 필요시 항공기 차원의 시험에 엔진도 참여하여 확인토록 할 수 있음</t>
  </si>
  <si>
    <t>ㆍ복합재 기체에서는 낙뢰 간접효과로 엔진 전선 뭉치에 큰 전류가 유도될 수 있어 단품 시험만으로는 부족할 수 있음
ㆍ민항기 사례에서 엔진 FADEC이 낙뢰 간접서지로 재기동 실패한 적이 있어, 이후 엔진 하니스 실드 강화 등 대책이 추가됨
ㆍ낙뢰 요구는 항공기 IEC 테스트에서 엔진이 일부로 포함되는 형태로 검증되며, 보수적인 설계가 유지되고 있음</t>
  </si>
  <si>
    <t>Design service life</t>
  </si>
  <si>
    <t>설계수명</t>
  </si>
  <si>
    <t>ㆍ설계 수명 정의: 엔진은 MIL-HDBK-1783(ENSIP) 관행에 따라 정의된 임무 혼합/프로필과 사용 스펙트럼 하에서, 수명지표 결정 및 만족 필요
-전 엔진 수명(Design Service Goal, DSG): 비행시간(FH) 및 비행사이클(FC) 단위로 결정하고 그 이상 운영
-핫섹션 주요 부품(디스크/블레이드/케이스 등): 각 부품별 수명 한계(Life Limit) 결정(FC/FH)하고 그 이상 운영
-운용 입력/환경: 수명 산정은 스로틀 사이클·온도/속도/토크 프로파일, 고도/온도/습도/입자 환경, 시동/정지 이벤트를 포함한 사용 스펙트럼(부록 L-A) 기준으로 설정
-열화기제 통합 평가: LCF/HCF의 안전계수, 크립, 산화/부식, 마모, 열피로/열기계 피로를 포함하는 손상 누적 모델로 평가
  -부품-특화 안전계수와 신뢰도 목표(%/DSG단위) 만족 필요
-검증 및 수락: 
  -해석(Fracture/LCF/HCF/크립)
  -시험(쿠폰/서브스케일/엔진 내구)
  -설치/환경 영향과 엔진 간 편차/제어 공차/열화를 포함해야 한다.
  -수명 추적/갱신: UM/HUMS/EHMS로 사용 데이터를 수집 및 남은 수명 평가, 장기 운용 데이터에 따라 수명/정비 주기를 PLM/CM 절차로 업데이트</t>
  </si>
  <si>
    <t>ㆍ설계 수명은 신뢰성·내구성·성능 유지를 수치로 보장하는 핵심 지표이며, 군수/경제성 목표의 기준선
ㆍ수명 한계는 구조 건전성 정량화와 유지보수 계획·LCC 산정의 근거
ㆍ초기 단계부터 명확한 수명 정의가 재설계/교체 리스크를 낮출 수 있음</t>
  </si>
  <si>
    <t>ㆍMIL-HDBK-1783 절차에 따라 임무 프로필/혼합, 비행시간, 스로틀/온도/속도 사이클을 구체적으로 정의
ㆍLCF/HCF, 크립, 산화/부식, 마모 등 열화기제를 통합 모델로 평가
ㆍ대상엔진의 환경·운용 조건을 현실적으로 반영
ㆍ부품·모듈별 수명지표(FH, 사이클, 사용스펙트럼)와 수명 추적/감시 체계(UM, HUMS/EHMS)를 규정</t>
  </si>
  <si>
    <t>ㆍ실제 운용에서 스로틀 사이클/중고출력 시간 등 상세 파라미터가 과소 정의되어 수명 단축·재설계 사례 다수 존재
ㆍ균열 개시만이 아니라 마모·LCF·크립·산화/부식의 복합 지배가 수명을 좌우
ㆍ현실적 사용 조건을 초기부터 정립하고, 장기 운용 데이터 피드백으로 수명/정비 주기를 재보정해야함</t>
  </si>
  <si>
    <t>Design usage</t>
  </si>
  <si>
    <t>설계운용조건</t>
  </si>
  <si>
    <t>ㆍ본 절의 설계 운용조건은 MIL-HDBK-1783(ENSIP) 관련 조항을 준용하고, Using Service가 제공하는 듀티사이클이 있을 경우 이를 기준선(Baseline)으로 채택 
ㆍ엔진 내구·수명 지배 파라미터(스로틀 변동, 중·고출력 체류, 반복 사이클 등)를 초기부터 정량 정의
ㆍ무장플랫폼 고려: 포/로켓 가스, 증강/블리드 이벤트 주기화, 흡입 왜곡/변화율 연계 필요
ㆍ단발엔진의 경우, 고출력 체류·급가감속 이벤트 비중↑ → LCF/열피로 보수적, DS에 급과도 빈도 상세 반영 필요</t>
  </si>
  <si>
    <t>ㆍ엔진 내구·수명 지배 파라미터(스로틀 변동, 중·고출력 체류, 반복 사이클 등)를 초기부터 정량 정의해야 수명·신뢰성·경제성 달성 가능
ㆍ임무/시간만으로는 부족, 세부 운용 패턴이 피로·손상 누적을 좌우
ㆍ현실적 운용조건이 설계·해석·시험 전 과정의 기준선이 되어야함</t>
  </si>
  <si>
    <t>ㆍMIL-HDBK-1783를 근거로 임무 프로필×임무 혼합 데이터를 수집·정의
ㆍ설계 듀티사이클로 축약하여 전 해석/시험에 공통 적용
ㆍ스로틀 시퀀스/변동 횟수, 출력 구간별 체류시간, 환경·고도·속도 분포를 정량 테이블로 명시
ㆍRFP 단계에서 Using Service 제공 듀티사이클이 있으면 이를 원본 기준선으로 채택·통제 필요</t>
  </si>
  <si>
    <t>ㆍ세부 운용 파라미터 미정의로 예기치 못한 사용 패턴→수명 단축·교체 증가 사례 다수
ㆍ무손상으로 간주했던 사이클이 실제로는 손상 기여한 선례 → 모든 잠재 사이클 재평가 필요
ㆍLCF/마모/크립/산화·부식 등 복합 열화기제를 포함해 수명을 검증해야 재작업을 줄일 수 있음</t>
  </si>
  <si>
    <t>Externally applied forces</t>
  </si>
  <si>
    <t>외부 인가 하중</t>
  </si>
  <si>
    <t>ㆍ비행 기동·이착륙·지상 충격 등으로 전달되는 외부 하중/유도 하중에도 엔진은 기능·구조 건전성을 유지해야함
ㆍ장착 구조를 통해 유입되는 충격/진동/가속에서 영구 변형·파손 없이 임무 수행 가능해야함
ㆍ이를 통해 급기동·강하/착지 등 최악 운용에서도 엔진 정상 운용을 보장</t>
  </si>
  <si>
    <t>ㆍMIL-HDBK-1783를 근거로 양/음 g 범위·발생 빈도가 포함된 하중 스펙트럼을 정의하고, 그 하중 하에 기능 유지를 명시
ㆍ정적(한계/극한)·동적(랜덤/사인)·충격 하중과 착륙/기동/급작스런 파워 전이 등 대표 케이스를 포함
ㆍ과거 운용 데이터(e.g. 7–9g 전술기)로 보수·완화 수준을 합리화하고, 부품 설계 기준에 반영</t>
  </si>
  <si>
    <t>ㆍ7–9g 기동, 착지 충격 등으로 마운트/볼트/액추에이터/실 문제 발생 선례 다수 → 가속 고장모드 분석 필수
ㆍ명세에 사실 기반 스펙트럼을 넣고 시험으로 검증하면 과보수/과소설계를 줄일 수 있음
ㆍEngine J 모델계열 사례처럼 정적 계수 1.5→1.4 완화 등, 실사용 데이터 기반 적정 설계가 효과적</t>
  </si>
  <si>
    <t>A, C</t>
  </si>
  <si>
    <t>C, E</t>
  </si>
  <si>
    <t>Material characterization</t>
  </si>
  <si>
    <t>재료 특성화</t>
  </si>
  <si>
    <t>ㆍ엔진 구조재는 항공우주 통계 허용치(A/B-basis 등)로 관리되어야함
ㆍ초기 단계부터 충분한 데이터를 확보해 설계 여유와 신뢰성을 보장해야함
ㆍ재료 특성의 변동성(heat/lot/공정차이)을 정량화하면 적정 응력수준/부품 선택 설정이 가능
ㆍ초기 데이터 부족은 재설계·교체로 이어지므로 선제적 특성화가 핵심</t>
  </si>
  <si>
    <t>ㆍMIL-HDBK-1783 지침에 따라 재료 허용치 DB, 시험방법, 허용 변동 범위, 승인·변경 절차를 사양에 명시
ㆍ필요 시 부품별 시편시험(열처리/가공상태 대표) 및 통계 허용치 도출 절차를 요구
ㆍ금속/복합/AM(적층제조) 등 재료군별 표준(AMS/ASTM/MMPDS/CMH-17)을 지정한다.</t>
  </si>
  <si>
    <t>ㆍ경량화·신규공정 도입이 내구성 저하·조기 균열을 유발한 사례 다수 → 사용자(군) 참여 하 위험도 평가 필수
ㆍ여유도 낮은 설계 + 데이터 부족은 수명 단축·정비비 증가로 귀결
ㆍ재료 선정 시 피로·크립·산화·부식·손상허용 등 복합 열화기제를 전주기 관점에서 검증해야함</t>
  </si>
  <si>
    <t>P, A</t>
  </si>
  <si>
    <t>Parts classification</t>
  </si>
  <si>
    <t>부품 등급 분류</t>
  </si>
  <si>
    <t>ㆍ부품을 파괴 치명성·내구 중요도 기준으로 분류해 중요도에 맞는 설계 안전계수·검증·추적을 차등 적용해야함
ㆍ파단 시 결과가 치명적인 부품은 안전/임무 필수 기준을 강화해 설계·시험·운용 전체의 신뢰도를 높임
ㆍ등급 분류는 초기 가정과 실제 통합 위험도 간 괴리를 줄이도록 주기적 재평가가 필요</t>
  </si>
  <si>
    <t>ㆍMIL-HDBK-1783를 근거로 Fracture-Critical / Durability-Critical / Durability Non-critical 등급과 
   Critical Safety Item(CSI) 지정 체계를 명시
ㆍ각 등급별로 설계 여유(안전계수), 손상허용/피로 분석, NDI 계획, 수명/정비 관리, 추적성 요구를 구체화
ㆍ분류는 시스템 문맥(장착 위치, 2차 피해 경로, 근접 구조물 영향)을 반영하여 통합 관점에서 수행</t>
  </si>
  <si>
    <t>ㆍ초기 비치명 판단 부품이 장착 위치/2차 피해 경로로 치명 위험이 되는 사례 존재 → 재분류·설계 강화 필요
ㆍ고압 용기/배관, 회전체, 고온부 등은 시스템적 영향을 고려하지 않으면 위험이 과소평가됨
ㆍ시제품/장착 환경 시험을 통해 분류를 보정하고, 형상관리 하의 재평가 절차가 필수</t>
  </si>
  <si>
    <t>Durability</t>
  </si>
  <si>
    <t>내구성</t>
  </si>
  <si>
    <t>ㆍ장기간 운용 중 피로균열·재료 열화·마모를 최소화해 기능 저하·과도 정비 부담을 방지해야함
ㆍ엔진은 설계 수명 내 구조/재료 열화로 인한 고장 없이 안정 운용되도록 내구 기준을 설정해야함
ㆍ내구성 요구는 설계 1차 목표로, 신뢰성·가용성·LCC(수명주기비용) 달성의 기반</t>
  </si>
  <si>
    <t>ㆍMIL-HDBK-1783를 참조해 재료 선정·공정 관리·검사/품질보증과 내구 시험/강도·수명 해석 보고를 명문화
ㆍ개발 단계에서 정기 Teardown Inspection으로 내구 목표 달성 여부를 확인
ㆍ확인된 사항을 판단하는 판정/조치 기준(시험 지속·원인분석·수정·재시험)기준을 사전에 정의
ㆍ내구성은 분석–시험–검증(ATV) 연계로 입증하고, 수명관리 계획과 정비 절차에 반영</t>
  </si>
  <si>
    <t>ㆍ추력/중량비 향상→응력 증가로 초기 균열·교체 증가 사례 다수 → 내구 관리계획+정기 세부검사의 필요성 입증
ㆍEngine W/B/Y/L 사례처럼 플러터·피로 파손·구조 파손이 사업·안전에 치명적 영향을 줌 → 철저한 설계·해석·시험·개선 필요
ㆍ보수적 한계 설정과 운용 데이터 피드백으로 한계를 조정하고, 조기 결함 조치로 완전 파손 예방가능</t>
  </si>
  <si>
    <t>High cycle fatigue(HCF) life</t>
  </si>
  <si>
    <t>고주기 피로 수명</t>
  </si>
  <si>
    <t>ㆍ정적 하중 + 진동 하중 동시 작용 시 HCF 균열 위험 → 팬/터빈 블레이드 등 진동 민감 부품 보호 필수
ㆍ반복 진동응력 환경에서 피로 강도 여유를 충분히 확보해야 균열 무발생을 보장
ㆍ설계 단계부터 공진 회피·감쇠·응력 저감을 반영해 HCF 리스크 최소화</t>
  </si>
  <si>
    <t>ㆍ부품별 최소 HCF 수명(사이클)과 검증 시험 방법을 명시(MIL-HDBK-1783 참고)
ㆍ공진 회피 설계(모드 분리), 감쇠/스팬와이즈 튜닝 등 진동 제어 요구 반영
ㆍ허용 진동응력 한계(p-p 10–15 ksi 범위)와 환경/속도/온도 의존성을 규정</t>
  </si>
  <si>
    <t>Low cycle fatigue(LCF) life</t>
  </si>
  <si>
    <t>저주기 피로 수명</t>
  </si>
  <si>
    <t>ㆍ시동/정지·가속/감속 등 큰 변동 응력 사이클에서 LCF 파손 위험이 높음
ㆍ운용 중 최소 LCF 수명(사이클 수)을 설정해 피로 파손을 예방해야 함
ㆍLCF는 현장 비용·가용성에 큰 영향 → 설계 1급 관리 항목</t>
  </si>
  <si>
    <t>ㆍMIL-HDBK-1783 기반으로 중요 부품별 최소 LCF 수명과 가속/내구 시험 방법을 명시
ㆍ임무·임무혼합 시나리오를 최신 운용 데이터로 주기 갱신하여 수명 산정에 반영
ㆍ온도·평균응력·보정식(Morrow/Smith-Watson-Topper)을 포함한 해석 기준 제시</t>
  </si>
  <si>
    <t>ㆍ형식승인 후 수년 경과 시 예상 외 LCF 단축 다수 → 운용 프로필 갱신 부재가 원인
ㆍ실제 임무 데이터 반영 부족으로 수명 예측 과대, 그라운딩·개선 프로그램 필요 사례 발생
ㆍ지속 갱신된 임무 프로필 + 충분한 내구성장 시험으로 조기 문제 탐지·보정이 필수</t>
  </si>
  <si>
    <t>Creep</t>
  </si>
  <si>
    <t>크리프(지속하중변형)</t>
  </si>
  <si>
    <t>ㆍ고온 장시간 운전 시 크립에 의한 영구 변형이 성능 저하·간섭·누설 유발 가능
ㆍ정적/회전 부품 모두 크립 성장 최소화로 성능·정비성 요구를 만족해야 함
ㆍ엔진 출력·정렬·간극 유지 관점에서 크립 내구성 확보가 필수</t>
  </si>
  <si>
    <t>ㆍMIL-HDBK-1783 기준으로 허용 크립 변형률/간극 변화 한도를 DSL 동안 정량 규정
ㆍ크립·응력-파열 특성 시험(크리프-파단, 라슨-밀러 등)과 장시간 엔진 시험으로 최종 검증
ㆍ온도/응력 스펙트럼·듀티사이클을 반영한 재료·공정 선택 및 설계 마진 제시</t>
  </si>
  <si>
    <t>ㆍ특기 사례 보고는 제한적이나, 최종 검증은 엔진 조립체 장시간 운전으로 수행해야 신뢰성 확보
ㆍ부품 단위 분석만으로는 누적 변형·상호작용 파악 한계 → 시스템 레벨 검증 필요
ㆍ크립·파열 데이터 축적과 보수적 간극/정렬 관리가 수명·정비성 유지에 효과적임</t>
  </si>
  <si>
    <t>Strength</t>
  </si>
  <si>
    <t>강도</t>
  </si>
  <si>
    <t>ㆍ엔진은 운용 중 한계 하중(limit)과 최종 하중(ultimate)에 노출되며, 두 범주 모두에서 구조적 안정성을 유지해야함
ㆍLimit = 정상 운용 한계 내 최대 하중, Ultimate = Limit×안전계수(통상 1.5)로 정의하여 설계 기준을 명확히 해야함
ㆍ명확한 요구는 마운트/케이스/압력용기/부속품의 파손 예방·영구변형 방지와 안전성 입증의 기준</t>
  </si>
  <si>
    <t>Factors of safety</t>
  </si>
  <si>
    <t>안전계수</t>
  </si>
  <si>
    <t>ㆍFoS는 Limit(서비스 최대)와 Ultimate(파단 한계)를 구분해 설정하며, 일반 구조는 Ultimate = γ×Limit(통상 γ≈1.5)로 규정
ㆍ1.0×Limit에서 영구변형/누설/기능상실 없음, γ×Limit에서 파국적 파손 없음이 합격 기준이며, 열·환경 결합하중을 고려
ㆍ압력부품/용기류는 별도 Proof/Burst 기준(예: Proof ≥1.25–1.5×MAWP, Burst ≥2.0×MAWP)을 적용하고 분석–시험 연계(ATV)로 입증</t>
  </si>
  <si>
    <t>ㆍ충분한 설계 안전계수(FoS)로 설계 여유도를 확보해 파열·분출 등 치명 고장을 예방
ㆍ압력용기·케이스·가스하중 부품은 내·외압 및 열·침식 영향까지 포함해 안전여유를 선택
ㆍ모든 주요 구조부품은 조합 운용하중의 Ultimate 조건에서도 파국적 파손 없이 설계 수명 동안 안전 운용 필요</t>
  </si>
  <si>
    <t>ㆍMIL-HDBK-1783 지침에 따라 부품군별 FoS(e.g. 항복 1.25, 파단 1.5, 압력용기 ≥2.0)을 요구사항으로 수치 결정
ㆍ압력용기/가스 노출 부품은 최소 2.0 이상 권고, 연소·열로 인한 벽두께 감소/열응력을 FoS 산정에 반영
ㆍLimit/Ultimate 기준을 분리해 정의(1.0×Limit: 영구변형 無, γ×Limit: 파국적 파손 無)하고 
   검증 방법(해석·시험)을 함께 규정</t>
  </si>
  <si>
    <t>ㆍ주물 결함·내부 기공 등으로 FoS 1.5 설계임에도 파국 사례 → 2.0 적용 시 비파국적 실패로 전환 가능
ㆍ케이스류는 FoS 2.0 적용 시 파열·LCF·번스루 문제 크게 감소(Engine AJ/AK/A 경험)
ㆍ핵심 구조부품에 보수적 FoS(e.g. 2.0)을 적용하면 현장 리스크·군수 부담을 선제적으로 낮출 수 있음</t>
  </si>
  <si>
    <t>ㆍ설계에 적용된 구조 안전율(안전계수)이 요구값 이상인지 해석으로 확인하여 구조 건전성을 검증
ㆍ안전계수를 달성하고 있는지 구성품 시험을 수행하고 안전계수로 결과를 환산하여 검증</t>
  </si>
  <si>
    <t>Blage and disk deflection</t>
  </si>
  <si>
    <t>블레이드 및 디스크 처짐</t>
  </si>
  <si>
    <t>ㆍ회전체(블레이드/디스크)는 운용 한계·반복 하중에서 과도 처짐 없이 간극(케이스·정익 등)을 안전하게 유지해야함
ㆍ최대 하중/속도에서도 고정물 접촉·손상·간섭이 발생하지 않도록 강성·정렬·균형을 확보해야함
ㆍ이를 통해 고속 회전 중 신뢰성과 파편·2차 손상 위험을 근본적으로 저감</t>
  </si>
  <si>
    <t>ㆍ최대 하중/최고 속도에서도 블레이드 팁은 실링(shroud) 이외의 정적 구조물과 접촉 금지 등 정량 기준을 사양에 명시
ㆍ디스크 원심팽창(반경/두께), 축방향 이동, 런아웃/틸트 해석 결과를 제출하고 간극 최소치를 수치로 규정
ㆍ필요 시 X-ray/고속영상/회전계측 등 동작 중 처짐 검증시험을 수행하여 설계–해석 상관을 입증</t>
  </si>
  <si>
    <t>ㆍ축 이동/경사 등 비정상 로터 변위로 블레이드–정익 접촉→파손/대형 손상 사례 존재
ㆍ일부 프로그램은 X-ray/현장 계측으로 전 운용 하중 조건에서 간극 유지 여부를 직접 확인
ㆍ설계 단계 강성 확보 + 시험 단계 적극 검증이 접촉·파손 예방에 가장 효과적이었음</t>
  </si>
  <si>
    <t>Containment</t>
  </si>
  <si>
    <t>파편 봉압</t>
  </si>
  <si>
    <t>ㆍ회전체 파손 시 파편 억류: 엔진은 서비스(한계) 및 최악 조건에서 블레이드/로터 파편이 엔진 경계를 벗어나지 않도록 설계·검증을 해야함
ㆍ체계 통합 관점의 방호: 엔진 케이스 + 에어프레임 차폐를 조합해 연료/전장/조종계의 2차 피해를 방지
-프로그램 여건에 따라 디스크는 대체 방호를 허용할 수 있음
ㆍ검증 방법: 해석–파열/충격 시험–설치 상관(ATV)으로 입증하고, 엔진 외부 파편 비산 금지와 기능 안전(화재·누설·관통 無)을 합격 기준으로 적용</t>
  </si>
  <si>
    <t>ㆍ고속 회전체 파손 시 파편을 엔진 내부에 봉압(Containment)해 승무원/연료·제어계 등 주변 시스템을 보호해야함
ㆍ블레이드/디스크/실 등 회전체 부품은 비행 운용 한계·비정상 상황에서도 외부 비산 없이 안전을 보장해야함
ㆍ해당 요구는 2차 재난(연료 누설 화재·기체 손상)을 방지하고 귀환 가능성을 높이기 위한 필수 조건</t>
  </si>
  <si>
    <t>ㆍMIL-HDBK-1783를 근거로 봉압 대상 부품·시험 방법·합격 기준(엔진 외부 파편 비산 금지)을 사양에 수치로 명시
ㆍ일반적으로 블레이드/소형 로터는 봉인/압축을 기본으로 하고, 대형 디스크는 대체 방호(에어프레임 차폐·경로 차단)를 
   고려하여 체계 최적화
ㆍ파열 시험/국부 충격 시험과 해석–시험 상관(케이스 에너지 흡수·두께·밴드링/와이어권선 등)으로 설계 타당성 입증</t>
  </si>
  <si>
    <t>ㆍ봉압 실패는 연료탱크 관통·기체 상실로 이어진 사례가 다수 → 초기 봉압 설계·검증이 재설계 리스크를 저감
ㆍ일부 단발기는 팬 케이스 관통을 허용하고 기체 국지 장갑으로 차단해 추력 일부 유지·귀환 성공 사례 확보
ㆍ터보샤프트 배기관 등 파편 배출 경로에는 내부 봉압/차폐 요구를 부여해 포신 효과를 억제</t>
  </si>
  <si>
    <t>ㆍ엔진 회전체(팬/디스크 등) 파손 시 파편이 엔진 케이스 내에 가두어지는지 시험(파편포착 시험)으로 확인
ㆍ해석(Analysis) – 사전 입증
-에너지/궤적 해석: 파편 질량·형상·방향에 따른 **운동에너지(½mV²)**와 케이스 흡수능(두께, 밴드링, 권선 등) 비교
-로터다이내믹스/열-구조 FEA
-처짐: 원심·열팽창·축 이동(tilt)·불평형 포함 최대 상대 변위(팁–케이스/베인) 산정 → 최소 간극(C_min) 대비
-강도: 1.0×Limit/γ×Limit 하중에서 응력·좌굴·연성여유, 압력부품 Proof/Burst 산정
-대체 방호(airframe shield) 해석(선택): 엔진 케이스 관통을 허용하는 설계라면, 파편이 기체 차폐구조에서 멈추는지 검증(관통 깊이·2차 피해 경로)
-산출물: 해석 보고서(모델 가정, 하중/열 경계조건, 파편 속도·에너지 표, C_min 맵, Limit/Ultimate 응력맵)
ㆍ시험(Test) – 목적 시험으로 실증
-블레이드/로터 봉압
-블레이드-오프(Blade-Off) 시험: 회전 중 블레이드/세그먼트를 의도 분리 또는 발사체(가스건)로 케이스 충돌 모사
-스핀 피트(Spin Pit) 파열 시험(필요 시): 디스크/링을 초회전 상태에서 파단시켜 케이스 봉압 확인.
-배기관/경로 차단 시험(터보샤프트 등): 배기관이 파편 배출 경로가 되지 않도록 내부 봉압/차폐 성능 확인
-합격기준
-엔진 경계 밖 파편 비산 없음, 연료/유압/전장 손상 없음, 화재·누설 無
-케이스 국부 변형은 허용 범위 이내(균열·파열·관통 無)
-시험 후 NDI(PT/ET/UT/VT)로 2차 균열·손상 없음 확인.
ㆍ블레이드/디스크 처짐
-엔진 셀 시험: 최고/급가속·급감속·Hot soak 등 최악 열조건에서 속도 스윕
-계측: X-ray/고속카메라/팁타이밍/정전용량 간극센서로 실측 처짐/간극 취득
-합격기준: 정적부품(실·셔라우드 외) 접촉 無, 간극 ≥ C_min 유지, 사후 NDI 이상 無
ㆍ강도(FoS)·압력용기
-정적 하중 시험: 1.0×Limit에서 영구변형 無, 이어서 **Ultimate(γ×Limit)**에서 파국적 파손 無
-내압/사이클 시험(열교환기 등)
-최대 ΔP·온도 사이클 재현 → 누설/영구 변형 無
-Proof 가압(작업압×κ, 1.25–1.5) 2분×1–2회/유로 → 누설 無 확인
-필요 시 Burst 여유(≥2.0×MAWP) 자료 제시(실시험 또는 재료/성형 데이터 근거)
ㆍ상관(Correlation) – 모델↔시험 일치
-처짐/간극 상관: 해석 예측 vs 실측 ±(합의치)% 이내 · 간극 최소치 일치성 확인
-파편 에너지 상관: 충돌 흔적·변형량·고속영상을 통해 해석 에너지 vs 시험 결과 일치
-강도 상관: FEA 예측 변형·응력 vs 시험 변형량·잔류변형의 정량 상관.
ㆍ대체 방호(Containment Alternative) 검증(선택 시)
-체계 레벨 분석: 엔진 케이스 관통 허용 시, 기체 차폐구조의 관통/리바운드/2차 피해 경로 분석
-구조 시험: 대표 파편 질량·속도로 차폐 구조에 충격 시험 → 연료·전장·조종계 무손상 입증
-운용성 평가: 관통 허용 후에도 추력/제어성 확보·귀환 가능성 판단(성능 덱/비행 시나리오)
ㆍ데이터·합격 기준 요약(사양 본문에 명시)
-봉압: 엔진 외부 파편 비산 0; 화재/누설/치명 손상 0; 케이스 관통/파열 0
-처짐: 최대 하중/최고 속도/최악 열조건에서 접촉 0, 간극 ≥ C_min(속도·온도·하중 맵 부속)
-강도: 1.0×Limit 영구변형 0, γ×Limit 파국적 파손 0; 압력부품 Proof/Burst 기준 충족
-상관 기준: 모델–시험 ±X%(프로그램 합의) 이내, NDI 이상 0</t>
  </si>
  <si>
    <t>Blade out</t>
  </si>
  <si>
    <t>블레이드 이탈</t>
  </si>
  <si>
    <t>ㆍ서비스/최악 조건에서 블레이드 또는 로터 세그먼트 상실 발생 시, 엔진은 파편 봉압과 기능 안전을 확보해야 하며, 주 구조가 파국적 파손 없이 거동해야함
ㆍ의도: 외부 비산·연료/유압/전선 손상·화재를 방지하고, 언밸런스에 따른 베어링·지지부/케이스의 2차 손상을 회피(또는 허용 손상 내 관리)
ㆍ요구: 프로그램별로 이탈 시나리오·허용 손상·안정 유지 시간·정지/격리 기능을 수치로 규정하고, 해석–시험–상관(ATV) 방식으로 입증</t>
  </si>
  <si>
    <t>ㆍ회전 중 블레이드 이탈(blade-out) 발생 시에도 엔진은 즉시 파국적 파손 없이 일정 시간 안정 상태를 유지해 조종사 대응 여유를 제공해야함
ㆍ이탈 블레이드의 Containment뿐 아니라, 언밸런스/과진동/편심이 유발하는 베어링·지지구조 손상, 화재, 누설 등 2차 실패를 방지해야함
ㆍ목적은 승무원·기체 안전과 임무 지속/귀환 가능성 확보</t>
  </si>
  <si>
    <t>ㆍ팬/터빈 블레이드 1개 상실 시 최소 n초 동안 주 구조 건전성·기능 안전 유지 등 정량 요구를 명시
   (e.g. 연료/윤활 누설·화재 없음, 엔진 강제 정지 가능)
ㆍMIL-HDBK-1783 기준으로 봉압 대상/수준과 이탈 시 2차 모드(언밸런스·오버스피드·베어링 파손 등) 방지 설계 포함
ㆍ필요 시 민항 규정(FAA blade-off/rotor-burst) 준수 여부를 병기하고 시험/해석 수단을 사양에 규정</t>
  </si>
  <si>
    <t>ㆍ압축기 Ti 블레이드 이탈이 비봉압 화재·기체 관통으로 확대된 사례 다수 → 봉압 + 2차 실패 방지 설계가 핵심
ㆍ심한 언밸런스가 베어링·지지 구조 연쇄 파손과 엔진 정지 불능/과속을 유발 가능 → 지지계 강건성·차단 로직 필요
ㆍ일부 프로그램은 실블레이드 이탈 시험으로 인증 요구를 충족, 블레이드-아웃 안전성의 현장 중요성 입증</t>
  </si>
  <si>
    <t>Overspeed and overtemperature</t>
  </si>
  <si>
    <t>초과속도 및 초과온도</t>
  </si>
  <si>
    <t>ㆍ예기치 않은 제어 오작동/환경 이상으로 회전속도(N)·온도(T)가 일시 정격 초과될 수 있으므로 구조·기능 건전성 여유가 필요
ㆍ소규모/단시간 과속·과온 발생 시에도 회전체·열부품 손상 無와 계속 사용 가능성을 보장해야함
ㆍ본 요구는 엔진 신뢰성·안전성 확보를 위한 예방적 설계 여유(마진) 규정</t>
  </si>
  <si>
    <t>ㆍ연료제어 밸브 오류·고도 급변 등으로 순간 과회전·과온 사례 다수 → 설계 여유·보호 로직의 필요성 확인
ㆍ현대 엔진은 제어로 발생 빈도는 낮췄으나, 제어기 자체 고장 가능성까지 고려한 Fail-safe가 필요
ㆍ단시간 초과 허용 + 무손상 기준을 명문화하면 현장 신뢰성·가용성이 향상</t>
  </si>
  <si>
    <t>Disk burst speed</t>
  </si>
  <si>
    <t>ㆍ정의: 로터 디스크는 서비스/비정상 과속 조건에서 파열하지 않도록 설계·검증되어야 하며, 파편 봉압/체계 방호 요구와 연계
ㆍ의도: 최대 정상속도 대비 여유 비율을 규정하고, 결함(내재 결함/표면 손상)·재료 변동·온도 영향을 포함해 파열 위험도를 낮춤이 목적
ㆍ요구: 해석–시험–상관(ATV)으로 디스크 파열속도 ≥ 규정 비율(XX%) 입증, 케이스/에어프레임 방호와 NDI/품질관리를 포함
-각 회전 디스크 어셈블리는 최대 정상 회전속도의 ≥ (XX%)에서 파열되지 않을 것; 시험 후 균열·영구 손상 無</t>
  </si>
  <si>
    <t>ㆍ디스크 파열 속도는 회전 디스크가 파괴 없이 견딜 수 있는 최대 속도
ㆍ과속 상황에서도 치명 사고(버스트)를 예방하기 위한 설계 여유를 규정
ㆍ최대 정상 운용속도 대비 여유 비율(%, margin)을 명시해 제어 이상·환경 변동에도 구조 건전성을 확보
ㆍ높은 파열속도 요구는 승무원/기체 안전과 체계 신뢰성을 근본적으로 향상</t>
  </si>
  <si>
    <t>Output shaft torque limits</t>
  </si>
  <si>
    <t>출력축 토크 한계</t>
  </si>
  <si>
    <t>ㆍ출력축은 정상·과도 운용 범위에서 규정 토크를 초과하지 않도록 설계·제어 필요
ㆍ지속/과도/긴급 토크 한계와 발생 빈도·지속시간을 사양에 구분 명시
ㆍ한계는 기계 강도·수명·윤활/열 여유를 포함하여 설정
ㆍTorque: 정상 지속 토크 ≤ X Nm, 과도 토크 ≤ Y Nm for ≤ Y s; 오버토크 보호 로직 적용</t>
  </si>
  <si>
    <t>ㆍ출력축 토크 한계는 기어박스·축계 과부하 파손을 예방하는 1차 방호
ㆍ제어 이상·외부 부하 변화 시 발생 가능한 오버토크에 대비해 설계 여유가 필요
ㆍ명확한 한계는 안전성·가용성·군수비용을 동시에 개선</t>
  </si>
  <si>
    <t>ㆍ통제 과신·완화 요구로 한계 낮게 설정 시 현장 과부하 위험 증가
ㆍ일관된 보수 한계 + 제어 엄격 관리가 사고와 정비폭주를 저감
ㆍ한계 초과 시 성능 저하 없이 안전 상태 유지가 검증되어야함</t>
  </si>
  <si>
    <t>ㆍ엔진 출력축에 과도 토크 부하를 가하는 시험을 통해 출력축이 요구된 한계 토크까지 견딤을 검증
ㆍ해석: 드라이브트레인 FEA/토션 모델 → 치형/축·커플링 안전여유 산정
ㆍ시험: 셀/리그에서 정상/과도 토크 인가, FADEC 오버토크 보호 작동 확인, NDI 무손상
ㆍ상관: 모델–시험 오차 허용(±%) 설정, 초과 시 RCCA→재시험</t>
  </si>
  <si>
    <t>Output shaft speed limits</t>
  </si>
  <si>
    <t>출력축 속도 한계</t>
  </si>
  <si>
    <t>ㆍ출력축 오버스피드는 기어·축·베어링 치명 고장을 유발할 수 있음
ㆍ최대 정상 RPM 초과 시에도 단시간 무손상을 보장할 설계 여유가 필요
ㆍ제어기 오작동 가능성까지 고려한 Fail-safe 방호가 요구</t>
  </si>
  <si>
    <t>ㆍ제어 신뢰성만 믿고 완화 시 실제 오버스피드 사례가 발생
ㆍ유사성만으로 대체한 검증은 위험—실험 기반 확인 권장
ㆍ결과적으로 보수 한계 + 실시험 검증이 바람직</t>
  </si>
  <si>
    <t>ㆍ엔진 출력축의 최대 회전속도를 시험으로 검증하여 요구 한계 속도 내에서 파손이나 이상이 없음을 확인
ㆍ해석: 로터다이내믹스/치형 유한요소로 오버스피드 응력·진동·베어링 하중 평가
ㆍ시험: 셀/HIL Fault-injection으로 오버스피드 유도, 보호 로직 동작·구조 무손상 확인, NDI
ㆍ상관: 예측–계측 RPM/응력/진동 상관, 합격 기준 충족</t>
  </si>
  <si>
    <t>Bearing load</t>
  </si>
  <si>
    <t>베어링 하중
(pressure balance)</t>
  </si>
  <si>
    <t>ㆍ베어링은 추력·방사·진동 하중을 수명 내 안정적으로 지지해야함
ㆍ윈드밀링/지상 이동 등 비가동 상태 하중도 고려해야함
ㆍ압력 밸런스/윤활 체계가 여분 하중을 완화해야함</t>
  </si>
  <si>
    <t>ㆍ축/방사 하중의 범위·빈도를 표로 규정, 베어링 설계 수명을 수치로 제시
ㆍ압력 균형(썸프 압력 등)이 하중 경감에 미치는 영향 명시
ㆍ열·속도·오염 조건을 포함한 수명/신뢰성 목표 설정</t>
  </si>
  <si>
    <t>ㆍ미세한 압력 밸런스 이탈이 과열·마모 원인 → 체계적 검증이 필요
ㆍ내구 시험에서 **상태 모니터링(EHM)**으로 조기 이상 탐지
ㆍ사전 해석·시험 연계가 교체 주기 최적화에 기여</t>
  </si>
  <si>
    <t>ㆍ엔진 베어링에 작용하는 최대 하중을 해석으로 산출하고 혹독 조건에서의 베어링 거동을 시험으로 확인하여 요구 내구성을 검증
ㆍ해석: 베어링 하중·수명(ISO/AGN법, Lund–Berg 등) + 열/유막 안정성 해석
ㆍ시험: 리그/엔진 내구에서 하중·온도·진동 로깅, 분해검사로 마모/피팅 확인
ㆍ상관: 모델–시험 수명 상관, 압력 밸런스 기능 시험 포함</t>
  </si>
  <si>
    <t>Gyroscopic moments</t>
  </si>
  <si>
    <t>자이로 모멘트</t>
  </si>
  <si>
    <t>ㆍ기동(롤·피치·요) 시 자이로 효과로 추가 비행 하중이 엔진에 작용
ㆍ로터·지지구조는 한계 자이로 모멘트에서 안전 여유를 가져야함
ㆍ반복 자이로 하중은 진동 피로(수명 단축) 위험을 높임</t>
  </si>
  <si>
    <t>ㆍ엔진 회전체의 자이로 효과로 인한 모멘트를 해석하여 엔진 장착부와 구조물이 견딜 수 있음을 확인
ㆍ해석: 로터동역학(자이로 항 포함)으로 베어링·지지구조 응력/변위 산정, 위험 모드 회피
ㆍ시험: 지상 자이로 리그 또는 엔진 셀에서 기동 등가 하중 인가, 진동/하중 한계 미초과 확인
ㆍ비행 상관: 고기동 비행 데이터(각속도·응답)를 해석/시험과 상관</t>
  </si>
  <si>
    <t>Damage tolerance</t>
  </si>
  <si>
    <t>손상 허용도</t>
  </si>
  <si>
    <t>ㆍ손상허용: 초기 결함 존재를 가정하고도 잔류 강도·내구를 보장하는 설계·관리 철학
ㆍ요구: 초기결함 크기, 잔류강도, 점검주기를 정량화하고 DTCP로 통합 관리
ㆍ범위: 재료/설계/제조/정비/검사 전 주기에 걸친 통합적 요구–검증</t>
  </si>
  <si>
    <t>ㆍ제조/정비/재료 기인 잠재 결함이 존재해도 조기 파손 없이 임무 수행이 가능해야함
ㆍ재료 인성·응력수준·설계 개념·공정 품질·검사기법을 체계적으로 관리해 치명 실패 확률을 저감
ㆍ목적은 비전상 결함 존재하더라도 항공기 손실·인명 피해를 극소화</t>
  </si>
  <si>
    <t>ㆍDTCP(내구·손상허용 제어계획) 수립: 재료 인성 기준, 인장응력 한도, 제조·정비 NDI 체계 명문화
ㆍENSIP/DTD 지침 적용: 부품별 초기결함 가정·허용치, 균열 성장·점검 주기 연계
ㆍ사양에 모든 파손치명 부품은 지정 초기 결함 하에서 DSL 동안 잔류 강도 유지를 명시</t>
  </si>
  <si>
    <t>ㆍ고강도·저인성, 응력집중, 품질 미흡이 결함 성장→Class A 사고로 이어진 선례
ㆍ최신 프로그램은 DT/DTD 이행으로 중량 증가 없이도 요구 달성 가능함을 입증
ㆍ복합재 부품도 ASIP/DT 연구 성과 기반 손상허용 요구를 적용 중</t>
  </si>
  <si>
    <t>A, P, Q</t>
  </si>
  <si>
    <t>Residual strength</t>
  </si>
  <si>
    <t>잔류 강도</t>
  </si>
  <si>
    <t>ㆍ결함이 있어도 필요 하중을 지지할 잔류 강도가 보장돼야 임무·안전을 확보
ㆍ잔류 강도는 설계 수명 전 구간에 대해 유효해야함
ㆍ목적은 균열 존재 시에도 치명 하중에서 즉시 파손되지 않도록 함</t>
  </si>
  <si>
    <t>ㆍ치명 부품은 임의 초기결함 존재 시 설계 극한 하중 Z%를 DSL 동안 견딜 것 등 정량 요건 명시
ㆍ잔류 강도 해석/시험 데이터(인공결함 파단시험 포함) 제출 요구
ㆍ보수적 재료 분포/불확실도를 반영해 잔류 강도 평가</t>
  </si>
  <si>
    <t>ㆍ초기결함 이내라도 잔류강도 검증 미흡 시 예기치 못한 파손 사례 발생
ㆍ해석+시험 병행으로 무파손 확인이 필수
ㆍ균열 성장 인자·재료 분산 보수 반영이 안전 측면에 유익</t>
  </si>
  <si>
    <t>Initial production and in-service flaw size</t>
  </si>
  <si>
    <t>초기 생산품 및 운용 결함 크기</t>
  </si>
  <si>
    <t>I, C, D</t>
  </si>
  <si>
    <t>Flaw growth and inspection intervals</t>
  </si>
  <si>
    <t>결함성장 및 검사 간격</t>
  </si>
  <si>
    <t>ㆍ초기 결함이 검사 주기 내 임계 크기에 도달하지 않도록 안전 수명을 보장해야함
ㆍ무검사 수명이 이상적이나 현실적 제약 시 합리적 점검주기가 필요
ㆍ목표는 최소 검사/정비로도 안전 운용 보장</t>
  </si>
  <si>
    <t>C, I</t>
  </si>
  <si>
    <t>Vibration and dynamic response</t>
  </si>
  <si>
    <t>진동 및 동적 응답</t>
  </si>
  <si>
    <t>ㆍ엔진 로터·기어·배관·계기 등 모든 구성품이 운용 진동 환경에서 손상·기능 저하 없이 동작해야함
ㆍ유해 진동/비정상 동적 응답을 억제해 구조 건전성·신뢰성·가용성을 확보하는 것이 목적
ㆍ주파수·진폭 특성을 정량화해 공진 회피·피로 강도·마모 대책을 설계에 반영해야함</t>
  </si>
  <si>
    <t>C, De</t>
  </si>
  <si>
    <t>Vibration limits</t>
  </si>
  <si>
    <t>진동 한계</t>
  </si>
  <si>
    <t>ㆍ진동 한계는 엔진 건강 모니터링·진단 기준이자 개발 엔진 기본 성능선 설정에 필요
ㆍ한계 설정으로 설계 변경 시점, 생산/창 정비 수락 기준, 장착 상태(정상/과도/기동) 판단
ㆍ프로그램 전 단계(개발·양산·비행·정비)에서 일관 기준 제공</t>
  </si>
  <si>
    <t>Critical speeds</t>
  </si>
  <si>
    <t>한계속도</t>
  </si>
  <si>
    <t>외부 표면 이물질 손상</t>
  </si>
  <si>
    <t>기계적 장비 및 부체계 무결성</t>
  </si>
  <si>
    <t>ㆍ기계 장비/하위시스템은 엔진 운용 환경에서 기능·구조 건전성을 유지해야함
ㆍ요구는 강도/내구/진동/환경 항목을 포함, 엔진 본체 요구와 동일 수준으로 테일러링
ㆍ인터페이스(압력·온도·진동 전달·장착) 일치가 필수</t>
  </si>
  <si>
    <t>Avionics and electronic integrity</t>
  </si>
  <si>
    <t>항전 및 전자시스템 무결성</t>
  </si>
  <si>
    <t>ㆍ항전/전자 장비는 엔진 환경에서 기능/신뢰성/EMI/EMC 요구를 만족해야함
ㆍ환경 적합성 + 진동/충격 + 전원 품질 요구를 사양에 수치로 명기
ㆍ수명 목표/고장률·BIT/보존 기능을 포함한 무결성 관리가 요구</t>
  </si>
  <si>
    <t>Software integrity</t>
  </si>
  <si>
    <t>소프트웨어 무결성</t>
  </si>
  <si>
    <t>정량적인 신뢰도 요구사항</t>
  </si>
  <si>
    <t>Maintainability quantitative requirements</t>
  </si>
  <si>
    <t>정량적인 정비성 요구사항</t>
  </si>
  <si>
    <t>ㆍ시제개발 중 정비성능 정량적 디벨롭 어려움</t>
  </si>
  <si>
    <t>ㆍ미적용유지</t>
  </si>
  <si>
    <t>Excluded maintenance functions</t>
  </si>
  <si>
    <t>제외된 정비 기능</t>
  </si>
  <si>
    <t>ㆍ시제개발 중 정비검사기법 디벨롭 어려움</t>
  </si>
  <si>
    <t>Maintainability qualitative requirements</t>
  </si>
  <si>
    <t>정성적인 정비성 요구사항</t>
  </si>
  <si>
    <t>ㆍ시제개발 중 정비성능 정성적 디벨롭 어려움</t>
  </si>
  <si>
    <t>Modules</t>
  </si>
  <si>
    <t>모듈 구성</t>
  </si>
  <si>
    <t>Maintenance, inspection and repair cycle</t>
  </si>
  <si>
    <t>정비, 검사 및 수리 주기</t>
  </si>
  <si>
    <t>ㆍ시제개발 중 정비/검사/수리주기 판단 어려움</t>
  </si>
  <si>
    <t>Maintenance inspection techniques</t>
  </si>
  <si>
    <t>정비 검사 기법</t>
  </si>
  <si>
    <t>Tools</t>
  </si>
  <si>
    <t>공구</t>
  </si>
  <si>
    <t>D, I</t>
  </si>
  <si>
    <t>Battle damage repair</t>
  </si>
  <si>
    <t>전투 피해 복구</t>
  </si>
  <si>
    <t>ㆍ시제개발엔진에 SOR에 전투피해복구 없음</t>
  </si>
  <si>
    <t>Human performance and human engineering</t>
  </si>
  <si>
    <t>정비 인적 요소 및 인간 공학</t>
  </si>
  <si>
    <t>ㆍ시제개발 중 인적요소/인간공학 적용 어려움</t>
  </si>
  <si>
    <t>Noise</t>
  </si>
  <si>
    <t>소음</t>
  </si>
  <si>
    <t xml:space="preserve">
-</t>
  </si>
  <si>
    <t>IR signature</t>
  </si>
  <si>
    <t>적외선(Infrared, IR) 방출정도</t>
  </si>
  <si>
    <t>ㆍ시제개발엔진 SOR에 적외선노출 없음</t>
  </si>
  <si>
    <t>Smoke</t>
  </si>
  <si>
    <t>배기가스 연기</t>
  </si>
  <si>
    <t>Gaseous emissions</t>
  </si>
  <si>
    <t>배기가스 배출물</t>
  </si>
  <si>
    <t>Fuel streaming and vapor puffing</t>
  </si>
  <si>
    <t>연료분출 및 증기 확산</t>
  </si>
  <si>
    <t>ㆍ시제개발엔진은 터보프롭엔진이고, 후연소기 없음</t>
  </si>
  <si>
    <t>Water vapor contrails</t>
  </si>
  <si>
    <t>물방울 응축운</t>
  </si>
  <si>
    <t>ㆍ운용고도를 명확히 해야 함
ㆍ해당 고도에서의 응축운 발생여부 분석 필요
ㆍ미미한 경우 비적용 고려 가능</t>
  </si>
  <si>
    <t>ㆍ엔진 열역학 모델을 통해 다양한 고도와 출력에서의 배기가스 온도 및 수증기 농도를 계산함
ㆍ이 배출 특성 데이터를 표준 대기 모델(Appleman Chart 등)과 비교하여 비행운이 형성되는 
   임계 고도와 조건을 예측함
ㆍ주요 임무 프로필 상의 비행 고도에서 비행운 형성 가능성이 낮거나 회피 가능함을 분석하여 
   스텔스 요구조건 만족 가능성을 입증함</t>
  </si>
  <si>
    <t>Radar cross-section</t>
  </si>
  <si>
    <t>레이더 반사면적</t>
  </si>
  <si>
    <t>ㆍ시제개발 중 레이더 관련 업무 불가</t>
  </si>
  <si>
    <t>Radar absorbent materials and coatings</t>
  </si>
  <si>
    <t>레이더 흡수 재료(RAM) 및 코팅</t>
  </si>
  <si>
    <t>Balistic weapons</t>
  </si>
  <si>
    <t>탄도탄 위협</t>
  </si>
  <si>
    <t>Static structure</t>
  </si>
  <si>
    <t>정적 구조</t>
  </si>
  <si>
    <t>ㆍ엔진의 케이스, 프레임 등 압력을 받는 주요 고정 구조물은 최대 운용 압력 상태에서 규격화된 크기의 구멍(전투 손상 모사)이 발생하더라도 
  파열되거나 붕괴되지 않고 구조적 형태를 유지해야함
ㆍ이 요구조건의 핵심은 방탄 성능이 아니라, 피격으로 인한 초기 손상이 구조물 전체의 파열 같은 파국적 고장(catastrophic failure)으로 확대되는 
   것을 방지하여 엔진의 생존성을 확보하는 데 있음
ㆍ따라서 설계 시 구멍으로 인한 응력 집중을 견딜 수 있도록, 취성 파괴를 일으키지 않는 충분한 연성(ductility)을 가진 재료를 사용하여 
   손상이 점진적으로 진행되도록(graceful degradation) 만들어야함</t>
  </si>
  <si>
    <t>ㆍ엔진 케이스나 프레임 등을 무게 제약으로 인해 방탄으로 만드는 것은 비현실적임
ㆍ단순한 관통 자체보다는, 관통 후 구조물이 부서지며 발생하는 2차 파손이 더 큰 위협임
ㆍ따라서 피격 시에도 엔진이 즉시 정지하거나 파편을 발생시키지 않고, 추력이 저하되더라도 제어에 반응하며
   안전하게 정지할 수 있는 점진적 파손(Graceful Degradation) 능력을 확보하는 것이 핵심</t>
  </si>
  <si>
    <t>ㆍ유한요소해석(FEA) 모델을 사용하여 엔진 케이스 및 프레임 등 정적 구조물의 응력 분포를 계산함
ㆍ모델의 특정 위치에 규격에서 요구하는 크기(e.g.30mm)의 손상을 인위적으로 생성하고, 최대 작동 압력을 가함
ㆍ손상 부위 주변의 응력 집중이 구조물의 파괴 인성치를 초과하지 않아, 균열 전파나 파국적인 파손으로 
   이어지지 않음을 입증함</t>
  </si>
  <si>
    <t>Nuclear weapons effects</t>
  </si>
  <si>
    <t>핵무기 효과</t>
  </si>
  <si>
    <t>ㆍ시제개발 중 핵무기 관련 업무 불가</t>
  </si>
  <si>
    <t>Chemical and biological agent effects</t>
  </si>
  <si>
    <t>화학적 및 생물학적 효과</t>
  </si>
  <si>
    <t>ㆍ시제개발 중 화학전/생물학전 관련 업무 불가</t>
  </si>
  <si>
    <t>Fuel ingestion effects</t>
  </si>
  <si>
    <t>연료 유출 흡입 효과</t>
  </si>
  <si>
    <t>ㆍ지정된 최악의 상황에 따라 연료가 유출되어 엔진으로 유입될 때를 가정했을 때, 엔진성능, 엔진내부성능/기능이 유지되고 안정적임을 요구하는 항목</t>
  </si>
  <si>
    <t>ㆍ전투 손상 등으로 누출된 연료가 엔진 공기흡입구로 유입되는 상황을 다룸
ㆍ피격 항공기가 즉시 추락하지 않고 귀환할 가능성을 높이는 전투 생존성(Survivability) 요구조건임
ㆍ엔진이 연료를 흡입하더라도 급격한 추력 저하나 화재 없이 일정 시간 작동을 유지하도록 요구함</t>
  </si>
  <si>
    <t>ㆍ전투 손상 시나리오에 따라 규정된 유량의 연료가 공기흡입구로 유입되는 상황을 다상(Multiphase) 
   CFD로 모델링함
ㆍ유입된 액체 연료가 압축기 블레이드의 공력 성능에 미치는 영향과 연소실 내 연소 안정성 변화를 시뮬레이션함
ㆍ연료 흡입 시에도 엔진 실속(Stall)이나 꺼짐(Flame-out) 없이, 요구되는 최소 추력 이상을 유지하며 
   안정적으로 작동 가능함을 해석적으로 증명함</t>
  </si>
  <si>
    <t>Fuel ingestion - steady-flow</t>
  </si>
  <si>
    <t>연료 유출 흡입- 정상흐름</t>
  </si>
  <si>
    <t>ㆍ전투 손상 시나리오에 따라 규정된 유량의 연료가 공기흡입구로 유입되는 상황을 다상(Multiphase) CFD로 모델링함</t>
  </si>
  <si>
    <t>ㆍ전투 손상으로 연료 배관 등에서 지속적이고 비교적 적은 양의 연료가 누출되어 엔진 주공기흡입구로 유입되는 상황을 모사함
ㆍ순간적인 충격뿐만 아니라, 일정 시간 동안 오염된 상태에서도 엔진이 작동을 유지하여 조종사에게 대응 및 생존 기회를 제공
ㆍ지속적인 연료 과농 상태로 인한 압축기 실속(Stall) 또는 연소 불안정으로 인한 엔진 정지를 방지하는 것이 핵심 목표임</t>
  </si>
  <si>
    <t>ㆍ누출되는 연료의 유량(e.g. 주연료 유량의 5%), 지속 시간(e.g. 2분), 허용 추력 감소율(e.g. 10% 이내)을 
   구체적인 수치로 명시해야 함
ㆍ엔진 제어 시스템(FADEC)이 이러한 비정상 상태를 인지하고 연소 안정을 유지하도록 보정하는 능력을 포함할 수 있음
ㆍ규정된 시간 동안 안정적인 추력을 유지하고, 연료 유입이 멈춘 후 정상 상태로 회복 가능해야 함을 요구함</t>
  </si>
  <si>
    <t>ㆍ과거 시험 결과, 지속적인 소량의 연료 흡입만으로도 압축기 작동점이 불안정해져 실속(Stall)에 이를 수 있음이 확인됨
ㆍ특히 압축기 실속 여유(Stall Margin)가 부족한 엔진일수록 이 현상에 취약함
ㆍ따라서 넓은 작동 영역에서 안정적인 연소가 가능한 연소기 설계와 충분한 압축기 실속 여유 확보가 필수적이라는 교훈을 얻음</t>
  </si>
  <si>
    <t>ㆍ1단계 (유입 모델링): 다상(Multiphase) CFD를 사용하여, 규정된 유량의 연료가 공기흡입구의 특정 위치에서
   분무되어 안개(Mist) 형태로 유입되는 과정을 시뮬레이션함
ㆍ2단계 (압축기 영향 분석): 유입된 연료 입자가 각 압축기 단(Stage)을 통과하며 공력 성능에 미치는 영향을 
   분석하여, 압축기 실속 여유(Stall Margin)가 얼마나 감소하는지 정량적으로 예측함
ㆍ3단계 (연소 안정성 평가): 최종적으로 압축기를 통과한 연료/공기 혼합물이 연소실로 들어갔을 때, 
   연소장의 국부 공연비(Local A/F Ratio) 분포를 계산하여 화염이 안정적으로 유지되는지(Rich Blowout Limit)
   에 도달하지 않는지)를 해석적으로 증명함</t>
  </si>
  <si>
    <t>Fuel ingestion - colling air contamination</t>
  </si>
  <si>
    <t>연료 유출 흡입-냉가스 오염</t>
  </si>
  <si>
    <t>ㆍ유입된 액체 연료가 압축기 블레이드의 공력 성능에 미치는 영향과 연소실 내 연소 안정성 변화를 시뮬레이션함</t>
  </si>
  <si>
    <t>ㆍ누출된 연료가 터빈 블레이드 등을 식히기 위해 사용되는 고온/고압의 냉각공기 계통(Bleed Air System)으로 유입되는 
   치명적인 상황을 다룸
ㆍ냉각공기 통로 내부에서 연료가 발화하여 내부 화재를 일으키거나, 탄화(Coking)되어 냉각 통로를 막는 것을 방지하기 위함
ㆍ이는 단순한 성능 저하가 아닌, 터빈 파손과 같은 파국적 엔진 고장을 막기 위한 핵심적인 생존성 요구조건임</t>
  </si>
  <si>
    <t>ㆍ특정 유량을 명시하기보다, 엔진의 2차 공기계통(Secondary Air System)으로 연료가 유입될 경우, 
   제어 불가능한 내부 화재나 파손을 유발하지 않아야 한다"고 성능 기반으로 요구함
ㆍ연료가 유입될 가능성이 있는 모든 2차 공기 흡입구의 위치를 식별하고, 해당 경로의 온도 및 압력 조건을 
   고려하여 설계해야 함
ㆍ해석 또는 부품 단위 시험을 통해, 연료가 유입되더라도 자연 소화되거나 무해하게 배출됨을 입증하도록 요구함</t>
  </si>
  <si>
    <t>ㆍ과거 원인 불명의 터빈 파손 사고를 분석한 결과, 미세한 연료나 오일이 고온의 블리드에어로 유입되어 내부 과열을 유발한 
   사례가 있었음
ㆍ생존성은 주공기 유로(Primary Flow Path)뿐만 아니라, 눈에 보이지 않는 2차 공기계통의 건전성에 크게 좌우된다는 
   것을 알게 됨
ㆍ이 교훈으로 인해, 연료/활유 계통 배관을 고온의 블리드에어 덕트로부터 물리적으로 격리하거나 차폐하는 설계가 표준화됨</t>
  </si>
  <si>
    <t>ㆍ1단계 (유입 경로 모델링): 2차 공기계통 전체의 유동 네트워크를 CFD로 모델링하고, 외부에서 누출된 연료가
   어떤 경로를 통해 터빈 블레이드 내부로 유입될 수 있는지 시뮬레이션함
ㆍ2단계 (내부 열/화학반응 분석): 유입된 연료가 고온/고압의 냉각공기와 혼합되었을 때, 블레이드 내부 통로에서
   자연 발화(Auto-ignition) 또는 탄화(Coking) 반응이 일어날 가능성을 열-화학 반응 해석으로 예측함
ㆍ3.단계 (건전성 평가): 해석 결과를 바탕으로 내부 화재로 인한 압력 상승이 구조 건전성을 해치지 않는지, 
   또는 코킹으로 인한 냉각 효율 저하가 블레이드 재료의 허용 온도를 초과하지 않는지를 분석하여 
   파국적 손상이 없음을 입증함</t>
  </si>
  <si>
    <t>Fuel ingetsion - transient ("quick dump")</t>
  </si>
  <si>
    <t>연료 유출 흡입-과도흐름(퀵덤프)</t>
  </si>
  <si>
    <t>ㆍ연료 흡입 시에도 엔진 실속(Stall)이나 꺼짐(Flame-out) 없이, 요구되는 최소 추력 이상을 유지하며 안정적으로 작동 가능함을 해석적으로 증명함</t>
  </si>
  <si>
    <t>ㆍ연료 탱크가 피격되어 파열되거나 주연료 배관이 절단되어 짧은 시간 동안 대량의 연료가 순간적으로 엔진에 쏟아져 들어오는 
   최악의 상황을 모사함
ㆍ이 시나리오의 핵심 목표는 극심한 연료 과농 충격에도 불구하고 엔진의 불꽃이 꺼지지 않는 것(No Flameout)
-추력 유지가 아님
ㆍ엔진이 꺼지지만 않는다면, 과도 현상이 지난 후 조종사가 엔진을 재점화할 필요 없이 즉시 추력을 회복할 기회를 가질 수 있음</t>
  </si>
  <si>
    <t>ㆍ순간적으로 유입되는 총 연료량(예: 10kg)과 지속 시간(예: 1초 이내)을 정의하여 순간적인 충격을 명확히 함
ㆍ요구조건은 "규정된 과도 연료 유입 시, 일시적인 추력 변동은 허용되나 엔진 꺼짐(Flameout)이 발생해서는 
   안 된다"고 명시함
ㆍ시험 후 엔진이 스스로 안정적인 아이들(Idle) 상태 이상으로 회복할 수 있는 능력을 포함하여 요구해야 함</t>
  </si>
  <si>
    <t>ㆍ초기 제트 엔진들은 급격한 연료량 변화에 매우 취약하여, 이런 상황에서 쉽게 꺼지는 문제가 있었음
ㆍ수많은 시험과 사례를 통해, 화염 안정성이 매우 뛰어난 연소기(Flame Holder) 설계와, 비정상 상태를 감지하고 연료를 
   조절하는 고속 반응 제어 로직의 중요성이 입증됨
ㆍ따라서 현대 엔진은 극단적인 연료 과농 상태에서도 연소의 핵을 유지할 수 있는 넓은 연소 안정 영역을 갖도록 설계됨</t>
  </si>
  <si>
    <t>ㆍ1단계 (충격파 모델링): 비정상(Transient), 다상(Multiphase) CFD를 사용하여, 액체 상태의 거대한 연료 
   덩어리(Liquid Slug)가 팬과 압축기를 통과하며 발생하는 순간적인 압력 및 유동 왜곡을 시뮬레이션함
ㆍ2단계 (연소실 과도 응답 분석): 엄청난 양의 연료가 연소기로 순간적으로 밀려 들어올 때, 화염 전파 속도와 
   연소 안정성이 어떻게 변하는지를 과도 연소 해석(Transient Combustion Simulation)으로 분석함
ㆍ3.단계 (생존성 판정): 시뮬레이션 결과, 연소실 내의 화염이 일시적으로 불안정해지더라도 화염의 
   핵(Flame Kernel)이 완전히 소멸되지 않고 유지되어, 연료 유입이 끝난 후 스스로 안정 상태로 복귀할 수 있음
   을 해석적으로 증명함</t>
  </si>
  <si>
    <t>Anti-icing and de-icing system</t>
  </si>
  <si>
    <t>엔진 방빙/제빙 시스템</t>
  </si>
  <si>
    <t>ㆍ엔진은 규정된 착빙 환경 전 범위에서 유빙으로 인한 기능·성능 저하/손상이 없도록 Anti-Ice/De-Ice를 제공해야함
ㆍ방빙 운용 시 추력·응답·열 한계는 사양 허용 내, 고장 시 안전 상태(RTB 가능)로 전환되고 표시·경보가 제공되어야함
ㆍIPS/드레인/배출 경로를 포함한 설계로 축적·막힘·재결빙을 방지하며, 항공기 시스템 의존성은 ICD/사양에 명시</t>
  </si>
  <si>
    <t>ㆍ착빙은 흡입 효율 저하·블레이드 손상·추력 손실을 유발 → 성능·안전 위험
ㆍ방빙/제빙 시스템은 혹한·가습 환경에서 유빙 유해 축적 방지로 안정 운용 보장
ㆍ작동 시 성능 영향 최소화 및 고장 시 안전 귀환(RTB) 가능성이 핵심</t>
  </si>
  <si>
    <t>ㆍ방빙 실패로 흡입구 빙착→출력 급감 사례 → Fail-safe + 작동 진단(예: 히터 전류 모니터) 강화
ㆍ방빙 작동은 통상 소폭 성능 저하 수반 → 여유 성능·허용치를 사양에 명시해야 함
ㆍ엔진 자체 방빙이 없을 경우 항공기 차원의 인렛 가열 의존성을 규격에 명시·관리 필요</t>
  </si>
  <si>
    <t>Control system</t>
  </si>
  <si>
    <t>제어시스템</t>
  </si>
  <si>
    <t>ㆍ제어계는 안전·성능·신뢰성을 보장하도록 결함허용·보호 로직·일관 응답을 갖춰야함
ㆍ채널 전환/고장 상태에서도 임무 수행이 가능하고, 한계 초과 방지가 우선
ㆍ요구·인터페이스·지연·정확도는 사양/ICD로 추적 가능해야함</t>
  </si>
  <si>
    <t>ㆍ제어계는 모든 운용모드에서 성능·신뢰성·안전을 좌우하므로, 환경·임무 조건 하 안정 작동을 보장해야함
ㆍ엔벨로프 일부(저고도-고마하 등)에서 한계 초과 위험 → 자동 출력 제한/보호로 구조 손상을 방지해야함
ㆍ엔진-항공기 통합 관점의 일관된 조종 응답이 조종사 작업부하를 저감</t>
  </si>
  <si>
    <t>ㆍ결함허용(Fault-tolerant) 아키텍처, 이중/삼중화·채널 전환 시 출력 급변 無 요구
ㆍ보호 기능(과온·과압·과속·스톨/플레임아웃 방지, 시동 보호, 급과도 관리)과 선형/예측 가능한 레버-출력 맵 명시
ㆍ세부 인터페이스·성능·지연·정확도는 ICD에, 핵심 요구만 규격 본문에 기술</t>
  </si>
  <si>
    <t>ㆍ동일 케이스 내 이중화는 공통모드(화재) 상실 우려 → 물리 분리·상호모니터링이 효과적
ㆍ제어 알고리즘 미흡은 과민/미세조정 어려움/스톨 유발 → 폐루프·보상·트림 도입으로 개선
ㆍ이중 FADEC도 SW 공통버그 위험 → 독립 개발/다변화 또는 엄격한 검증 필요</t>
  </si>
  <si>
    <t>Backup control</t>
  </si>
  <si>
    <t>백업 제어시스템</t>
  </si>
  <si>
    <t>ㆍ백업제어는 주 제어 상실 시 자동 개입하여 안전 상태/제한 추력을 제공
ㆍ물리적/기능적 분리와 보호 기능 유지가 요구
ㆍ전환 과정에서 출력 급변/불안정 無를 보장해야함</t>
  </si>
  <si>
    <t>ㆍ단발기 등에서 주 제어 상실은 항공기 손실 위험 → 백업제어가 생존성 핵심
ㆍ백업은 안전 정지 또는 제한 추력 운용을 보장해야함
ㆍ전환 중 출력 급락·불안정 無 필수</t>
  </si>
  <si>
    <t>ㆍ독립 장치/독립 위치 설치(공통모드 분리), 자동 전환 ≤ (a)s
ㆍ백업모드의 최대 출력/제약을 명시하고, 레버각-출력 맵과 한계 보호는 주 제어와 일치
ㆍ조종석 상태 표시/경보와 RTB(귀환) 절차 제공</t>
  </si>
  <si>
    <t>ㆍ별도 위치 백업으로 안전 착륙 성공 사례, 동일 케이스 이중화는 위험
ㆍ백업모드 재가동/성능 한계를 교육·매뉴얼로 명확화
ㆍ백업도 공통버그 방지(SW 다양화/독립 검증) 필요</t>
  </si>
  <si>
    <t>Control system adjustments</t>
  </si>
  <si>
    <t>제어시스템 조정항목</t>
  </si>
  <si>
    <t>ㆍ제어계 조정은 허용 항목 최소화 및 무단 변경 방지가 원칙
ㆍ허용 항목·범위·절차는 사양/ICD로 관리
ㆍ조정 후 기록·검증 필수</t>
  </si>
  <si>
    <t>ㆍ현장 임의 조정은 성능 불일치·안전 저하 유발 → 조정 항목 최소화 필요
ㆍ공장 설정 유지로 기체 간 일관 성능 보장
ㆍ무단 변경 방지(봉인/락)로 품질·안전 확보</t>
  </si>
  <si>
    <t>ㆍ허용 조정 항목을 한정 열거(예: 아이들 RPM 미세조정, 연료 보정)하고 그 외 금지
ㆍWire-seal/Password-lock 등 무단 조정 방지, 조정 로그 요구
ㆍ자동 보정 기능 우선, 현장 조정은 예외적 상황으로 제한</t>
  </si>
  <si>
    <t>ㆍ수동 트림 오조정으로 추력 이탈 사례 → 자동 보정·락아웃이 효과적
ㆍ조정 최소화가 균일 성능·정비성에 유리
ㆍ조정 포인트는 ICD/정비절차에 명확화</t>
  </si>
  <si>
    <t>ㆍ검토: 허용 항목·락/로그 설계 점검.
ㆍ시험: 현장 시나리오로 허용 작업만 수행 가능, 비허용 시도 차단 확인
ㆍ수락: 조정 후 성능·한계 준수, 변경 로그·추적성 확보</t>
  </si>
  <si>
    <t>Overspeed protection system</t>
  </si>
  <si>
    <t>초과속도 보호 시스템</t>
  </si>
  <si>
    <t>ㆍ제어계는 과속 검출–자동 보호–한계 미초과를 보장해야함
ㆍ검출 정확도·응답 시간·다중화·Fail-safe 요구를 포함
ㆍTS/TP의 출력축은 직접 속도 계측과 독립 채널로 감시</t>
  </si>
  <si>
    <t>ㆍ로터 과속은 디스크 파열·치명 고장 유발 → 즉시 교정 동작 필요.
ㆍ어떤 상황에서도 한계속도 미초과가 안전의 최종 방벽
ㆍ특히 TS/TP는 출력축 측정 정확성이 중요</t>
  </si>
  <si>
    <t>ㆍ기계식 간접 측정 오차로 작동 지연 사례 → 직접 측정·다중 투표가 표준
ㆍ보호 불충분은 버스트 사고로 직결 → 보수적 작동점 필요
ㆍ센서·로직 공통모드 실패 대비가 중요</t>
  </si>
  <si>
    <t>ㆍ해석: 초과속도 보호 로직/루프 적용상태인지, 적용된 상태가 동작하고 있는지 확인하는 보고서 필요
ㆍ시험: HIL Fault-injection, 셀 과속 유도(안전 한계 내)로 (b) ms 내 작동, 한계 미초과·NDI 무손상 확인
ㆍ수락: 다중 센서/투표 로직, 오류 주입 시 오탐/미탐 확률 ≤ 요구</t>
  </si>
  <si>
    <t>Fuels</t>
  </si>
  <si>
    <t>연료</t>
  </si>
  <si>
    <t>ㆍ엔진은 지정 주/보조/비상 연료에서 성능·시동·가속 요구를 충족하고, 오염 허용 내에서 정상 작동
ㆍ연료공급 조건(압력/온도/유량/맥동·기포)을 정량화하고, 필터 바이패스 상태에서도 안전 운용을 보장
ㆍ연료계 설계는 신뢰성·내구·정비성과 항공기 연료 시스템 ICD 일치를 확보해야함</t>
  </si>
  <si>
    <t>Primary fuel</t>
  </si>
  <si>
    <t>주연료</t>
  </si>
  <si>
    <t>ㆍ엔진은 지정 주연료 규격에서 성능·시동·가속 요구 충족
ㆍ물성 변동(밀도·점도·열량) 범위 내 허용 편차를 사양 표로 고정
ㆍ항공기 연료 시스템과 ICD 일치(압·온·오염 등급)</t>
  </si>
  <si>
    <t>ㆍJP-8/JP-5 등 주연료로 모든 성능·신뢰성 요구를 충족해야 작전 운용이 가능
ㆍ주연료 범위 내 물성 변동에도 시동/가속/최대출력 안정성 요구됨
ㆍ환경·고도·온도 변화에서 성능 균질성 확보가 목적</t>
  </si>
  <si>
    <t>ㆍ표에 주연료 규격(e.g. JP-8 MIL-DTL-83133, JP-5 MIL-DTL-5624)과 온도/점도/증기압 범위 명시
ㆍ각 조건에서 시동/가속/재점화/성능 허용 편차와 저온 취급(유동점) 요구 포함
ㆍ연료 히팅/필터·워터 세퍼레이터/드레인 요구를 ICD와 연동</t>
  </si>
  <si>
    <t>ㆍ연료 물성 차이로 추력 편차 발생 → 감지·보상 맵 도입으로 해소
ㆍ저온 점도 상승은 시동성 저하 → 전처리/연료 가열·라인 단열 필요
ㆍ필드 혼유 시에도 추력 저하가 임무에 영향 없도록 허용치 설계</t>
  </si>
  <si>
    <t>ㆍ성능/시동 셀 시험: 주연료 물성 세트(저/표준/고온)에서 성능·응답 확인
ㆍ저온·고온 취급/점성 시험, 필터/세퍼레이터 기능 시험
ㆍ모델–시험 상관: 연료 변화에 따른 추력/SFC 편차가 허용 내인지 검증</t>
  </si>
  <si>
    <t>Alternate fuel</t>
  </si>
  <si>
    <t>보조연료</t>
  </si>
  <si>
    <t>ㆍ지정 보조연료로 시동/운전 가능, 성능 편차 ≤ 허용치, 안전 요구 동일
ㆍ조건/제약(온도·고도·부하)과 운용 지침을 표기
ㆍ주연료 복귀 시 무정지·무재세팅</t>
  </si>
  <si>
    <t>ㆍ상용 Jet-A/Jet A-1 등 보조연료에서도 임무 수행이 가능해야함
ㆍ보조연료 사용 시 경미한 성능 저하는 허용하되 안전·신뢰는 동일
ㆍ공급망 유연성 확보가 목적</t>
  </si>
  <si>
    <t>ㆍ보조연료 규격(e.g. ASTM D1655)과 허용 성능 편차(추력/SFC/응답)를 표로 규정
ㆍ시동/재시동/가속·급가속 허용 편차와 온도·증기잠열 영향 고려
ㆍ필요 시 첨가제(윤활성/동결점) 사용 조건 명시</t>
  </si>
  <si>
    <t>ㆍ상용 연료 성상 차이로 시동성/응답 편차 → 맵 보정/온도 관리로 해소
ㆍ윤활성 낮아 펌프 마모 사례 → 윤활성 시험·코팅·첨가제로 개선
ㆍ장기 사용 시 침전물 관리 필요</t>
  </si>
  <si>
    <t>ㆍ보조연료로 시동·재시동·가속/응답 시험, 성능 편차 확인
ㆍ윤활성·저온 유동성·증기압 영향 시험
ㆍ장시간 운전 후 세척/점검으로 침전·마모 상태 확인</t>
  </si>
  <si>
    <t>Restricted fuel</t>
  </si>
  <si>
    <t>사용금지연료</t>
  </si>
  <si>
    <t>ㆍ금지/제한 연료는 규격·사유·조건을 문서화하여 사용을 통제.
ㆍ제한 사용 시 성능·수명·정비 제약을 병기
ㆍ위반 시 정지/세척/부품 검사 절차 명시</t>
  </si>
  <si>
    <t>ㆍ특정 연료/첨가제는 재료/환경/성능상 유해 → 사용 제한/금지 필요
ㆍ잘못된 연료 사용은 고장·화재·수명 단축 위험
ㆍ명확한 목록·제약으로 현장 혼선 방지</t>
  </si>
  <si>
    <t>ㆍ금지/제한 연료·첨가제 목록과 사유(부식·윤활성·점도·동결·Coking) 표기
ㆍ제한 연료는 조건부 사용(온도/고도/시간)과 사후 정비 절차 명시
ㆍ연료 식별·표기와 혼유 관리 절차 포함</t>
  </si>
  <si>
    <t>ㆍ비허용 첨가제 혼입으로 시동 불능/펌프 마모 사례 → 필드 관리 강화
ㆍ고황·고수분 연료로 부식·필터 막힘 → 사전 검사·드레인 습관
ㆍ혼유로 인한 성능 이탈 사례로 명확한 표준·교육 중요</t>
  </si>
  <si>
    <t>ㆍ문서 검증: 목록·ICD·정비지침 일치성 확인, 표본 연료 분석
ㆍ제한 연료 조건에서 단기 셀 시험으로 안전성/성능 확인
ㆍ사용 후 정비 점검/NDI로 영향 평가</t>
  </si>
  <si>
    <t>Emergency fuel</t>
  </si>
  <si>
    <t>비상연료</t>
  </si>
  <si>
    <t>ㆍ비상연료에서 규정 시간/출력 운용 가능, 성능·안전 최소치 충족
ㆍ사용 중·사용 후 정비/점검 절차를 사양/정비서에 고정
ㆍ평시 연료 복귀 시 정상 성능 회복 보장</t>
  </si>
  <si>
    <t>ㆍ전시/긴급 상황에서 디젤/등유 등 비상연료로도 안전 운용·귀환(RTB)이 가능해야함
ㆍ비상연료는 성능·침전·마모 리스크 증가 → 제약 운용 전제
ㆍ임무 지속성을 위한 최소 운용 능력 확보가 목적</t>
  </si>
  <si>
    <t>ㆍ비상연료로 침전·마모 증가 → 첨가제·세척 주기로 관리
ㆍ과도 운용 제한·온도 관리로 시동성·응답 유지
ㆍ사용 후 정비 절차 미흡 시 현장 고장 증가</t>
  </si>
  <si>
    <t>ㆍ비상연료로 중간 출력 장시간 운전 시험(6 h 등)·시동/재시동·응답 시험
ㆍ운전 중 침전/마모 모니터링, 종료 후 세척·NDI·성능 회복 확인
ㆍ제어 SW의 비상연료 모드/보정 작동 검증</t>
  </si>
  <si>
    <t>Fuel contamination</t>
  </si>
  <si>
    <t>연료계통 오염</t>
  </si>
  <si>
    <t>ㆍ현장/야전 환경에서 오염은 상시 위험이므로, 장기연속·단기간고오염 두 경우 모두 엔진이 감내해야함
ㆍ지상 회전익과 자흡계는 필터 수 적음·먼지 환경으로 오염 감수성↑ → 더 가혹한 XXVc를 요구
ㆍ필터 바이패스 발생 후에도 귀환을 보장하기 위해, 바이패스 상태 운용 능력을 명세</t>
  </si>
  <si>
    <t>ㆍ요구군은 최소 한 개 전투임무에 필요한 연료량을 요구치로 지정
ㆍ원격 FBO/열악 기지 운용 터보프롭 등은 XXVc 적용 고려
ㆍ탱크 이너팅 물질(할론/질소/폼)과의 호환성까지 포함해 규격 문구를 테일러링</t>
  </si>
  <si>
    <t xml:space="preserve">ㆍ주유계통을 통과 가능한 입자 크기까지 허용 설계했다가, 세이프티 와이어 조각 등 대입자 유입
→연료노즐 스턱·터빈 바인 토치·1/rev 응답 유발로 터빈 고장
ㆍ사막전/전방급유·핫리퓨얼링 환경에서 XXVc 수준 오염 연료가 실제 관측
ㆍ실제 지상 회전익에서 오염 문제가 두드러졌음(Desert Storm 사례)
</t>
  </si>
  <si>
    <t>Fuel system performance with external assistance</t>
  </si>
  <si>
    <t>연료계통 성능(외부시스템 연료공급압)</t>
  </si>
  <si>
    <t>ㆍ항공기 제작자가 부스터/라인/필터/열교환기를 적정 크기로 설계할 수 있도록 유입 경계값을 제공
ㆍ최소/최대 압력 명시는 V/L=0 확보와 캐비테이션/베이퍼록 억제를 위한 기본 전제
ㆍ높은 유입압은 구조·중량 증가, 높은 유입온도는 열관리/코킹 리스크를 동반하므로 균형 최적화 필요</t>
  </si>
  <si>
    <t>Fuel system performance with no external assistance</t>
  </si>
  <si>
    <t>연료계통 성능(자체적인 연료공급압)</t>
  </si>
  <si>
    <t>Fuel system performance under conditions of excessive fuel vapor</t>
  </si>
  <si>
    <t>연료계통 성능(과도 연료증기 조건)</t>
  </si>
  <si>
    <t>Fuel pump priming</t>
  </si>
  <si>
    <t>연료펌프 프라이밍</t>
  </si>
  <si>
    <t>Fuel lubricity</t>
  </si>
  <si>
    <t>연료 윤활성능</t>
  </si>
  <si>
    <t>C,E</t>
  </si>
  <si>
    <t>Fuel system performance with water saturated fuel</t>
  </si>
  <si>
    <t>연료계통 성능(수분포화연료사용)</t>
  </si>
  <si>
    <t>A,D</t>
  </si>
  <si>
    <t>Fuel filter</t>
  </si>
  <si>
    <t>연료 필터</t>
  </si>
  <si>
    <t>Fuel flow limit</t>
  </si>
  <si>
    <t>연료 공급 한계</t>
  </si>
  <si>
    <t>ㆍ명확한 유량 한계는 항공기 연료계 최적화(중량/압력손실/용량)와 엔진 성능 경계 이해에 필수
ㆍ인터페이스 문서화로 설계·시험·운용 간 해석 일관성과 구성관리를 확보
ㆍ최소 유량은 아이들 안정/배기온·속도 한계와 직결되어 안전성 측면에서 중요</t>
  </si>
  <si>
    <t>Electrical Power</t>
  </si>
  <si>
    <t>전기적 출력(전력)</t>
  </si>
  <si>
    <t>Generator</t>
  </si>
  <si>
    <t>발전기</t>
  </si>
  <si>
    <t>C,E,D</t>
  </si>
  <si>
    <t>Alternate electrical power</t>
  </si>
  <si>
    <t>전력공급 대체</t>
  </si>
  <si>
    <t>D,E</t>
  </si>
  <si>
    <t>Electrical connectors and cables</t>
  </si>
  <si>
    <t>전기적 커넥터 및 케이블</t>
  </si>
  <si>
    <t>C,I</t>
  </si>
  <si>
    <t>Electrical bonding</t>
  </si>
  <si>
    <t>엔진의 전기적 접지(비행중)</t>
  </si>
  <si>
    <t>ㆍ시제개발엔진의 지상/고도모사시험만 수행</t>
  </si>
  <si>
    <t>Ground isolation</t>
  </si>
  <si>
    <t>엔진의 전기적 접지(지상)</t>
  </si>
  <si>
    <t>C,E,I</t>
  </si>
  <si>
    <t>Potting compounds</t>
  </si>
  <si>
    <t>습기방지용수지</t>
  </si>
  <si>
    <t>D,I</t>
  </si>
  <si>
    <t>Ignition system</t>
  </si>
  <si>
    <t>시동시스템</t>
  </si>
  <si>
    <t>Carbon fouling</t>
  </si>
  <si>
    <t>카본 파울링(오염)</t>
  </si>
  <si>
    <t>Water fouling</t>
  </si>
  <si>
    <t>수분 파울링(오염)</t>
  </si>
  <si>
    <t>ㆍ수분 침투 하네스로 이중 엔진 셧다운 사례 → 커넥터 실링·배수 설계 강화로 해소
ㆍ저온 취성화 절연 파손이 쇼트→점화 불능 유발 → 절연등급/열사이클 검증 필요
ㆍFSII 운용·엔진 베이 배수 관리가 수분 축적·빙결 억제에 효과적</t>
  </si>
  <si>
    <t>Engine helath monitoring system(EHMS) fault detection and isolation</t>
  </si>
  <si>
    <t>엔진 건전성 모니터링 고장검출 및 격리</t>
  </si>
  <si>
    <t>A,D,I,E</t>
  </si>
  <si>
    <t>Onboard engine diagnostic functions</t>
  </si>
  <si>
    <t>탑재형 엔진 상태 진단 기능</t>
  </si>
  <si>
    <t>Built-in-test and inspectability</t>
  </si>
  <si>
    <t>내장 자가진단/점검성</t>
  </si>
  <si>
    <t>Fiber optic cables and connectors</t>
  </si>
  <si>
    <t>광섬유 케이블 및 커넥터</t>
  </si>
  <si>
    <t>C,D,E</t>
  </si>
  <si>
    <t>Lubrication oil</t>
  </si>
  <si>
    <t>윤활유</t>
  </si>
  <si>
    <t>E,I</t>
  </si>
  <si>
    <t>Oil pressure and temperature limits</t>
  </si>
  <si>
    <t>오일압력 및 온도 한계</t>
  </si>
  <si>
    <t>Oil consumption limits</t>
  </si>
  <si>
    <t>오일소비량 한계</t>
  </si>
  <si>
    <t>Oil flow interruption or depletion</t>
  </si>
  <si>
    <t>오일공급중단 또는 고갈</t>
  </si>
  <si>
    <t>ㆍ비우호 환경/해상에서 조종사 생존성 확보(이탈·글라이드·안전 착륙 준비 시간 확보)가 핵심
ㆍ오일아웃 시 하중/온도 저감 운전으로 베어링/주변 금속 온도를 낮추면 열 제거 부재를 보상 가능
ㆍ단기 반복 중단에 내손상성을 부여하면 전술 기동 시 취약성이 크게 감소</t>
  </si>
  <si>
    <t>Oil reservoir</t>
  </si>
  <si>
    <t>오일 레저버</t>
  </si>
  <si>
    <t>Oil reservoir external features</t>
  </si>
  <si>
    <t>오일 레저버(외부영향)</t>
  </si>
  <si>
    <t>Oil drains</t>
  </si>
  <si>
    <t>오일 드레인(배유)</t>
  </si>
  <si>
    <t>Oil filters</t>
  </si>
  <si>
    <t>오일 필터</t>
  </si>
  <si>
    <t>Oil debris monitors</t>
  </si>
  <si>
    <t>오일 잔류물 모니터링</t>
  </si>
  <si>
    <t>Breather mist</t>
  </si>
  <si>
    <t>오일 증기</t>
  </si>
  <si>
    <t>Hydraulic system air removal</t>
  </si>
  <si>
    <t>유압시스템</t>
  </si>
  <si>
    <t>Hydraulic ground test provisions</t>
  </si>
  <si>
    <t>유압시스템 지상시험조항</t>
  </si>
  <si>
    <t>유압시스템 공기제거</t>
  </si>
  <si>
    <t>Hydraulic fluid filters</t>
  </si>
  <si>
    <t>유압시스템 유압유 필터</t>
  </si>
  <si>
    <t>Exhaust Nozzle System</t>
  </si>
  <si>
    <t>배기 노즐 시스템</t>
  </si>
  <si>
    <t>Exhaust nozzle external asymmetrical air pressure loads</t>
  </si>
  <si>
    <t>배기 노즐 외부 비대칭 공기 압력 부하</t>
  </si>
  <si>
    <t>Vectoring nozzle</t>
  </si>
  <si>
    <t>추력편향노즐</t>
  </si>
  <si>
    <t>ㆍ시제개발엔진에 TVC 없음</t>
  </si>
  <si>
    <t>Vectoring nozzle angle and rate</t>
  </si>
  <si>
    <t>추력편항각 및 각속도</t>
  </si>
  <si>
    <t>Vectoring nozzle failure accommodation</t>
  </si>
  <si>
    <t>추력편향 고장수용</t>
  </si>
  <si>
    <t>Augmentation system</t>
  </si>
  <si>
    <t>추력증가(후기연소)시스템</t>
  </si>
  <si>
    <t>ㆍ시제개발엔진에 AB 없음</t>
  </si>
  <si>
    <t>Water injection system fluid</t>
  </si>
  <si>
    <t>물분사 시스템</t>
  </si>
  <si>
    <t>ㆍ시제개발엔진에 물분사 적용하지 않음</t>
  </si>
  <si>
    <t>Wash system</t>
  </si>
  <si>
    <t>엔진세척시스템</t>
  </si>
  <si>
    <t>ㆍ시제개발엔진에 자가세척 기능 없음</t>
  </si>
  <si>
    <t>Brake system</t>
  </si>
  <si>
    <t>엔진브레이크시스템</t>
  </si>
  <si>
    <t>Negative torque limiter</t>
  </si>
  <si>
    <t>역토크제한</t>
  </si>
  <si>
    <t>Multiple power section engines</t>
  </si>
  <si>
    <t>다중 동력부 엔진</t>
  </si>
  <si>
    <t>ㆍ시제개발엔진은 싱글 파워섹션 자유터빈 터보프롭</t>
  </si>
  <si>
    <t>Power absorber(engine supplied)</t>
  </si>
  <si>
    <t>엔진 구동 부하 흡수장치</t>
  </si>
  <si>
    <t>Propeller feathering and reverse pitch</t>
  </si>
  <si>
    <t>프로펠러 깃각 및 역피치</t>
  </si>
  <si>
    <t>ㆍ시제개발엔진에 역피치 적용하지 않음</t>
  </si>
  <si>
    <t>Gearbox</t>
  </si>
  <si>
    <t>기어박스(프로펠러 깃각 내용 포함)</t>
  </si>
  <si>
    <t>Software performance and design</t>
  </si>
  <si>
    <t>소프트웨어 성능 및 설계</t>
  </si>
  <si>
    <t>A, D</t>
  </si>
  <si>
    <t>Computer reprogramming</t>
  </si>
  <si>
    <t>컴퓨터 재프로그래밍</t>
  </si>
  <si>
    <t>Spare resources</t>
  </si>
  <si>
    <t>연산능력 여유자원</t>
  </si>
  <si>
    <t>Production facilities, capabilities, and processes</t>
  </si>
  <si>
    <t>생산설비, 능력 및 공정</t>
  </si>
  <si>
    <t>ㆍ시제개발엔진에서는 생산관련 기능 적용하지 않음</t>
  </si>
  <si>
    <t>Production cost requirement (PCR)</t>
  </si>
  <si>
    <t>생산단가 요구도</t>
  </si>
  <si>
    <t>Engine system and controls and externals verification</t>
  </si>
  <si>
    <t>엔진계통 및 제어시스템/외장시스템 검증</t>
  </si>
  <si>
    <t>C, D, E</t>
  </si>
  <si>
    <t>Engine qualification</t>
  </si>
  <si>
    <t>엔진 형식인증</t>
  </si>
  <si>
    <t>필요한 부분인데, 시제개발 시에는 
이와 관련된 자료를 제공하는 것으로만 수행</t>
  </si>
  <si>
    <t>비적용 유지</t>
  </si>
  <si>
    <t>적용 개수</t>
  </si>
  <si>
    <t>불가 개수</t>
  </si>
  <si>
    <t>수정적용 개수</t>
  </si>
  <si>
    <t>부분적용 개수</t>
  </si>
  <si>
    <t>수행비율</t>
  </si>
  <si>
    <t>남은비율</t>
  </si>
  <si>
    <t>파울링: 엔진 내부 표면에 먼지, 탄소 침전물, 스케일 등 원치 않는 물질이 쌓이는 현상으로, 엔진 효율 저하, 성능 감소, 연료 소비 증가를 유발합니다. 특히, 연소실, 터보차저, EGR(배기가스 재순환) 장치 등에서 자주 발생하며, 연료 연소 과정이나 오일 등과 함께 침전되어 엔진의 정상적인 작동을 방해합니다</t>
  </si>
  <si>
    <t>TABLE XXXIa. Incremental verification matrix continuation.</t>
  </si>
  <si>
    <t>Verification Methods</t>
  </si>
  <si>
    <t>Milestones</t>
  </si>
  <si>
    <t>Code</t>
  </si>
  <si>
    <t>Description</t>
  </si>
  <si>
    <t>Inspection</t>
  </si>
  <si>
    <t>PDR</t>
  </si>
  <si>
    <t>Preliminary Design Review</t>
  </si>
  <si>
    <t>X</t>
  </si>
  <si>
    <t>Contractor/Agency Agreement</t>
  </si>
  <si>
    <t>CDR</t>
  </si>
  <si>
    <t>Critical Design Review</t>
  </si>
  <si>
    <t>Analysis</t>
  </si>
  <si>
    <t>DRR</t>
  </si>
  <si>
    <t>Design Readiness Review</t>
  </si>
  <si>
    <t>S</t>
  </si>
  <si>
    <t>Simulation/Modeling</t>
  </si>
  <si>
    <t>IFR</t>
  </si>
  <si>
    <t>Initial Flight Release</t>
  </si>
  <si>
    <t>Demonstration</t>
  </si>
  <si>
    <t>FFR</t>
  </si>
  <si>
    <t>Full Flight Release</t>
  </si>
  <si>
    <t>Development Test</t>
  </si>
  <si>
    <t>ISR</t>
  </si>
  <si>
    <t>Initial Service Release</t>
  </si>
  <si>
    <t>Component Test</t>
  </si>
  <si>
    <t>OCR</t>
  </si>
  <si>
    <t>Operational Capability Release</t>
  </si>
  <si>
    <t>Engine System Level Ground Test</t>
  </si>
  <si>
    <t>F</t>
  </si>
  <si>
    <t>Flight Test</t>
  </si>
  <si>
    <t>Q</t>
  </si>
  <si>
    <t>Process/Quality Control</t>
  </si>
  <si>
    <t>P</t>
  </si>
  <si>
    <t>Documentation</t>
  </si>
  <si>
    <t>AMT/2</t>
  </si>
  <si>
    <t>1/2 of the AMT (one hot section life)</t>
  </si>
  <si>
    <t>기술명
 (등록번호)</t>
  </si>
  <si>
    <t>연구 대상 분야</t>
  </si>
  <si>
    <t>소요기술</t>
  </si>
  <si>
    <t>분야</t>
  </si>
  <si>
    <t>구성품</t>
  </si>
  <si>
    <t>항공 엔진
 설계/해석</t>
  </si>
  <si>
    <t>엔진
 개념설계</t>
  </si>
  <si>
    <t>엔진 개념설계</t>
  </si>
  <si>
    <t>엔진통합 기술</t>
  </si>
  <si>
    <t>로터 조립체</t>
  </si>
  <si>
    <t>로터조립체 통합 기술</t>
  </si>
  <si>
    <t>엔진부품
 소재/공정 기술</t>
  </si>
  <si>
    <t>정밀 주조/단조 공정개발</t>
  </si>
  <si>
    <t>단결정 정밀 주조 공정 기술</t>
  </si>
  <si>
    <t>시험평가
  표준화 기술</t>
  </si>
  <si>
    <t>구성품 시험 표준화 기술</t>
  </si>
  <si>
    <t>압축기 시험 표준화 기술</t>
  </si>
  <si>
    <t>엔진 기본설계</t>
  </si>
  <si>
    <t>Curvic 커플링 제작/통합 기술</t>
  </si>
  <si>
    <t>정밀 단조 공정 기술</t>
  </si>
  <si>
    <t>연소기 시험 표준화 기술</t>
  </si>
  <si>
    <t>엔진 상세설계</t>
  </si>
  <si>
    <t>보기
 시스템</t>
  </si>
  <si>
    <t>AGB 개발/통합</t>
  </si>
  <si>
    <t>TBC 공정개발</t>
  </si>
  <si>
    <t>TBC 공정 기술</t>
  </si>
  <si>
    <t>터빈 냉각시험 표준화 기술</t>
  </si>
  <si>
    <t>제어 모델링</t>
  </si>
  <si>
    <t>RGB 시스템 개발/통합</t>
  </si>
  <si>
    <t>부품 가공/측정기술개발</t>
  </si>
  <si>
    <t>냉각홀 가공/측정 기술</t>
  </si>
  <si>
    <t>GG 시험 계측 표준화 기술</t>
  </si>
  <si>
    <t>엔진 성능해석</t>
  </si>
  <si>
    <t>엔진 성능/공력/연소 해석</t>
  </si>
  <si>
    <t>연료시스템 개발/통합</t>
  </si>
  <si>
    <t>기어 가공/측정 기술</t>
  </si>
  <si>
    <t>엔진 피로/구조 시험 
 표준화 기술</t>
  </si>
  <si>
    <t>엔진 2차유로/냉각해석</t>
  </si>
  <si>
    <t>윤활시스템 개발/통합</t>
  </si>
  <si>
    <t>소재 물성 DB 구축</t>
  </si>
  <si>
    <t>주요소재 물성 DB 구축</t>
  </si>
  <si>
    <t>엔진 지상/고도시험 표준화 기술</t>
  </si>
  <si>
    <t>엔진 지상/고도 시험
  표준화 기술</t>
  </si>
  <si>
    <t>엔진 구조/수명 해석</t>
  </si>
  <si>
    <t>시동시스템 통합</t>
  </si>
  <si>
    <t>엔진/구성품 시험평가</t>
  </si>
  <si>
    <t>구성품
 리그
 시험기술</t>
  </si>
  <si>
    <t>압축기 리그 성능 검증시험</t>
  </si>
  <si>
    <t>엔진 품질인증 
 연구</t>
  </si>
  <si>
    <t>엔진 품질인증 기술 연구</t>
  </si>
  <si>
    <t>엔진 로터/진동 해석</t>
  </si>
  <si>
    <t>발전시스템 통합</t>
  </si>
  <si>
    <t>연소기 리그 성능 검증시험</t>
  </si>
  <si>
    <t>비행 안전성
 평가/분석 연구</t>
  </si>
  <si>
    <t>엔진 비행 안전성 연구</t>
  </si>
  <si>
    <t>제어 설계/해석</t>
  </si>
  <si>
    <t>유공압 밸브 개발/통합</t>
  </si>
  <si>
    <t>GGT/GG 성능 검증시험</t>
  </si>
  <si>
    <t>•GGT: Gas Generator Turbine
 •GG: Gas Generator
 •Curvic: 유연커플링
 •AGB: Auxiliary Gearbox
 •RGB: Reduction Gearbox 
 •HILS: Hardware-In-the-Loop System
 •RPM: Revolutions Per Minute
 •TBC: Thermal Barrier Coating
 •PT: Power Turbine
 •DB: Database
 •HCF: High-Cycle Fatigue</t>
  </si>
  <si>
    <t>Inlet Plenum</t>
  </si>
  <si>
    <t>엔진 흡입구</t>
  </si>
  <si>
    <t>제어기/케이블 Harness 개발</t>
  </si>
  <si>
    <t>동력터빈 리그 성능 검증시험</t>
  </si>
  <si>
    <t>가스 발생기 모듈</t>
  </si>
  <si>
    <t>2단 압축기/로터 조립체</t>
  </si>
  <si>
    <t>제어기/보기 통합 HILS 개발</t>
  </si>
  <si>
    <t>노즐베인 유량 시험 (GGT, PT)</t>
  </si>
  <si>
    <t>연소기</t>
  </si>
  <si>
    <t>금속 칩 감지 센서 개발</t>
  </si>
  <si>
    <t>HCF/정적 구조 검증 시험</t>
  </si>
  <si>
    <t>GGT 로터 조립체</t>
  </si>
  <si>
    <t>토크측정 센서 개발</t>
  </si>
  <si>
    <t>케이스 조립체 구조 검증시험</t>
  </si>
  <si>
    <t>동력 발생기 모듈</t>
  </si>
  <si>
    <t>동력터빈 로터조립체</t>
  </si>
  <si>
    <t>고온부 측정 센서 개발</t>
  </si>
  <si>
    <t>기어박스 검증 시험</t>
  </si>
  <si>
    <t>배기덕트/노즐</t>
  </si>
  <si>
    <t>RPM 센서 개발</t>
  </si>
  <si>
    <t>지상성능시험기술</t>
  </si>
  <si>
    <t>엔진 지상 
 개발/검증 시험</t>
  </si>
  <si>
    <t>터보프롭 시제개발 엔진 기술정의</t>
  </si>
  <si>
    <t>엔진 구동 구성품 개발</t>
  </si>
  <si>
    <t>고도성능시험기술</t>
  </si>
  <si>
    <t>엔진 고도 
 개발/검증 시험</t>
  </si>
  <si>
    <t>명칭
(TurboPropEngine-SystemRequirement)</t>
  </si>
  <si>
    <t>구분</t>
  </si>
  <si>
    <t>개발규격 및 성능</t>
  </si>
  <si>
    <t>TPE-SR</t>
  </si>
  <si>
    <t>프로펠러 추진
항공 엔진</t>
  </si>
  <si>
    <t>최대 출력
(지상정지조건, ISA+20℃까지)</t>
  </si>
  <si>
    <t>O,OOO hp 이상</t>
  </si>
  <si>
    <t>최대 연속 출력
(지상정지조건, ISA+20℃까지)</t>
  </si>
  <si>
    <t>최대 연속 출력
(40kft 조건, Ma=0.3, 표준대기)</t>
  </si>
  <si>
    <t>OOO hp 이상</t>
  </si>
  <si>
    <t>비연료 소모율
(Sea Level, 지상정지, 표준대기)</t>
  </si>
  <si>
    <t>O.OO lbm/hp/hr 이하
(@ 최대 출력)</t>
  </si>
  <si>
    <t>운용 범위</t>
  </si>
  <si>
    <t>고도:해면∼OOkft
 속도:MaO.OO∼O.OO@OOkft</t>
  </si>
  <si>
    <t>개발 형상</t>
  </si>
  <si>
    <t>Pusher 프로펠러 적용 가능형상
 중고도 무인항공기 출력축과 동일</t>
  </si>
  <si>
    <t>엔진 개발 규격</t>
  </si>
  <si>
    <t>JSSG-2007A, 3,4장 준용한
 UAV 적용 Tailoring</t>
  </si>
  <si>
    <t>내구 수명</t>
  </si>
  <si>
    <t>O,OOO 시간 이상 
(Mission Cycle 기준)</t>
  </si>
  <si>
    <t>엔진
제어시스템</t>
  </si>
  <si>
    <t>제어 방식</t>
  </si>
  <si>
    <t>이중화 제어 및 
엔진모델 기반 제어 탑재</t>
  </si>
  <si>
    <t>통신 방식</t>
  </si>
  <si>
    <t>1553B 및 RS422 통신</t>
  </si>
  <si>
    <t>엔진
보기시스템</t>
  </si>
  <si>
    <t>보조기어박스 (AGB)</t>
  </si>
  <si>
    <t>동력전달 능력 
OO.OkW(OO.O hp)이상</t>
  </si>
  <si>
    <t>감속기어박스 (RGB)</t>
  </si>
  <si>
    <t>동력전달 능력 
O,OOOkW(O,OOOhp)이상</t>
  </si>
  <si>
    <t>연료시스템</t>
  </si>
  <si>
    <t>JP-8 연료 기준 개발
채널 이중화 설계 적용</t>
  </si>
  <si>
    <t>윤활시스템</t>
  </si>
  <si>
    <t>MIL-PRF-23699 윤활유 기준 개발
윤활유 공급 압력 ObarG(TBD) 이상</t>
  </si>
  <si>
    <t>유공압 밸브</t>
  </si>
  <si>
    <t>솔레노이드 밸브 구동 방식 
PSOV 밸브 개발</t>
  </si>
  <si>
    <t>금속칩 감지 센서</t>
  </si>
  <si>
    <t>엔진 윤활유 내 금속칩 포집 및 감지신호 발생 가능 센서 개발</t>
  </si>
  <si>
    <t>토크 측정 시스템</t>
  </si>
  <si>
    <t>엔진 동력전달라인(동력터빈 축-프로펠러 구동축 구간 내) 
한계 토크 감지 가능 시스템 개발</t>
  </si>
  <si>
    <t>RPM 센서</t>
  </si>
  <si>
    <t>엔진 장착형 엔진 가스발생기 
회전수 측정용 센서 개발</t>
  </si>
  <si>
    <t>고온부 측정 센서</t>
  </si>
  <si>
    <t>온도 측정 범위 OOO℃ 이상</t>
  </si>
  <si>
    <t>엔진 주축 베어링</t>
  </si>
  <si>
    <t>운용 조건 : DN OOO만 이상
 제작 정밀도 : 볼 베어링 ISO 4등급 이상, 롤러 베어링 ISO 5등급 이상</t>
  </si>
  <si>
    <t>카본 씰</t>
  </si>
  <si>
    <t>썸프 누유 방지용 카본씰 개발</t>
  </si>
  <si>
    <t>IGV 구동기</t>
  </si>
  <si>
    <t>엔진 운용조건에 따른 압축기 입구베인 
각도 조정용 전기식 구동기 개발</t>
  </si>
  <si>
    <t>엔진
지상 시험 설비</t>
  </si>
  <si>
    <t>지상 성능시험 설비</t>
  </si>
  <si>
    <t>최대 출력 O,OOO hp 이상급 프로펠러 추진 항공엔진 시제 지상시험 설비 개조/구축</t>
  </si>
  <si>
    <t>System Operational Requirement Documents</t>
  </si>
  <si>
    <t>(TurboPropEngine-SystemOperationalRequirement)</t>
  </si>
  <si>
    <t>TPE-SOR</t>
  </si>
  <si>
    <t>명칭
(TurboPropEngine-SystemFuctionalTech)</t>
  </si>
  <si>
    <t>중간번호</t>
  </si>
  <si>
    <t>JSSG-2007A연계</t>
  </si>
  <si>
    <t>TPE-SFT</t>
  </si>
  <si>
    <t>100</t>
  </si>
  <si>
    <t>항공 엔진 설계/해석</t>
  </si>
  <si>
    <t>3.1.1.1 / 3.1.9</t>
  </si>
  <si>
    <t>Interface &amp; Installation / 설계관리</t>
  </si>
  <si>
    <t>개념설계 산출물로 ICD와 설치 제약 정의, 형상/표준/변경통제 절차 수립.</t>
  </si>
  <si>
    <t>De,I,D + S (문서·검사·시현 + 필요 시험)</t>
  </si>
  <si>
    <t>기본설계 단계의 인터페이스 완성도와 부품표/표준화/승인 절차 정립.</t>
  </si>
  <si>
    <t>상세설계에서 설치공차/치수/정합성 검증과 설계변경 통제.</t>
  </si>
  <si>
    <t>3.1.1.5.1~5.5 / 3.8.1</t>
  </si>
  <si>
    <t>Power/Load/Speed/Shutdown Signals &amp; SW</t>
  </si>
  <si>
    <t>스로틀·부하·속도·연료차단 인터페이스와 FADEC SW 자원/기능 설계.</t>
  </si>
  <si>
    <t>De,D,S (신호/레버 인터페이스 시험)</t>
  </si>
  <si>
    <t>200</t>
  </si>
  <si>
    <t>3.2.1.1~3.2.1.4 / 3.2.2.1~3.2.2.7</t>
  </si>
  <si>
    <t>정상/과도 성능·응답·안정성</t>
  </si>
  <si>
    <t>성능맵·과도응답·안정성 여유 달성 및 해석–시험 상관.</t>
  </si>
  <si>
    <t>A,S,E/F (성능·과도 시험/해석)</t>
  </si>
  <si>
    <t>3.2.2.12 / 3.2.2.10</t>
  </si>
  <si>
    <t>가스패스 온도·유동 / 2차유로·냉각</t>
  </si>
  <si>
    <t>냉각/2차유로가 가스패스·표면온도 한계 내 성능 지원.</t>
  </si>
  <si>
    <t>3.1.3 / 3.2.2.2 / 3.2.2.6</t>
  </si>
  <si>
    <t>자재·수명 / 자세·안정성 연계</t>
  </si>
  <si>
    <t>구조/수명 해석으로 한계/내구 달성, 운용자세·안정성 요구 고려.</t>
  </si>
  <si>
    <t>De,A,S (자재/공정 문서검토·시험)</t>
  </si>
  <si>
    <t>3.2.2.7 / 3.1.1.4.3</t>
  </si>
  <si>
    <t>과도·진동 / 엔진 강성</t>
  </si>
  <si>
    <t>과도 응답과 회전계 진동 요구 충족, 설치 강성/모드 일치.</t>
  </si>
  <si>
    <t>3.1.1.5.x / 3.7 / 3.8.1</t>
  </si>
  <si>
    <t>제어 명령·신호 / 제어·외장 / SW</t>
  </si>
  <si>
    <t>제어 설계/해석이 명령·신호 인터페이스 및 시스템 요구에 부합.</t>
  </si>
  <si>
    <t>300</t>
  </si>
  <si>
    <t>3.2.2.11 / 3.1.1.1</t>
  </si>
  <si>
    <t>입구 와류 / 설치</t>
  </si>
  <si>
    <t>흡입구 형상·도어·플리넘이 왜류 내성 및 설치 요구 만족.</t>
  </si>
  <si>
    <t>3.1.3 / 3.2.1 / 3.2.2.10</t>
  </si>
  <si>
    <t>자재·성능 / 공기유동</t>
  </si>
  <si>
    <t>압축기/로터가 성능·유동 요구 및 재료/공정 요건을 충족.</t>
  </si>
  <si>
    <t>3.2.2.10 / 3.2.2.12</t>
  </si>
  <si>
    <t>연소유동·가스패스 온도</t>
  </si>
  <si>
    <t>연소실 유량분배·점화·온도한계 준수.</t>
  </si>
  <si>
    <t>3.1.3 / 3.2.2.7</t>
  </si>
  <si>
    <t>재료/회전체 과도</t>
  </si>
  <si>
    <t>GGT 로터 강도/과도·열 요구 준수.</t>
  </si>
  <si>
    <t>3.2.2.12 / 3.2.1</t>
  </si>
  <si>
    <t>가스패스 온도 / 출력 성능</t>
  </si>
  <si>
    <t>동력터빈 열/손실/출력 요구 일치.</t>
  </si>
  <si>
    <t>3.2.2.9 / 3.7.10</t>
  </si>
  <si>
    <t>역추력(해당시) / 배기노즐</t>
  </si>
  <si>
    <t>배기계·노즐의 성능·열·서명 요구 일치.</t>
  </si>
  <si>
    <t>3.1.1.4.1 / 3.1.1.4.3</t>
  </si>
  <si>
    <t>Main Mounts / Engine Stiffness</t>
  </si>
  <si>
    <t>로터 통합 후 마운트 강도와 시스템 강성·모달 특성 확보.</t>
  </si>
  <si>
    <t>A,S,D (구조/강성 해석·시험·시현)</t>
  </si>
  <si>
    <t>Curvic 결합 정렬·강도·피로 신뢰성 확보.</t>
  </si>
  <si>
    <t>보기  시스템</t>
  </si>
  <si>
    <t>3.7.16 / 3.1.1.10</t>
  </si>
  <si>
    <t>Gearbox / PTO</t>
  </si>
  <si>
    <t>AGB가 PTO 요구/부하수용·윤활/발전 구동 인터페이스 충족.</t>
  </si>
  <si>
    <t>De,D,S (시스템 요구·리그/통합시험)</t>
  </si>
  <si>
    <t>3.7.16</t>
  </si>
  <si>
    <t>Reduction Gearbox</t>
  </si>
  <si>
    <t>RGB 감속·열·윤활·진동 요구 충족.</t>
  </si>
  <si>
    <t>3.7.x / 3.1.1.5.4</t>
  </si>
  <si>
    <t>Fuel System / Fuel Shutoff Signal</t>
  </si>
  <si>
    <t>연료 유량·여과·내오염, 차단신호 인터페이스 충족.</t>
  </si>
  <si>
    <t>3.7.8 / 3.1.1.8</t>
  </si>
  <si>
    <t>Lubrication / Drains</t>
  </si>
  <si>
    <t>윤활회로 성능·청정도·배액/누유/화재위험 요구 충족.</t>
  </si>
  <si>
    <t>3.1.1.11 / 3.1.1.11.1</t>
  </si>
  <si>
    <t>Starting Drivetrain / Torque &amp; Speed</t>
  </si>
  <si>
    <t>시동계 토크·속도·내환경·시나리오 요구 만족.</t>
  </si>
  <si>
    <t>3.7.x / 3.2.2.5</t>
  </si>
  <si>
    <t>Generator / Idle &amp; Power Quality</t>
  </si>
  <si>
    <t>발전 성능·품질·부하영향 요구 충족.</t>
  </si>
  <si>
    <t>3.7.x</t>
  </si>
  <si>
    <t>Hydraulic/Pneumatic Valves</t>
  </si>
  <si>
    <t>유공압 밸브 유량·응답·내환경·내오염 요구.</t>
  </si>
  <si>
    <t>3.8.1 / 3.1.1.5.x</t>
  </si>
  <si>
    <t>FADEC SW / Signals</t>
  </si>
  <si>
    <t>제어기·하네스가 SW/신호·전원·EMI/EMC 요구 부합.</t>
  </si>
  <si>
    <t>De,A,S/D (프로그램 특성 반영)</t>
  </si>
  <si>
    <t>3.8.1 / 3.7</t>
  </si>
  <si>
    <t>HILS / Controls Integration</t>
  </si>
  <si>
    <t>HILS로 제어-보기 통합 기능/안전 요구 검증 준비.</t>
  </si>
  <si>
    <t>3.1.1.6 / 3.2.2.12</t>
  </si>
  <si>
    <t>Subsystem Interfaces / Gas Path Temps</t>
  </si>
  <si>
    <t>MCD 센서가 신호정확도·온도한계·경보 요구 충족.</t>
  </si>
  <si>
    <t>3.1.1.9 / 3.1.1.10</t>
  </si>
  <si>
    <t>Power Absorber IF / PTO</t>
  </si>
  <si>
    <t>토크센서로 PTO/흡수장치 인터페이스 모니터링·보정.</t>
  </si>
  <si>
    <t>3.2.2.12 / 3.1.1.6</t>
  </si>
  <si>
    <t>Gas Path Temps / Interfaces</t>
  </si>
  <si>
    <t>고온부 센서의 정밀·응답·내환경 충족.</t>
  </si>
  <si>
    <t>3.1.1.5.3 / 3.1.1.6</t>
  </si>
  <si>
    <t>Output Speed Signal / Interfaces</t>
  </si>
  <si>
    <t>RPM 센서 신뢰도·신호 포맷·주기 요구.</t>
  </si>
  <si>
    <t>3.7.x / 3.1.1.9</t>
  </si>
  <si>
    <t>Accessory Drives / Power Absorber IF</t>
  </si>
  <si>
    <t>구동 구성품의 하중·정렬·진동 인터페이스 준수.</t>
  </si>
  <si>
    <t>400</t>
  </si>
  <si>
    <t>엔진부품 소재/공정 기술</t>
  </si>
  <si>
    <t>3.1.3 / 3.1.4</t>
  </si>
  <si>
    <t>Materials &amp; Parts / Fasteners</t>
  </si>
  <si>
    <t>단결정 주조 품질·결함·열기계 성능 및 체결재 요건.</t>
  </si>
  <si>
    <t>3.1.3</t>
  </si>
  <si>
    <t>Materials &amp; Processes</t>
  </si>
  <si>
    <t>정밀 단조 공정능력·미세조직·기계적 성질 요구.</t>
  </si>
  <si>
    <t>Coatings (TBC)</t>
  </si>
  <si>
    <t>TBC 접착/수명/열전도 요구.</t>
  </si>
  <si>
    <t>3.1.3 / 3.1.9</t>
  </si>
  <si>
    <t>Cooling Hole Machining / Design Control</t>
  </si>
  <si>
    <t>가공공정 정밀·검사·치수통제·비파괴검사 요구.</t>
  </si>
  <si>
    <t>3.1.4 / 3.1.9</t>
  </si>
  <si>
    <t>Gears &amp; Measurements / Design Control</t>
  </si>
  <si>
    <t>기어 치형·백래시·치면경도·NDT 요구.</t>
  </si>
  <si>
    <t>Material Property DB</t>
  </si>
  <si>
    <t>설계 데이터 근거 물성 DB(신뢰도/추적성) 요구.</t>
  </si>
  <si>
    <t>500</t>
  </si>
  <si>
    <t>구성품 리그 시험기술</t>
  </si>
  <si>
    <t>3.11 / 3.2.1.x</t>
  </si>
  <si>
    <t>Verification Planning / Compressor Perf.</t>
  </si>
  <si>
    <t>압축기 리그 시험으로 성능·안정성 요구 검증.</t>
  </si>
  <si>
    <t>De (검증계획/표준), S/D 연계</t>
  </si>
  <si>
    <t>3.11 / 3.2.2.10 / 3.2.2.12</t>
  </si>
  <si>
    <t>Combustor Rig / Flow &amp; Temps</t>
  </si>
  <si>
    <t>연소기 유동·점화·온도 한계 검증.</t>
  </si>
  <si>
    <t>3.11 / 3.2</t>
  </si>
  <si>
    <t>GG/GGT Perf. Rigs</t>
  </si>
  <si>
    <t>가스발생기 계통 성능·과도 검증.</t>
  </si>
  <si>
    <t>3.11 / 3.2.2.12</t>
  </si>
  <si>
    <t>PT Rig / Gas Path Temps</t>
  </si>
  <si>
    <t>동력터빈 열·성능 검증.</t>
  </si>
  <si>
    <t>3.11 / 3.2.2.10</t>
  </si>
  <si>
    <t>Nozzle Vane Flow Rigs</t>
  </si>
  <si>
    <t>노즐 유량·분배 검증.</t>
  </si>
  <si>
    <t>3.1.3 / 3.11</t>
  </si>
  <si>
    <t>HCF/Static Structure</t>
  </si>
  <si>
    <t>재료·형상·응력 검증(리그).</t>
  </si>
  <si>
    <t>Cases Structure</t>
  </si>
  <si>
    <t>케이스 구조 강도·누설·온도 검증.</t>
  </si>
  <si>
    <t>3.7.16 / 3.11</t>
  </si>
  <si>
    <t>Gearbox Verification</t>
  </si>
  <si>
    <t>기어박스 토크/열/윤활/수명 검증.</t>
  </si>
  <si>
    <t>엔진 지상 개발/검증 시험</t>
  </si>
  <si>
    <t>3.2.1~3.2.2 / 3.11</t>
  </si>
  <si>
    <t>Ground Engine Tests</t>
  </si>
  <si>
    <t>지상 시험으로 성능/운용/과도/한계 확인.</t>
  </si>
  <si>
    <t>엔진 고도  개발/검증 시험</t>
  </si>
  <si>
    <t>Altitude Engine Tests</t>
  </si>
  <si>
    <t>고도 시험으로 시동/과도/한계 검증.</t>
  </si>
  <si>
    <t>600</t>
  </si>
  <si>
    <t>시험평가 표준화 기술</t>
  </si>
  <si>
    <t>3.11 / 3.1.9</t>
  </si>
  <si>
    <t>Comp. Test Standardization / Design Ctrl</t>
  </si>
  <si>
    <t>압축기 시험 표준·절차·계측 표준화.</t>
  </si>
  <si>
    <t>Combustor Test Standardization</t>
  </si>
  <si>
    <t>연소기 시험 표준·절차·계측 표준화.</t>
  </si>
  <si>
    <t>Turbine Cooling Test Standardization</t>
  </si>
  <si>
    <t>냉각시험 표준·계측·수용기준.</t>
  </si>
  <si>
    <t>GG Instrumentation Standardization</t>
  </si>
  <si>
    <t>계측면·센서·정확도 표준.</t>
  </si>
  <si>
    <t>엔진 피로/구조 시험  표준화 기술</t>
  </si>
  <si>
    <t>Engine Fatigue/Structure Std.</t>
  </si>
  <si>
    <t>피로/구조 시험 표준·합격기준.</t>
  </si>
  <si>
    <t>엔진 지상/고도 시험  표준화 기술</t>
  </si>
  <si>
    <t>Ground/Altitude Test Std.</t>
  </si>
  <si>
    <t>엔진 지상/고도 시험 표준화.</t>
  </si>
  <si>
    <t>엔진 품질인증 연구</t>
  </si>
  <si>
    <t>3.9 / 3.10</t>
  </si>
  <si>
    <t>Production / Cost &amp; PCR</t>
  </si>
  <si>
    <t>품질인증·공정능력·원가요구 부합.</t>
  </si>
  <si>
    <t>De,A (공정능력·원가분석)</t>
  </si>
  <si>
    <t>비행 안전성 평가/분석 연구</t>
  </si>
  <si>
    <t>3.1.8 / 3.2.2 / 3.12</t>
  </si>
  <si>
    <t>Safety / Limits / Qualification</t>
  </si>
  <si>
    <t>비행 안전성 분석이 안전/한계/자격획득 근거 제공.</t>
  </si>
  <si>
    <t>명칭
(TurboPropEngine-SystemFuctionalDev)</t>
  </si>
  <si>
    <t>시제엔진 개발방안 요약
(‘엔진 품질인증 연구’는 국과연이 전문기관을 활용하여 용역과제로 연구를 수행할 예정이며, 국내 항공엔진 인증체계가 정립되지 않은 현실을 반영하여,
 JSSG-2007을 기반으로 “중고도 정찰용 무인항공기 성능개량사업”을 대비한 IFR 수준의 검증항목을 식별하고, 식별된 항목에 대한 엔진품질인증을 수행하기 위한 연구임)</t>
  </si>
  <si>
    <t>TPE-SFD</t>
  </si>
  <si>
    <t>엔진 개발 형상</t>
  </si>
  <si>
    <t>• 개발형상 1 : 엔진 기능/성능을 선제적으로 검증하기 위한 엔진으로, 시험계측이 가능한 형상으로 제작함. 설계변경 및 제작이 용이하도록(기계가공형상 적용 가능) Heavy Type으로 시제 개발을 추진함</t>
  </si>
  <si>
    <t>• 개발형상 2 : 개발검증 및 개발규격을 기준으로 성능검증시험을 수행하는엔진으로, 시험계측이 가능한 형상 및 엔진의 내구성까지 확보 가능한 형상으로 상세설계 제작함</t>
  </si>
  <si>
    <t>• 개발형상 3 : 비행체 적용을 위한 경량화/내구성/신뢰성을 만족하는 엔진으로, 개발규격에 정의된 품질인증 및 IFR 수준의 검증 항목에 대한 시험을 수행함</t>
  </si>
  <si>
    <t>흡입구</t>
  </si>
  <si>
    <t>• 엔진 흡입구는 체계 흡입구 덕트와 연결/조립을 고려하여 시제 개발을 수행함</t>
  </si>
  <si>
    <t>• 지상/고도 시험수행 시 시험인터페이스에서 유량과 압력/온도를 측정할 수 있도록 계측계통을 시제작에 반영함</t>
  </si>
  <si>
    <t>배기구</t>
  </si>
  <si>
    <t>• 엔진 배기구는 체계 배기 덕트와 연결/조립을 고려하여 시제 개발을 수행함</t>
  </si>
  <si>
    <t>• 배기구에 단열 적용하고 배기구 주변 및 배기구 후류의 온도를 측정할 수 있는 계측계통을 시제작에 반영함</t>
  </si>
  <si>
    <t>가스발생기 모듈</t>
  </si>
  <si>
    <t>• 가스발생기 로터시스템의 회전 동역학적 안정성과 조립 반복 안정성 및 회전 운전에 의한 하중 등 엔진의 운용 요구 조건에 대해 적합성을 검증하도록 개발함</t>
  </si>
  <si>
    <t>• 가스발생기 로터시스템 개발은 연계과제와 협력 진행하며, 연계과제의 개발범위에 따라 조정 및 수정하여 개발을 수행함</t>
  </si>
  <si>
    <t>• 가스발생기 모듈은 성능 목표상 엔진 주요 운용 회전수 영역에서 회전체에 대한 구조 건전성 및 안정성 기준을 만족하는지 확인하고 필요시 수정 개발함</t>
  </si>
  <si>
    <t>• 성능 목표상 Mission Profile을 기준하여 전 운용영역에서 구성품 Tip rubbing free를 만족하는지 확인하고 필요시 수정 개발함</t>
  </si>
  <si>
    <t>• 가스발생기 터빈부 냉각형 노즐 베인/블레이드의 주조 부품 형상화 기술은 최적화 형상 도출 및 수율 향상을 목표로 개발을 수행함. 이를 위하여 정밀 주조용 소재부품 개발을 수행하고, 냉각성능과 구조안정성 확보를 위한 냉각채널 최적화 형상으로 개발함</t>
  </si>
  <si>
    <t>• 2단 축류 터빈으로 설계하며 목표 구조 수명을 만족하기 위한 열구조, 냉각 설계/내부 냉각 구조 설계를 감안하여 필요시 수정 개발함</t>
  </si>
  <si>
    <t>• 이차 유로 및 냉각 유량은 성능 목표상 기준치 내에서 설계수행 하여 목표 구조 수명을 감안하여 필요시 수정 개발함</t>
  </si>
  <si>
    <t>• 가스발생기 모듈의 출력, 팽창비 및 공력 효율 등 성능 인자는 엔진의 성능 목표상 기준치를 만족하여야 하며, 연계과제에서의 시험 결과 및 분석적 방법을 통하여 엔진의 주요 운용점 상 성능 결과를 확인하여야 함</t>
  </si>
  <si>
    <t>• 가스발생기 모듈 내 베인, 블레이드 및 링 세그먼트 등 주요 구성품은 주조성 및 제작성을 고려하여 설계 수행하고 제작성에 대한 설계 근거를 제시함. 설계점의 고온/고압 조건을 감안하여 Hot-to-Cold 변환 및 주조, 제작 도면을 생성하여야 함</t>
  </si>
  <si>
    <t>• 엔진 성능 목표 달성을 위해 가스발생기 압축기 설계 개량 및 성능 해석 수행함</t>
  </si>
  <si>
    <t>• 제작 공정에 대한 규격화 수행하여 엔진품질인증을 위한 기준자료로 활용함.</t>
  </si>
  <si>
    <t>연소기 조립체</t>
  </si>
  <si>
    <t>• 엔진 운용 및 성능 요구 조건(압력손실, 연소 효율, Pattern Factor, Profile Factor, 내구 특성, 점화 및 LBO 성능 등)에 부합하는 연소기 상세 설계 결과를 제시하고, 엔진 시제에 적용함</t>
  </si>
  <si>
    <t>• 연소기에서 요구하는 성능에 부합하는 연료 노즐을 제작하고, 연료 노즐의 유량/분무 특성 결과를 제시함</t>
  </si>
  <si>
    <t>• 엔진품질인증과 IFR 획득에 필요한 개발 자료(성능 해석/리그 시험 결과)를 제시함.</t>
  </si>
  <si>
    <t>• 엔진품질인증 등을 위한 연소기 리그 시험 표준화 등의 기술자료 제시</t>
  </si>
  <si>
    <t>동력발생기모듈</t>
  </si>
  <si>
    <t>• 동력 터빈부의 비냉각 정밀주조 소재부품은 동력터빈의 운용온도한계와 구조수명 분석을 통해 소재를 적용하여 개발함</t>
  </si>
  <si>
    <t>• 동력 터빈 모듈은 성능 목표상 엔진 주요 운용 회전수 영역에서 회전체에 대한 구조 건전성 및 안정성 기준을 만족하는지 확인하고 필요시 수정 개발함</t>
  </si>
  <si>
    <t>• 2단 축류 터빈으로 설계하며 목표 구조 수명을 만족하기 위한 열구조 설계를 감안하여 필요시 수정 개발함</t>
  </si>
  <si>
    <t>• 동력 터빈 모듈의 출력, 팽창비 및 공력 효율 등 성능 인자는 엔진의 성능 목표상 기준치를 만족하여야 하며, 연계과제에서의 시험결과를 기반하여 엔진의 주요 운용점 상 성능 결과를 제시하여야 함</t>
  </si>
  <si>
    <t>• 동력 터빈 모듈 내 베인, 블레이드 및 등 주요 구성품은 주조성 및 제작성을 고려하여 설계 수행하고 제작성에 대한 설계 근거를 제시함. 설계점의 고온/고압 조건을 감안하여 Hot-to-Cold 변환 및 주조, 제작 도면을 생성하여야 함</t>
  </si>
  <si>
    <t>• 제작공정에 대한 규격화 수행하여 품질인증을 위한 기준자료로 활용함.</t>
  </si>
  <si>
    <t>로터조립체</t>
  </si>
  <si>
    <t>• 압축기 단 축하중 인가 볼트, 압축기 단과 가스발생기 터빈디스크 전방의 Spacer Shaft 커빅 부품, 가스발생기 터빈디스크 후방의 Spacer Shaft 및 축하중 인가 볼트, 가스발생기 전체 축계에 축방향 조립인가 하중을 인가하는 Tie-Shaft 등을 완제 엔진에 통합되도록 개발해야함</t>
  </si>
  <si>
    <t>• 연계과제에서 개발되는 커빅 커플링 기술을 활용함</t>
  </si>
  <si>
    <t>• GG/PT 로터조립체의 동특성 설계는 감속기어박스의 연결축 및 PT Shaft 내부에 장착될 비접촉식 토크미터의 형상을 반영하여 수행함</t>
  </si>
  <si>
    <t>• 로터조립체 개발을 위해 필요한 로터 동특성 시험은 연계과제의 시험결과를 활용하여 제시하고, 추가로 필요한 로터 동특성 시험 및 스퀴즈 필름 댐퍼의 회전 시험은 본 과제에 포함하여 시험을 수행함</t>
  </si>
  <si>
    <t>• 로터 구동 구성품 (GG/PT Shaft 용 베어링, 카본씰, SFD 등) 중 연계과제의 미개발 구성품들은 본 과제에 포함하여 개발함.</t>
  </si>
  <si>
    <t>• GG/PT Shaft 용 베어링은 국과연에서 제시하는 비행체 가속도 조건 및 Mission Profile을 고려하여 베어링 하중, 발열량, 수명 등을 검토하고 필요시 연계과제에서 개발된 베어링을 수정 개발하여 적용함</t>
  </si>
  <si>
    <t>• GG/PT Shaft 베어링 전용 내구수명 시험리그를 제작하여 시험을 통해 베어링 성능 및 내구 수명을 확인해야 함</t>
  </si>
  <si>
    <t>• 각 개발부품의 제품/공정 규격자료는 개발검증 및 품질인증 기준자료 구축에 활용함</t>
  </si>
  <si>
    <t>RGB감속기어박스</t>
  </si>
  <si>
    <t>• 기술보유가 검증된 해외협력사와의 기술협력을 통하여 개발을 수행하며, 획득된 시제품 및 개발 결과를 활용하여 엔진조립체에 적용 및 시험함.</t>
  </si>
  <si>
    <t>• 엔진통합용 감속기어박스 O조 (TBD), 개발보고서 및 개발도면 등 기술자료 1식(개발 간 확정), 감속기어박스 성능시험 및 내구성 시험 수행 결과 (내구성 인증자료 등) 획득해야 함</t>
  </si>
  <si>
    <t>• 감속기어박스 O조(TBD) / 성능 및 내구성시험리그 1조 획득해야 함</t>
  </si>
  <si>
    <t>• 해외협력사와의 기술협력을 통해 획득한 도면 및 기술자료를 활용하여 감속기어박스 국산화 제작을 위한 도면과 기술자료를 생성해야함</t>
  </si>
  <si>
    <t>• 필요시 추가적인 해외 기술협력을 통해 선진 감속기어박스 설계기술을 획득하여 도면 및 기술자료 생성에 반영해야함</t>
  </si>
  <si>
    <t>• 감속기어박스 국산화 개발 품목 중 하우징(외부 케이싱)은 기계가공을 통해 제작하고, 윤활채널을 구비하여 감속기어박스 내부 구성품의 윤활 및 냉각 역할을 해야함</t>
  </si>
  <si>
    <t>• 감속기어박스 국산화 개발관련 품목인 비접촉 토크미터는 형상개발, 측정로직개발, 캘리브레이션 기술개발을 위한 시험리그를 제작 후 리그 단위에서 시험 검증이 필요하고, 다양한 운전조건 및 환경변수에 대한 반응성을 시험을 통해 확인해야 함</t>
  </si>
  <si>
    <t>• 베어링 소재에 대한 구름접촉피로(RCF, Rolling Contact Fatigue) 시험을 실시하여 위 베어링 내구수명시험을 통해 확인하지 못한 환경변수에 대한 영향성을 시험적으로 확인해야 함</t>
  </si>
  <si>
    <t>• 감속기어박스 국산화 개발 품목 중 베어링은 시험용 베어링과 내구수명 시험리그를 제작하고 성능 및 수명을 시험적으로 확인해야 함</t>
  </si>
  <si>
    <t>• 감속기어박스 국산화 개발시 칩디텍터, 커넥터, 씰 등 부속 부품들은 연계과제에서 개발된 제품을 인터페이스 수정하여 사용하거나 상용제품을 사용해야함</t>
  </si>
  <si>
    <t>• 국산화 감속기어박스 설계/제작 검증은 제작된 시험리그를 이용하여 성능 및 검증시험 수행 (시험 항목 등 개발 간 확정)</t>
  </si>
  <si>
    <t>• 감속기어박스 해외협력사와의 기술협력을 통해 획득한 기술자료 등을 품질인증 기준자료 구축에 활용함</t>
  </si>
  <si>
    <t>보기시스템: AGB 개발/통합</t>
  </si>
  <si>
    <t>• 보조기어박스(AGB)는 국과연 선행과제 및 연계과제의 개발기술을 기반으로 엔진통합개발을 수행하여 개발을 추진함</t>
  </si>
  <si>
    <t>• 보조기어박스의 성능 및 내구성 확인을 위한 시험리그를 구성하여 시험을 실시함</t>
  </si>
  <si>
    <t>• 보조기어박스의 베어링을 국산화 제작하고 대표 베어링에 대해 시험을 실시하여 베어링 성능 및 내구성을 확인함</t>
  </si>
  <si>
    <t>보기시스템: 프로펠러 및 거버너</t>
  </si>
  <si>
    <t>• 프로펠러와 피치 거버너는 해외협력사에서 인증을 받은 제품을 도입하여 감속기어박스에 적용함</t>
  </si>
  <si>
    <t>• 프로펠러 거버너는 엔진제어기와 연동하도록 하고 이를 위해서 해외 도입 프로펠러 제작사와 협력해야 함</t>
  </si>
  <si>
    <t>• 프로펠러 유압의 공급/배출을 위한 계통은 RGB 개발과 통합하도록 함</t>
  </si>
  <si>
    <t>• 프로펠러는 MT Propeller사의 2종의 프로펠러(MTV-16-1-N-C-F-R(P)/CFLD280-65, MTV-27-1-N-C-F-R(P)/CFLD280-65, 거버너 포함)를 구매하여 적용함</t>
  </si>
  <si>
    <t>• 프로펠러 밸런싱을 수행할 수 있게 프로펠러 밸런싱 장비(구입수량 각 2조/총 4조)를 확보해야 함</t>
  </si>
  <si>
    <t>• 프로펠러는 중고도 무인기용 프로펠러를 기본으로 적용</t>
  </si>
  <si>
    <t>보기시스템: 연료시스템 개발/통합</t>
  </si>
  <si>
    <t>• 연료시스템, 윤활시스템, 유공압밸브 시스템은 연계과제의 개발결과를 활용하며, 개발검증시험/품질인증시험을 통해 엔진시제 개발에 통합하여 개발을 추진함</t>
  </si>
  <si>
    <t>• 연료시스템은 항공용 엔진의 이중화 설계개념을 반영하여 개발을 추진함</t>
  </si>
  <si>
    <t>• 연료량 조절 장치와 연료펌프 시스템들의 신뢰성, 안정성을 확보하기 위한 개발규격의 정립 및 개발 검증 수행함</t>
  </si>
  <si>
    <t>• 연계과제의 연료시스템 개발 결과를 엔진품질인증 연구에 활용함</t>
  </si>
  <si>
    <t>• 연료필터, 연료량 분배계통, 연료 냉각/가열 계통의 체계장착/운용 적절성을 개발규격에 따라 검증함</t>
  </si>
  <si>
    <t>보기시스템: 윤활시스템 개발/통합</t>
  </si>
  <si>
    <t>• 윤활시스템의 윤활유 공급/회수 펌프는 감속기어박스의 윤활/냉각까지 반영하여 개발함. 연계과제의 윤활 용량의 분석/설계 결과를 반영하여 엔진통합개발을 추진함</t>
  </si>
  <si>
    <t>• 윤활계통 부수 구성품인 윤활유 공급압력조절 장치, 윤활유 필터, 윤활유 탱크 등도 엔진 운용환경에 최적화되도록 개발을 추진함</t>
  </si>
  <si>
    <t>• 연료-윤활유 냉각장치(FOHE: Fuel Oil Heat Exchanger)는 엔진 구조의 통합형과 독립적인 냉각장치를 구현하는 것으로 개발함</t>
  </si>
  <si>
    <t>• 감속기어박스의 윤활유 용량을 고려하여 통합냉각기 또는 별도 냉각장치를 개발함</t>
  </si>
  <si>
    <t>보기시스템: 유공압 밸브 개발/통합</t>
  </si>
  <si>
    <t>• 별도의 체계장착 공랭식 냉각장치가 필요한 경우 이를 고려하여 개발을 수행함. (체계장착 공랭식 냉각장치는 시제 개발범위가 아니며, 해당품목 특성을 고려하여 사용여부 결정하고 적용함)</t>
  </si>
  <si>
    <t>• 체계 연료 가열을 위한 가열장치는 중고도 무인기에 개발/적용 중인 가열기를 적용할 수 있도록, 윤활냉각 시스템과 통합을 위한 설계를 반영하도록 함</t>
  </si>
  <si>
    <t>• 프로펠러 추진 항공엔진에 적용되는 블리드 밸브 및 솔레노이드 밸브를 개발하며, 프로펠러피치 제어를 위한 프로펠러 거버너를 고려한 통합 개발을 추진함</t>
  </si>
  <si>
    <t>• 블리드 공압 밸브는 엔진 시동 단계의 써지마진 확보 및 체계의 블리드공기 요구조건에 따른 공급이 가능하도록 개발함</t>
  </si>
  <si>
    <t>• 블리드 밸브의 개발요구조건은 체계 운용 요구 조건과 엔진의 시동 특성을 반영하여 개발을 추진함</t>
  </si>
  <si>
    <t>보기시스템: 시동시스템 통합</t>
  </si>
  <si>
    <t>• 점화시스템은 엔진 장착성을 고려한 통합 개발을 추진함</t>
  </si>
  <si>
    <t>• 시동시스템은 현재 적용 중인 중고도무인기 체계의 시동발전기를 사용할 수 있도록 개발함</t>
  </si>
  <si>
    <t>• 시동발전기의 구동력은 보조기어박스를 이용한다</t>
  </si>
  <si>
    <t>보기시스템: 발전시스템 통합</t>
  </si>
  <si>
    <t>• 주 발전기는 현재 중고도 무인기에 적용 중인 발전기를 변경 없이 장착함</t>
  </si>
  <si>
    <t>• 주 발전기는 지상 아이들 조건에서 비행 최대출력 조건까지 운전할 수 있도록 감속기어(RGB)에 반영하도록 함.</t>
  </si>
  <si>
    <t>보기시스템: 금속 칩 감지 센서 개발</t>
  </si>
  <si>
    <t>• 엔진 운용 안정성 감시 등을 위한 금속 칩(Chip) 감지센서는 안정성/수명을 확보하도록 개발하여 엔진에 적용함</t>
  </si>
  <si>
    <t>보기시스템: 고온부 측정 센서 개발</t>
  </si>
  <si>
    <t>• 고온부 측정 센서(동력터빈 입구 온도 센서) 및 엔진 흡입구의 온도/압력 센서는 안정성/수명을 확보하도록 개발하여 엔진에 적용함</t>
  </si>
  <si>
    <t>보기시스템: 토크측정 센서 개발</t>
  </si>
  <si>
    <t>• 엔진 운용 안정성 감시 등을 위한 토크 측정 시스템은 안정성/수명을 확보하도록 개발하여 엔진에 적용함</t>
  </si>
  <si>
    <t>보기시스템: RPM 센서 개발</t>
  </si>
  <si>
    <t>• 엔진 운용 안정성 감시 등을 위한RPM 측정 시스템은 안정성/수명을 확보하도록 개발하여 엔진에 적용함.</t>
  </si>
  <si>
    <t>보기시스템: 엔진 구동 구성품 개발</t>
  </si>
  <si>
    <t>• 진동차폐장치는 엔진의 주요 진동을 감쇄해서 항공기에 전달하고 엔진 장착 시스템(EMS, Engine Mounting System)과 체결할 수 있는 구조가 되도록 시제작함</t>
  </si>
  <si>
    <t>• 엔진 장착 시스템(EMS)은 항공기 구조물과 엔진 형상을 고려해서 리그형으로 시제작함.</t>
  </si>
  <si>
    <t>엔진제어시스템: Governor 및 프로펠러 모사</t>
  </si>
  <si>
    <t>• 엔진 제어시스템은 프로펠러 모사시스템을 통한 프로펠러 구동 동역학 간이 모델링 추출을 수행해야 함</t>
  </si>
  <si>
    <t>• 엔진 제어시스템은 거버너 연동 프로펠러 제어로직 테스트를 수행해야 함</t>
  </si>
  <si>
    <t>엔진제어시스템: 제어기/케이블 Harness 개발</t>
  </si>
  <si>
    <t>• 엔진 제어시스템의 케이블하네스 제작해야 함</t>
  </si>
  <si>
    <t>엔진제어시스템: 제어기/보기 통합 HILS 개발</t>
  </si>
  <si>
    <t>• 엔진 제어시스템은 이중화 및 엔진모델기반 제어를 탑재한 FADEC(Full Authority Digital Engine Controller)으로 개발함</t>
  </si>
  <si>
    <t>• 엔진 제어시스템은 엔진 시스템 단위에서 엔진 운용요구 조건을 반영하며, 엔진/센서/보기구성품의 고장상태에 대비하고 엔진의 정비 관련 정보의 계측/제공이 되도록 개발함</t>
  </si>
  <si>
    <t>• 엔진 제어시스템은 가스발생기와 프로펠러를 적용한 시험을 통해 개발로직 검증과 최적화를 수행하면서 검증함</t>
  </si>
  <si>
    <t>• 엔진 제어로직의 검증은 보기구성품/센서 등의 고장과 Over-speed, Over-temperature 등 비정상 운전상태, 서지방지 제어 등을 위한 제어로직 검증시험과 윤활유 공급중단 등에 대한 대응이 포함되도록 로직을 구현하고 이러한 결과를 활용하여 개발 및 검증을 수행함</t>
  </si>
  <si>
    <t>• 프로펠러의 피치제어는 기계유압식 제어방식에서 전자유압식 제어방식으로 변경하여 Prop. Governor에 적용함(프로펠러는 중고도무인기용을 그대로 사용)</t>
  </si>
  <si>
    <t>• 엔진 제어시스템은 엔진 제어로직 및 운용 시뮬레이션의 HW 및 SW 개발을 수정하여 HILS 검증장치 수정제작을 통해 적용 및 검증함</t>
  </si>
  <si>
    <t>• 엔진 제어로직의 안정성/신뢰성 검증은 국과연 선행핵심기술과제의 HILS 장비를 수정 설계하여 활용함</t>
  </si>
  <si>
    <t>엔진제어시스템: HW</t>
  </si>
  <si>
    <t>• 엔진제어시스템HW는 RTOS 탑재 또는 Firmware /운용프로그램 탑재해야 함</t>
  </si>
  <si>
    <t>• 엔진제어시스템HW는 엔진 제어 알고리즘 수행 필요함</t>
  </si>
  <si>
    <t>• 엔진제어시스템HW는 MIL-STD-1553B 및 RS422 통신 적용해야함</t>
  </si>
  <si>
    <t>• 엔진제어시스템HW는 엔진제어기 이중화 적용해야 함</t>
  </si>
  <si>
    <t>• 엔진제어시스템HW는 엔진 입력 신호처리 및 연료시스템, 엔진제어 출력, 밸브 등 신호처리를 수행해야 함</t>
  </si>
  <si>
    <t>• 엔진제어시스템HW는 제어기 하드웨어 점검시 제어센서 신호처리 회로 정확도 0.5%(TBD) FS 이내여야 함</t>
  </si>
  <si>
    <t>• 엔진제어시스템HW는 엔진제어기 전원 EMI 필터 적용 및 DC/DC 컨버터를 통한 내부전원 생성해야 함</t>
  </si>
  <si>
    <t>• 엔진제어시스템HW는 센서 및 전자회로의 결함 검출기능 및 결함 대체기능 적용해야 함</t>
  </si>
  <si>
    <t>• 엔진제어시스템HW는 구동기, 센서, 엔진의 실시간 BIT 점검기능을 구현해야 함</t>
  </si>
  <si>
    <t>• 엔진제어시스템HW는 엔진 운용자료 및 센서 보정 데이터 저장 기능을 구현해야 함</t>
  </si>
  <si>
    <t>• 엔진제어시스템HW는 RS422을 이용한 Field Loadable SW 다운로딩 기능을 구현해야 함</t>
  </si>
  <si>
    <t>• 엔진제어시스템HW는 EMI/EMC 검증 수행해야 함</t>
  </si>
  <si>
    <t>엔진제어시스템: SW</t>
  </si>
  <si>
    <t>• 엔진제어시스템SW는 엔진 제어 SW 구조에 따른 기능별 모듈 코딩 (Ansys SCADE)을 수행해야 함</t>
  </si>
  <si>
    <t>• 엔진제어시스템SW는 엔진 실시간 모델 및 선형모델 구현해야 함(단, 엔진 동적모델은 국과연에서 제공)</t>
  </si>
  <si>
    <t>• 엔진제어시스템SW는 연료시스템 및 기타 보기시스템 실시간 모델 추출해야 함</t>
  </si>
  <si>
    <t>• 엔진제어시스템SW는 엔진 시동/운용 제어로직 파라미터 선정 및 확인/검증해야 함</t>
  </si>
  <si>
    <t>• 엔진제어시스템SW는 엔진 적용 제어특성 시험을 통한 검증 및 제어 파라미터 적용 결과 검증해야 함</t>
  </si>
  <si>
    <t>• 엔진제어시스템SW는 실시간 엔진결함 검출 및 극복 로직 설계해야 함</t>
  </si>
  <si>
    <t>• 엔진제어시스템SW는 엔진 SILS 및 HILS SW 환경구축 및 코드 구현해야 함</t>
  </si>
  <si>
    <t>• 엔진제어시스템SW는 엔진제어 SW 신뢰성 시험 기술연구를 수행해야 함</t>
  </si>
  <si>
    <t>• 엔진제어시스템SW는 엔진 Fail-Safe 로직설계 및 SW 제작 기술연구를 수행해야 함</t>
  </si>
  <si>
    <t>엔진제어시스템: 점검장비</t>
  </si>
  <si>
    <t>• 엔진제어기 기능시험, 성능시험, 제어로직 점검시험을 수행할 수 있도록 점검장비를 개발하며 점검장비 점검 운용프로그램을 업데이트함으로써, 점검의 효율성을 높여야 함</t>
  </si>
  <si>
    <t>• 엔진제어시스템점검장비는 실시간 엔진 시뮬레이션 기능 및 자동점검 프로그램 운용을 수행해야 함</t>
  </si>
  <si>
    <t>• 엔진제어시스템점검장비는 점검장비 내 엔진모델 탑재를 통한 실시간 제어로직 테스트 기능을 가져야 함</t>
  </si>
  <si>
    <t>• 엔진제어시스템점검장비의 Display 및 점검패널은 제어기 전원 및 주요신호 Monitoring 용 Display 모듈을 가져야 함</t>
  </si>
  <si>
    <t>• 엔진제어시스템점검장비는 Display 및 점검패널제어기 전원 및 각종신호 정밀측정 분석용 측정단자를 가져야 함</t>
  </si>
  <si>
    <t>• 엔진제어시스템점검장비는 Display 및 점검패널점검장비 자체전원 및 제어기 전원 스위치를 가져야 함</t>
  </si>
  <si>
    <t>• 엔진제어시스템점검장비는 아날로그/디지털 처리 회로 측면에 대해 엔진 센서류 및 연료제어 등 관련 아날로그 신호 처리회로 및 필터회로를 가져야 함</t>
  </si>
  <si>
    <t>• 엔진제어시스템점검장비는 아날로그/디지털 처리 회로 측면에 대해 엔진 센서값을 실시간 모의할 수 있도록 회로 구현을 수행해야 함</t>
  </si>
  <si>
    <t>• 엔진제어시스템점검장비는 아날로그/디지털 처리 회로 측면에 대해 실시간 데이터 입출력 가능하도록 구현해야 함</t>
  </si>
  <si>
    <t>• 엔진제어시스템점검장비는 통신제어 시 MIL-STD-1553B 및 RS422 통신 모듈을 가져야 함</t>
  </si>
  <si>
    <t>• 엔진제어시스템점검장비는 통신제어 시 실시간 데이타 입출력 가능을 가져야 함</t>
  </si>
  <si>
    <t>• 엔진제어시스템점검장비는 점검프로그램 개발 툴 관련하여 전용 프로그램 구현 및 C 언어사용을 수행해야 함</t>
  </si>
  <si>
    <t>정밀 주조/단조 공정개발(소재 개발(연계과제:터보샤프트 과제))</t>
  </si>
  <si>
    <t>• 엔진의 체계적용을 고려한 경량화, 장수명화, 구조안정성 확보를 위하여 소재부품(정밀주조) 및 제작공정들을 개발해야 함</t>
  </si>
  <si>
    <t>• 개발형상-1은 기계가공 및 용접에 기반한 Heavy Type 구성품 개발을 허용해야 함</t>
  </si>
  <si>
    <t>• 개발형상-3은 경량화, 수명, 구조적 안정성, 냉각성능 등이 보완된 정밀주조와 단조품 혹은 Near Net shape(개발 완료 시점 국내 소재부품 기술의 성숙도에 따라 Net Shape) 단조 부품을 적용하여 시제 개발이 수행되어야 함</t>
  </si>
  <si>
    <t>• 개발형상-3은 최종 소재부품이 적용되도록 소재부품 개발을 수행해야 함</t>
  </si>
  <si>
    <t>• 개발 결과에 따라 선정된 단품(혹은 채취)에 대한 수명 특성(HCF 평가 등)평가를 수행해야 함</t>
  </si>
  <si>
    <t>• 정밀 제작공정을 통한 주유로 형상, 윤활유 유로, 기어축 연결 통로 구현을 위한 구조형상이 선행과제 연구개발을 통해 확보되었는지 확인하고 적용되어야 함</t>
  </si>
  <si>
    <t>• 압축기 쉬라우드, 디퓨저 프레임 및 1, 2단 압축기 Return Channel 구조 형상이 선행과제 연구개발을 통해 확보되었는지 확인하고 적용되어야 함</t>
  </si>
  <si>
    <t>• 압축기/연소기 케이스 복합 형상 구조가 선행과제 연구개발을 통해 확보되었는지 확인하고 적용되어야 함</t>
  </si>
  <si>
    <t>• 연소기 라이너 초내열합급 링형상화 구조 소재부품이 선행과제 연구개발을 통해 확보되었는지 확인하고 적용되어야 함</t>
  </si>
  <si>
    <t>• 가스발생기 터빈디스크와 냉각디스크 소재부품이 선행과제 연구개발을 통해 확보되었는지 확인하고 적용되어야 함</t>
  </si>
  <si>
    <t>• 가스발생기 터빈 노즐베인/블레이드 정밀주조 부품 (적용 소재는 엔진 냉각/수명 분석을 통해 결정)이 선행과제 연구개발을 통해 개발되었는지 확인하고 적용되어야 함</t>
  </si>
  <si>
    <t>• 동력터빈 노즐베인/블레이드 정밀 주조부품 (적용 소재는 엔진 냉각/수명 분석을 통해 결정)이 선행과제 연구개발을 통해 개발되었는지 확인하고 적용되어야 함</t>
  </si>
  <si>
    <t>• 동력터빈 디스크와 Inter Turbine Shaft 소재부품이 선행과제 연구개발을 통해 개발되었는지 확인하고 적용되어야 함</t>
  </si>
  <si>
    <t>• 가스발생기 터빈 정지구조물의 초내열합금 소재부품이 선행과제 연구개발을 통해 개발되었는지 확인하고 적용되어야 함</t>
  </si>
  <si>
    <t>• 동력터빈 쉬라우드, 터빈 케이스 구조물의 초내열합금 소재부품이 선행과제 연구개발을 통해 개발되었는지 확인하고 적용되어야 함</t>
  </si>
  <si>
    <t>• 동력터빈 샤프트 소재부품(고인성강 등 소재)이 선행과제 연구개발을 통해 개발되었는지 확인하고 적용되어야 함</t>
  </si>
  <si>
    <t>• 터빈 스트럿-내측 썸프 구조의 소재부품이 선행과제 연구개발을 통해 개발되었는지 확인하고 적용되어야 함</t>
  </si>
  <si>
    <t>• 엔진흡입구 프레임, 압축기 케이스와 같은 복잡 유로형상 구조의 경량합금 및 연소기 케이스 연결부의 소재부품을 개발해야 함</t>
  </si>
  <si>
    <t>• 가스발생기 터빈 쉬라우드와 후방프레임 및 스트럿 구성품에 대한 초내열합금 부품 개발 등이 완제 엔진의 형상을 기준으로 개발되었는지 확인하고 적용되어야 함</t>
  </si>
  <si>
    <t>• 엔진의 소재는 엔진의 구조적 안정성, 수명 등의 평가 기준을 만족하도록 개발해야 함</t>
  </si>
  <si>
    <t>• 엔진의 소재 관련 내용이 적용된 제작공정규격서 등을 작성하고 그것을 품질인증 기준자료 구축에 활용해야 함</t>
  </si>
  <si>
    <t>열차폐코팅(TBC) 공정개발적용</t>
  </si>
  <si>
    <t>• 냉각형 터빈의 고온부와 연소기 라이너부의 열차폐코팅 공정기술은 국과연의 민군겸용기술 개발과제 및 선행과제에서 개발된 Thermal Spray Coating과 EB-PVD 코팅기술을 고도화 및 실용화하여 개발 간 결정된 엔진에 적용되어야 함</t>
  </si>
  <si>
    <t xml:space="preserve">• 연소기에는 용사코팅(APS) 기술을, 터빈 노즐베인/블레이드에는 EB-PVD 코팅기술을 적용하는 것을 기본으로 개발해야 함 </t>
  </si>
  <si>
    <t>• 연소기 코팅공정 규격화를 수행해야 하고, 해당 수행간에 엔진 품질인증을 위한 기술자료를 작성해야 함</t>
  </si>
  <si>
    <t>• 연소기 실품에 대한 코팅공정을 확정해야 함</t>
  </si>
  <si>
    <t>• 실품에 대한 검사기준을 수립하기 위해 쿠폰-실품 간 코팅 상관관계를 구축하고 공정 재현성 제시 방법을 구축해야 함</t>
  </si>
  <si>
    <t>• 블레이드/베인(소재): 본드코팅은 PtAl 혹은 Aluminizing 공정을 통해 구성해야 함</t>
  </si>
  <si>
    <t>• 블레이드/베인(소재): 탑코팅은 YSZ 소재의 주상구조 코팅으로 구성해야 함</t>
  </si>
  <si>
    <t>• 블레이드/베인(두께): 코팅 시스템의 총 두께는 필수 지정부 기준 100∼200㎛ (TBD, 차후결정필요)를 만족해야 함</t>
  </si>
  <si>
    <t>• 블레이드/베인(두께): 에어포일 및 플랫폼 부의 각 코팅층 두께 상관관계를 도출해야 함</t>
  </si>
  <si>
    <t>• 블레이드/베인(검사): 실물 코팅 후 합부여부(냉각홀, 결함 등) 판단을 위한 시험방법 및 기준을 구축해야 함</t>
  </si>
  <si>
    <t>• 연소기(소재): 본드코팅은 MCrAlY 혹은 유사계 소재, 탑코팅은 YSZ 소재로 양 코팅층은 열용사코팅으로 구성해야 함</t>
  </si>
  <si>
    <t>• 연소기(두께): 코팅 시스템의 총 두께는 필수 지정부 기준 300∼500㎛ (TBD, 차후결정필요)를 만족해야 함</t>
  </si>
  <si>
    <t>• 연소기(검사): 실물 코팅 후 합부여부(결함 등) 판단을 위한 시험방법 및 기준을 구축해야 함</t>
  </si>
  <si>
    <t>• 쿠폰/실품 코팅 초도품에 대한 열적 내구성(퍼니스 혹은 버너리그 시험 등) 평가 데이터를 확보해야 함</t>
  </si>
  <si>
    <t>부품 가공/측정 기술개발</t>
  </si>
  <si>
    <t>• RGB/AGB 시스템에서 항공급 고속정밀 기어와 고하중/고토크 기어 시스템인 평기어 부품은 국내 제작 기술을 기반으로 항공급 기어 등급(AGMA 등급 등)으로 가공 및 측정평가의 표준을 수립하여 시제에 적용해야 함</t>
  </si>
  <si>
    <t>• 터빈 베인/블레이드 부품의 냉각홀 가공/측정 기술을 개발하며, 단품 단위의 냉각유량시험 등을 통하여 냉각홀 가공/측정 기술을 검증해야 함</t>
  </si>
  <si>
    <t>• 냉각홀 가공: 레이저 혹은 방전가공을 통한 필름 냉각홀을 구현해야 함</t>
  </si>
  <si>
    <t>• 냉각홀 검사: 냉각홀 위치, 각도, 크기 검사를 위한 방법 및 검사기준을 마련해야 함</t>
  </si>
  <si>
    <t xml:space="preserve">• 유량검사: 단품 유량검사방법 수립 및 검사기준 마련해야 함 </t>
  </si>
  <si>
    <t>• 유량검사: 시험치구를 제작하여 확보해야 함</t>
  </si>
  <si>
    <t>• 주요 소재에 대한 소재 DB 구축을 수행해야 함(DB 구축 대상 주요 소재 및 DB 확보 수준은 시제개발 간 확정)</t>
  </si>
  <si>
    <t xml:space="preserve">• DB 구축 및 관리는 최종형상(개발형상-3)에 적용 기준으로 진행해야 함 </t>
  </si>
  <si>
    <t>• 엔진 구성품 제작 공정기술은 설계단계부터 규격화를 위해 관련 소재/공정규격을 정립해야 함</t>
  </si>
  <si>
    <t>• 조립공정도 공정절차 문서화가 수행되도록 공정 개발을 수행해야 함</t>
  </si>
  <si>
    <t>• 엔진에 적용되는 원 소재와 소재부품들은 연계과제의 소재 물성 시험데이터와 본 과제에서 개발되는 소재부품에 대한 시편 시험 결과를 종합적으로 활용하여, 엔진의 구조수명, 열적 변형, 응력 평가를 수행해야 함</t>
  </si>
  <si>
    <t>• 구조수명 등 전산해석을 활용한 평가에 사용된 소재 물성 수준을 제시해야 함</t>
  </si>
  <si>
    <t>엔진 제작/조립 공정 규격화/표준화</t>
  </si>
  <si>
    <t>• 엔진 제작/조립 공정의 규격화/표준화는 국내에서 확보한 해외 선진사의 공정규격서를 기반으로 수립해야 함</t>
  </si>
  <si>
    <t>• 엔진소재부품(주조, 단조) 분야는 국내 확보된 소재부품 제작 장비와 제조검증 기술을 기반으로 규격서와 관련 표준을 수립해야 함</t>
  </si>
  <si>
    <t xml:space="preserve">• 엔진 제작/조립/시험 절차서(필요시 규격화)는 엔진 개발과정에서 수립한 공정/시험 절차를 기준으로 해야 함 </t>
  </si>
  <si>
    <t>• 엔진 제작/조립/시험은 개발규격의 요구사항을 반영하여 수립하도록 하여 엔진 시제품의 생산기술을 확립해야 함</t>
  </si>
  <si>
    <t>구성품 리그시험 수행 및 연계과제 자료 종합</t>
  </si>
  <si>
    <t xml:space="preserve">• 본 과제 및 연계과제(터보샤프트 과제)의 핵심기술개발로 개발되는 압축기, 연소기, 동력터빈, 엔진 코어부에 해당하는 가스발생기 모듈의 성능시험과 개발시험 결과들이 종합되어야 함 </t>
  </si>
  <si>
    <t>• 해당 시험 결과가 엔진품질인증을 위한 기초자료로 활용할 수 있도록 자료작성 및 종합을 수행해야 함</t>
  </si>
  <si>
    <t>• 압축기 리그 성능시험 수행: 엔진 성능평가의 기본자료로 성능평가 적절성, 압축기 구조/동적 안정성 평가 기준 및 압축기 공력/구조/열적 안정성 결과를 도출 및 확인해야 함</t>
  </si>
  <si>
    <t>• 압축기 리그 성능시험 수행: 구조수명의 해석적 평가 등을 위한 시험수행 지원 및 자료작성</t>
  </si>
  <si>
    <t xml:space="preserve">• 연소기 리그 성능시험 수행: 엔진 시동대기/고도 조건에 대한 점화성능 평가를 수행해야 함 </t>
  </si>
  <si>
    <t>• 연소기 리그 성능시험 수행: 터빈부 수명평가를 위한 연소기 출구 온도분포와 엔진수명해석의 적절성을 평가해야 함</t>
  </si>
  <si>
    <t>• 연소기 리그 성능시험 수행: 엔진 소화 한계, 엔진 운용조건 화염 유지 안정성 평가 등 (압력손실, 연소기 열구조적 안정성 등)을 수행하여 결과를 도출 및 확인해야 함</t>
  </si>
  <si>
    <t xml:space="preserve">• 가스발생기 성능시험 수행: 완제엔진 성능평가를 위한 코어구성품의 성능식별, 통합엔진 적용의 적절성을 확인해야 함 </t>
  </si>
  <si>
    <t>• 가스발생기 성능시험 수행: 가스발생기 로터구조(고온부 포함)의 운용안정성 평가 등 (연계 구성품 개발과제에서 미수행시 본 시험개발 과제에서 수행 필요)을 수행하여 결과를 도출 및 확인해야 함</t>
  </si>
  <si>
    <t>• 동력터빈 성능시험 수행: 완제엔진에 적용을 위한 기준 성능평가 적절성, 로터시스템 안정성 등을 도출 및 확인해야 함</t>
  </si>
  <si>
    <t>지상 성능시험 수행</t>
  </si>
  <si>
    <t>• 프로펠러 적용시험은 제어SW 검증과 엔진의 프로펠러 기계적 인터페이스 적용성 및 체계적용 적합성을 입증하는 개발을 수행해야함</t>
  </si>
  <si>
    <t>• 지상 개발시험은 별도의 엔진 개발규격으로 정의된 개발시험의 요구사항에 따라 개발시험을 개발 호기별로 지정 (개발 간 확정)하여 수행해야 함</t>
  </si>
  <si>
    <t>• 엔진 시제는 3가지 개발 형상으로 총 9조를 시제작하여 성능시험, 엔진안정성 검증시험(고도조건 반영), 내구성 시험을 수행하고, 엔진제어성능(지상/고도 조건), 진동/응력 Survey 시험과 프로펠러 적용 통합시험을 수행해야 함</t>
  </si>
  <si>
    <t>• 시제작 개발에서 필요시 국과연의 선행핵심기술 개발과제의 시작품은 일부 구성품 혹은 완제 코어부 엔진을 본 시험개발에 활용할 수 있으며, 이 경우 개발 시제 예비엔진으로 활용하도록 조치해야 함</t>
  </si>
  <si>
    <t>• 완제 통합엔진에 대한 지상시험은 감속기어(RGB)에 축 동력 계측용 다이나모미터를 연결한 개발시험과 프로펠러를 적용한 개발시험을 수행해야 함</t>
  </si>
  <si>
    <t>• 지상 성능시험은 축 동력, 연료소모율 등 엔진성능 평가와 기능적 특성을 확인하는 방향으로 수행해야 함</t>
  </si>
  <si>
    <t>• 지상 성능시험은 엔진 기준의 주유로 구성품 성능식별(Performance Identification), 2차유로 유동의 안정성, 냉각계통의 안정성 및 설계 적합성 평가, 윤활계통의 운용안정성 및 윤활 성능, 연료제어계통의 성능 및 안정성 평가 등을 포함하여 수행해야 함</t>
  </si>
  <si>
    <t>• 지상 성능시험 중 엔진 제어계통의 안정성과 제어로직 개발은 프로펠러를 적용한 시험을 통해 개발로직 검증과 최적화를 수행해야 함</t>
  </si>
  <si>
    <t>• 지상 성능시험 중 제어로직 검증은 보기구성품/센서 등의 고장과 Over-speed, Over-temperature 등 비정상 운전상태, 써지방지 제어 등을 위한 제어로직 검증시험과 윤활유 공급중단 등에 대한 대응이 포함되도록 시험을 수행해야 함</t>
  </si>
  <si>
    <t>• 엔진 정적/동적 구조체의 안정성 평가와 관련하여 엔진 구조체의 응력수준, 진동조사 및 안정성, 열적 구조물의 간극 수준 및 운전 중 열적변형(소성변형) 안정성 등을 평가할 수 있도록 시험을 수행해야 함</t>
  </si>
  <si>
    <t>• 개발형상-1에 대한 성능시험은 엔진 보기시스템 개발 일정을 고려하여, 리그형 보기시스템을 적용하여 시험을 수행함 (리그형 보기시스템 적용 방안은 개발 간 확정)</t>
  </si>
  <si>
    <t xml:space="preserve">• 엔진 내구성에 대한 시험은 개발형상-2 또는 개발형상-3 형상으로 수행해야 함 </t>
  </si>
  <si>
    <t>• 엔진 내구성에 대한 시험 중 프로펠러 적용 여부는 개발 간에 결정해야 함</t>
  </si>
  <si>
    <t>• 체계장착을 고려한 진동환경, 장착하중 조건에 대한 개발검증 시험은 엔진 개발규격의 개발입증시험을 기준으로 수행해야 함</t>
  </si>
  <si>
    <t>• 체계장착을 고려할 때, 지상시험설비의 한계가 있는 경우, 정적구조시험 장치와 진동 시험장치를 활용하여 시험개발을 진행할 수 있도록 조정해야 함</t>
  </si>
  <si>
    <t>• 체계장착을 고려할 때, 정적구조시험 장치와 진동 시험장치를 활용하려면, 엔진인증 실증연구의 결과를 활용해야 함</t>
  </si>
  <si>
    <t>• Hot day (ISA+20℃) 조건에 대한 엔진성능/기능 시험적용을 위해, 지상시험은 대기조건의 시험 결과를 기준으로 Hot day (ISA+20degC) 기준을 환산하여 엔진 성능, 기능을 평가해야 함</t>
  </si>
  <si>
    <t>• 체계 운용에 요구되는 지상/비행 환경 개발시험들은 엔진 품질인증 실증연구를 통해 식별된 항목으로 시험평가(개발 간 확정)를 수행해야 함</t>
  </si>
  <si>
    <t>고도 성능시험 지원</t>
  </si>
  <si>
    <t>• 국과연이 수행하는 엔진 고도시험의 지원 및 시험결과 분석을 지원해야 함</t>
  </si>
  <si>
    <t>• 고도시험에서 엔진 구조적 안정성을 검증하기 위하여 관련 계측센서가 장착된 엔진을 적용하며, 시험결과를 분석하여 적절성을 판단한다.</t>
  </si>
  <si>
    <t>• 엔진 정적/동적 구조체의 안정성 평가와 관련하여 엔진 구조체의 응력수준, 진동조사 및 안정성, 열적 구조물의 간극 수준 및 운전 중 열적변형(소성변형) 안정성 등을 평가해야 함</t>
  </si>
  <si>
    <t>• 비행고도 속도환경에 대한 개발시험은 중고도 무인기의 운용조건과 개발규격 요구 환경조건에서 개발검증 시험 수행 및 개발규격 만족도를 평가해야 함</t>
  </si>
  <si>
    <t>• 고도시험 평가는 상승구간과 순항고도 속도 조건에서의 성능과 엔진의 운용 안정성, 구조적 안정성, 열적 안정성, 고온구조 부품의 냉각성능, 제어 안정성 등이 평가되어야 함</t>
  </si>
  <si>
    <t>• 고도시험 평가는 순항고도 조건에서 내구성(가속 시험)이 평가되어야 함</t>
  </si>
  <si>
    <t>• 고도시험 평가 수행 간에 개발시험 및 초도비행허가(IFR) 획득을 위한 시험 결과자료들이 제시될 수 있도록 시험수행 및 자료작성을 지원해야 함</t>
  </si>
  <si>
    <t>구성품시험 표준화</t>
  </si>
  <si>
    <t>• 시험절차와 계측센서의 정밀도, 검교정 기준 등 시험규격 관련 계측기법들을 표준화해야 함</t>
  </si>
  <si>
    <t>• 구성품시험 표준화 업무를 수행한 결과물들은 엔진개발시험의 입증과 엔진품질인증에 대한 입증자료로 활용할 수 있도록 해야 함</t>
  </si>
  <si>
    <t>• 엔진 구성품시험 표준화를 위하여 평가기준/평가기법/시험절차의 표준화 방안을 제시해야 함</t>
  </si>
  <si>
    <t>• 국과연이 수행하고 있는 ‘엔진품질인증 연구’ 결과를 활용하여 엔진 구성품 시험의 표준화를 수행해야 함</t>
  </si>
  <si>
    <t>• 국과연이 수행하고 있는 ‘엔진품질인증 연구’ 결과를 활용하여 엔진의 구성품 시험에 적용해야 함</t>
  </si>
  <si>
    <t>• 압축기, 연소기, 터빈, 가스발생기와 엔진 구조체 (로터, 정적 구조 조립체) 및 완제 엔진에 대한 개발시험과 검증시험 결과를 이용하여, 엔진품질인증을 위한 기법, 절차 및 평가기법을 수립하기 위한 연구를 지원해야 함</t>
  </si>
  <si>
    <t>다음 항목의 개발시험에 대한 평가 기준 수립을 위하여 시험계측/시험장치/시험절차의 표준화 등을 수행함.</t>
  </si>
  <si>
    <t>• 압축기 시험계측: 압축기 유량계측을 위한 압력/온도 계측 센서/Rake와 유효 면적 계측평가의 표준화를 수행해야 함</t>
  </si>
  <si>
    <t>• 압축기 시험계측: 압력비/온도비 산출을 위한 계측 센서/Rake와 온도/압력 평균값 평가기법의 표준화를 수행해야 함</t>
  </si>
  <si>
    <t>• 압축기 시험계측: 압축기 써지마진 평가를 위한 계측 센서 표준화 및 써지 평가 기준을 수립해야 함</t>
  </si>
  <si>
    <t xml:space="preserve">• 연소기 시험계측: 연소기의 압력손실 평가를 위한 압력측정 센서/고온용 Rake 표준화를 수행해야 함 </t>
  </si>
  <si>
    <t xml:space="preserve">• 연소기 시험계측: 연소기 출구 온도분포 평가를 위한 센서/Rake 표준화를 수행해야 함 </t>
  </si>
  <si>
    <t>• 연소기 시험계측: 연소기 라이너 온도분포 계측/평가 표준화를 수행해야 함</t>
  </si>
  <si>
    <t xml:space="preserve">• 터빈 냉각시험 계측: 냉각터빈 노즐베인/블레이드의 냉각 유량과 터빈 쉬라우드부 냉각 유량 계측을 위한 센서/계측장치의 표준화를 수행해야 함 </t>
  </si>
  <si>
    <t xml:space="preserve">• 터빈 냉각시험 계측: 터빈 노즐베인 조립체의 유량계측 센서/Rake 표준화를 수행해야 함 </t>
  </si>
  <si>
    <t>• 터빈 냉각시험 계측: 터빈 노즐베인 조립체의 유효면적 평가기법의 표준화를 수행해야 함</t>
  </si>
  <si>
    <t xml:space="preserve">• 가스발생기 성능시험 계측: 가스발생기 주유로 구성품의 성능식별을 위한 압력/온도 계측센서/Rake 표준화를 수행해야 함 </t>
  </si>
  <si>
    <t>• 가스발생기 성능시험 계측: 가스발생기 주유로 구성품의 성능식별을 위한 유량 측정/평가 표준화를 수행해야 함</t>
  </si>
  <si>
    <t>• 가스발생기 성능시험 계측: 스발생기 주유로 구성품의 성능식별을 위한 냉각유량, 2차유로 평가 표준화를 수행해야 함</t>
  </si>
  <si>
    <t xml:space="preserve">• 피로/구조시험 계측: 부품/구성품/엔진 단위의 LCF/HCF 계측 센서 및 계측평가의 표준화를 수행해야 함 </t>
  </si>
  <si>
    <t>• 피로/구조시험 계측: 피로/구조시험 장치의 표준화를 수행해야 함</t>
  </si>
  <si>
    <t>• 피로/구조시험 계측: 시험 절차의 표준화를 수행해야 함</t>
  </si>
  <si>
    <t>엔진지상시험표준화</t>
  </si>
  <si>
    <t>• 시험규격 관련 계측기법들을 표준화한 결과들은 엔진개발시험의 입증과 엔진품질인증에 대한 입증자료로 활용할 수 있도록 해야 함</t>
  </si>
  <si>
    <t>• 엔진 지상시험의 표준화를 위하여 평가기준/평가기법/시험절차의 표준화 방안을 제시해야 함</t>
  </si>
  <si>
    <t>• 국과연이 수행하고 있는 ‘엔진품질인증 연구’ 결과를 활용하여 엔진 지상시험의 표준화 수행 및 엔진의 지상시험에 적용해야 함</t>
  </si>
  <si>
    <t>• 시험평가 결과에 대한 신뢰도 확보를 위하여, 계측센서/장치의 표준화를 수행해야 함</t>
  </si>
  <si>
    <t>• 시험평가 결과에 대한 신뢰도 확보를 위하여, 시험절차서/엔진개발 규격 및 엔진품질인증에 필요한 데이터를 제공해야 함</t>
  </si>
  <si>
    <t>• 지상/고도 시험에서 엔진출력 성능, 비연료소모율 계측을 위한 센서, 장치 및 계측평가의 표준화를 수행해야 함</t>
  </si>
  <si>
    <t>• 지상/고도 시험에서 엔진 단위의 구성품 성능식별을 위한 온도/압력/유량, 회전수, 진동, 변위 등 계측 표준화를 수행해야 함</t>
  </si>
  <si>
    <t>• 지상/고도 시험에서 엔진 단위의 구성품 성능식별을 위한 온도/압력/유량, 회전수, 진동, 변위 등의 평가기준/평가기법/시험절차 개발 및 표준화를 수행해야 함</t>
  </si>
  <si>
    <t>• 개발형상-1은 엔진의 구조적/열적 안정성, 동적 안정성과 주유로 구성품 단위의 성능식별과 검증을 수행해야 함</t>
  </si>
  <si>
    <t>• 개발형상-1은 기어박스 시스템과 보기시스템의 성능과 안정성을 계측/검증할 수 있도록 온도/ 압력/응력/진동/변위/주파수 등을 측정 가능한 계측 포트와 센서들을 반영해야 함</t>
  </si>
  <si>
    <t>• 개발형상-1의 각 측정계통은 품질인증 절차 연구결과에 따라 조립과 검교정을 수행해야 함</t>
  </si>
  <si>
    <t>• 개발형상-2, 개발형상-3은 개발검증 항목별 해당 엔진 호기를 지정하여, 시험목적에 따른 계측 Instrumentation이 적용되어야 함</t>
  </si>
  <si>
    <t>• 개발형상-3은 비행 시험체 적용을 위한 형상으로 Instrumentation을 적용하여 비행시험에 대비할 수 있도록 함.</t>
  </si>
  <si>
    <t>엔진 품질인증 연구 지원 및 엔진 품질인증을 위한 자료 제공</t>
  </si>
  <si>
    <t>• 엔진의 규격화를 위한 기본자료 등을 식별하고, 종합하여 엔진품질인증(Engine Qualification)을 위한 자료로 활용될 수 있도록 엔진품질인증 실증연구 수행을 지원해야 함</t>
  </si>
  <si>
    <t>• 엔진설계/해석, 시제작 및 수락/개발 시험, 품질인증시험 등 엔진 개발과정의 설계/제작/시험 품질 사항들이 개발기술자료로 종합되어 엔진품질인증을 위한 입증자료로 생성될 수 있도록 연구개발 관리하며, 엔진품질인증을 위한 자료로 제시해야 함</t>
  </si>
  <si>
    <t>• 엔진 조립체(엔진 모델) 및 구성품, 보기구성품에 대한 개발규격과 검증 규격, 품질인증시험 절차 및 품질인증을 위한 기준 및 필요자료, 자료작성의 표준 및 수록 내용들을 엔진품질인증 연구를 통해 정의해야 함</t>
  </si>
  <si>
    <t>• 구성품 단위의 설계/해석 및 개발시험 등을 통해 확보된 기술자료를 종합하여 엔진품질인증을 위한 자료로 제공해야 함(필요시, 연계과제 구성품 개발 결과 활용)</t>
  </si>
  <si>
    <t>• 소재부품 열/구조/피로시험(HCF, LCF) 결과를 기반으로 엔진의 구조안정성/구조수명 해석 결과의 적절성을 평가해야 함(필요시, 연계과제의 구성품 개발 결과 활용)</t>
  </si>
  <si>
    <t>• 엔진의 구조안정성/구조수명 해석 결과의 적절성 평가자료는 품질인증 기초자료로 제공해야 함(필요시, 연계과제의 구성품 개발 결과 활용)</t>
  </si>
  <si>
    <t>• 엔진 임무주기에 따른 프로펠러 추진 항공엔진 시험요구 조건에 대한 구조부품/조립체 개발결과를 품질인증 기초자료로 제공해야 함(필요시, 연계과제의 구성품 개발 결과 활용)</t>
  </si>
  <si>
    <t>• 상기 엔진품질인증 연구 결과를 적용하여 개발 엔진 System Safety 분석이 수행될 수 있도록 필요한 업무를 지원해야 함(필요시, 연계과제의 구성품 개발 결과 활용)</t>
  </si>
  <si>
    <t>• 상기의 System Safety 분석에서 도출된 엔진 개발규격이 있다면, 이를 재검증하는 업무를 지원해야 함</t>
  </si>
  <si>
    <t>명칭</t>
  </si>
  <si>
    <t>명칭(영문)</t>
  </si>
  <si>
    <t>명칭(한글)</t>
  </si>
  <si>
    <t>적용/비적용/부분적용</t>
  </si>
  <si>
    <t>비적용/부분적용 시 사유</t>
  </si>
  <si>
    <t>정의</t>
  </si>
  <si>
    <t>필요이유</t>
  </si>
  <si>
    <t>TPE-516C7</t>
  </si>
  <si>
    <t>Design criteria</t>
  </si>
  <si>
    <t>설계 기준 (Design criteria)</t>
  </si>
  <si>
    <t>엔진 설계 시 적용되는 성능, 안정성, 환경요구사항 등을 규정한 기본 문서</t>
  </si>
  <si>
    <t>개발/시험시 ‘무엇을 평가할 것인가’를 결정하는 기준</t>
  </si>
  <si>
    <t>3.1, 3.4.1</t>
  </si>
  <si>
    <t>3.1 (Design &amp; Interfaces); 3.4.1 (Structural Integrity)</t>
  </si>
  <si>
    <t>Design studies and analyses.</t>
  </si>
  <si>
    <t>설계 연구 및 해석 (Design studies and analyses)</t>
  </si>
  <si>
    <t>유한요소해석, 열해석, 유동해석 등 설계 타당성 검증 분석 보고서</t>
  </si>
  <si>
    <t>시험 전 잠재 위험요소 파악 및 시험조건 최적화</t>
  </si>
  <si>
    <t>3.2, 3.4</t>
  </si>
  <si>
    <t>3.2 (Performance &amp; Operability); 3.4 (Integrity)</t>
  </si>
  <si>
    <t>Design, installation, and operational characteristics.</t>
  </si>
  <si>
    <t>설계, 장착 및 운용 특성 (Design, installation, and operational characteristics)</t>
  </si>
  <si>
    <t>엔진이 항공기에 장착·운용될 때의 물리적·환경적 제약사항 정리</t>
  </si>
  <si>
    <t>설치·운용 매뉴얼과 시험 절차의 일치 필요</t>
  </si>
  <si>
    <t>3.1, 3.2</t>
  </si>
  <si>
    <t>3.1 (Design &amp; Installation); 3.2 (Operating Envelope)</t>
  </si>
  <si>
    <t>Engine ground and simulated altitude tests.</t>
  </si>
  <si>
    <t>엔진 지상 및 모의 고도 시험 (Engine ground and simulated altitude tests)</t>
  </si>
  <si>
    <t>지상시험벤치 및 고도챔버를 이용한 성능 평가</t>
  </si>
  <si>
    <t>고고도 작동안전성 및 성능 보증</t>
  </si>
  <si>
    <t>3.2.2.1, 3.2.2.3, 3.2.2.7</t>
  </si>
  <si>
    <t>3.2.2.1 (Operating Envelope); 3.2.2.3 (Starting); 3.2.2.7 (Transients)</t>
  </si>
  <si>
    <t>Engine design function/system compatibility tests.</t>
  </si>
  <si>
    <t>엔진 설계 기능/시스템 적합성 시험 (Engine design function/system compatibility tests)</t>
  </si>
  <si>
    <t>연료·제어·냉각 등 시스템 간 상호작용 적합성 시험</t>
  </si>
  <si>
    <t>시스템 충돌·상쇄 현상 방지</t>
  </si>
  <si>
    <t>3.3.1. 3.3.2</t>
  </si>
  <si>
    <t>System Compatibility, 3.1.1 (Item &amp; Interface Definition); 3.3.3.2/3 (EMC)</t>
  </si>
  <si>
    <t>Engine component and functional level qualification and certification tests.</t>
  </si>
  <si>
    <t>엔진 구성품 및 기능적 수준 품질검증 및 인증 시험 (Engine component and functional level qualification and certification tests)</t>
  </si>
  <si>
    <t>블레이드·컴프레서 등 부품 및 기능별 시험 결과</t>
  </si>
  <si>
    <t>부품별 신뢰성 확보</t>
  </si>
  <si>
    <t>3.4.1, 3.7</t>
  </si>
  <si>
    <t>3.4.1 (Structural Integrity); 3.7 (Subsystems)</t>
  </si>
  <si>
    <t>Electromagnetic environmental effects.</t>
  </si>
  <si>
    <t>전자기환경영향 (Electromagnetic environmental effects)</t>
  </si>
  <si>
    <t>전자파·자기장 환경에서 제어·감시시스템 영향 시험</t>
  </si>
  <si>
    <t>전자기환경 하의 오작동 방지</t>
  </si>
  <si>
    <t>3.3.3</t>
  </si>
  <si>
    <t>EMC/EMI Requirements</t>
  </si>
  <si>
    <t>Installed propulsion compatibility tests.</t>
  </si>
  <si>
    <t>장착된 추진체 호환성 시험 (Installed propulsion compatibility tests)</t>
  </si>
  <si>
    <t>엔진 단독 품질인증 수행</t>
  </si>
  <si>
    <t>실제 장착 후 추진력·진동 등 상호영향 시험</t>
  </si>
  <si>
    <t>구조·진동·열 방출 문제 방지</t>
  </si>
  <si>
    <t>3.2.2</t>
  </si>
  <si>
    <t>Installed Performance</t>
  </si>
  <si>
    <t>Acceptance test results.</t>
  </si>
  <si>
    <t>시험결과 수락기준 (Acceptance criteria for test results)</t>
  </si>
  <si>
    <t>각 시험의 합격/불합격 기준</t>
  </si>
  <si>
    <t>시험결과의 객관적 평가</t>
  </si>
  <si>
    <t>3.11 (Engine system &amp; C&amp;E verification linkage to 4.11)</t>
  </si>
  <si>
    <t>Failure modes, effects, and criticality analysis/testing (FMECA/FMET).</t>
  </si>
  <si>
    <t>고장유형, 영향 및 치명도 분석/시험 (Failure modes, effects, and criticality analysis/testing (FMECA/FMET))</t>
  </si>
  <si>
    <t>세부#3 관련사항</t>
  </si>
  <si>
    <t>잠재적 고장 모드 식별 및 심각도 평가</t>
  </si>
  <si>
    <t>위험요소 제거 및 안전성 확보</t>
  </si>
  <si>
    <t>App A.1</t>
  </si>
  <si>
    <t>Failure Modes Analysis</t>
  </si>
  <si>
    <t>Hazard analysis and classification.</t>
  </si>
  <si>
    <t>위험요소 분석 및 분류 (Hazard analysis and classification)</t>
  </si>
  <si>
    <t>운용 중 발생 가능한 위험요소 식별·등급화 보고서</t>
  </si>
  <si>
    <t>안전성 인증 로드맵 수립 및 우선순위 시험 계획</t>
  </si>
  <si>
    <t>App A.2</t>
  </si>
  <si>
    <t>Hazard Assessment</t>
  </si>
  <si>
    <t>Safety certification program.</t>
  </si>
  <si>
    <t>안전 인증 프로그램 (Safety certification program)</t>
  </si>
  <si>
    <t>전반적 안전성 인증 절차·책임·스케줄 문서</t>
  </si>
  <si>
    <t>단계별 계획 및 책임소재 확인</t>
  </si>
  <si>
    <t>System Safety Program</t>
  </si>
  <si>
    <t>Engine endurance and accelerated mission testing.</t>
  </si>
  <si>
    <t>엔진 내구성 및 가속 임무시험 (Engine endurance and accelerated mission testing)</t>
  </si>
  <si>
    <t>장시간·가속 스트레스 조건 하에서 성능·내구성 검증 시험 결과</t>
  </si>
  <si>
    <t>수명주기 밸리데이션 및 정비주기 결정</t>
  </si>
  <si>
    <t>3.4.1.1, 3.4</t>
  </si>
  <si>
    <t>3.4.1.1 (Design Service Life); 3.4 (Integrity)</t>
  </si>
  <si>
    <t>Engine and component structural and aeromechanical tests.</t>
  </si>
  <si>
    <t>엔진 및 구성품 구조적 및 항공기계 시험 (Engine and component structural and aeromechanical tests)</t>
  </si>
  <si>
    <t>진동·피로·구조강도 시험 결과 보고서</t>
  </si>
  <si>
    <t>고진동·피로환경에서 안전성 확보</t>
  </si>
  <si>
    <t>3.4.1</t>
  </si>
  <si>
    <t>Structural Integrity</t>
  </si>
  <si>
    <t>Flight test plans and results.</t>
  </si>
  <si>
    <t>비행시험 계획 및 결과 (Flight test plans and results)</t>
  </si>
  <si>
    <t>고도모사 시험으로 대체</t>
  </si>
  <si>
    <t>운용실제조건에서의 비행시험 절차 및 데이터</t>
  </si>
  <si>
    <t>지상시험으로 재현 불가한 실제 환경 성능 검증</t>
  </si>
  <si>
    <t>3.2, 3.3, 3.11</t>
  </si>
  <si>
    <t>3.2 (Performance &amp; Operability); 3.3 (Environments); 3.11</t>
  </si>
  <si>
    <t>Propulsion system integrity program (PSIP) analyses and tests.</t>
  </si>
  <si>
    <t>추진계통 건전성 프로그램 분석 및 시험 (Propulsion system integrity program analyses and tests)</t>
  </si>
  <si>
    <t>추진계통 전반의 성능 일관성·신뢰성 모니터링 자료</t>
  </si>
  <si>
    <t>연속 운용 중 건전성 보증</t>
  </si>
  <si>
    <t>3.4 (Integrity)</t>
  </si>
  <si>
    <t>Engine life management plans.</t>
  </si>
  <si>
    <t>엔진 수명관리계획 (Engine life management plans)</t>
  </si>
  <si>
    <t>시제개발 엔진임을 감안</t>
  </si>
  <si>
    <t>구성품별 사용연한·정비주기 계획 문서</t>
  </si>
  <si>
    <t>안전운용 및 비용효율적 정비계획 수립</t>
  </si>
  <si>
    <t>Life Management</t>
  </si>
  <si>
    <t>Over-speed and over-temperature tests.</t>
  </si>
  <si>
    <t>속도 및 온도초과 시험 (Over-speed and over-temperature tests)</t>
  </si>
  <si>
    <t>과속·과열 상황에서의 성능·안전성 시험 결과</t>
  </si>
  <si>
    <t>비정상 상황에서도 파손 방지</t>
  </si>
  <si>
    <t>3.4.1.6.5</t>
  </si>
  <si>
    <t>3.4.1.6.5 (Overspeed &amp; Overtemperature)</t>
  </si>
  <si>
    <t>Overall engine and component performance analyses.</t>
  </si>
  <si>
    <t>엔진성능 및 구성품 성능분석 (Overall engine and component performance analyses)</t>
  </si>
  <si>
    <t>토크·추력·유효출력 등 성능 분석 보고서</t>
  </si>
  <si>
    <t>요구성능 달성 여부 평가</t>
  </si>
  <si>
    <t>3.2.2 (Steady-state/Transient Performance)</t>
  </si>
  <si>
    <t>Flight manual.</t>
  </si>
  <si>
    <t>비행 교범 (Flight manual)</t>
  </si>
  <si>
    <t>운용·비상절차 매뉴얼</t>
  </si>
  <si>
    <t>시험절차·운용조건 일치 확인</t>
  </si>
  <si>
    <t>Operating Manuals</t>
  </si>
  <si>
    <t>Natural environmental sensitivities.</t>
  </si>
  <si>
    <t>자연환경 민감도 (Natural environmental sensitivities)</t>
  </si>
  <si>
    <t>고/저온, 고/저습도를 제외하면 상대적으로 중요도 낮음
(시제개발 엔진으로 민감/극한 측면의 환경운영 없다고 봐야 함)
필요 시 온/습도 측면의 시험을 수행하거나, 각 요소기술/부품별 환경시험데이터 제출해서 대체</t>
  </si>
  <si>
    <t>고·저온, 습도, 염분 등 환경 변화 성능 민감도 보고서</t>
  </si>
  <si>
    <t>극한환경 운용 안전성 보증</t>
  </si>
  <si>
    <t>3.3, 3.3.2</t>
  </si>
  <si>
    <t>3.3 (Atmospheric Conditions); 3.3.2 (Ingestion)</t>
  </si>
  <si>
    <t>Inlet airflow distortion/engine stability assessments and audits.</t>
  </si>
  <si>
    <t>흡입구 공기흐름 왜곡/엔진 안정성 평가 (Inlet airflow distortion/engine stability assessments)</t>
  </si>
  <si>
    <t>왜곡 패턴에서의 흡입 특성 분석</t>
  </si>
  <si>
    <t>기류 불균일에 의한 압력변동 방지</t>
  </si>
  <si>
    <t>3.2.2.11</t>
  </si>
  <si>
    <t>Inlet Distortion Tolerance</t>
  </si>
  <si>
    <t>Interface/integration control documents.</t>
  </si>
  <si>
    <t>인터페이스/통합 통제문서 (Interface/integration control documents)</t>
  </si>
  <si>
    <t>전기·기계·데이터 인터페이스 규격 문서</t>
  </si>
  <si>
    <t>호환성·상호운용성 보장</t>
  </si>
  <si>
    <t>3.1.1, 3.3.3.2</t>
  </si>
  <si>
    <t>3.1.1 (Item &amp; Interface Definition); 3.3.3.2 (Intrasystem EMC)</t>
  </si>
  <si>
    <t>Function, subfunction, and component specifications.</t>
  </si>
  <si>
    <t>기능, 하부기능 및 구성품 규격 (Function, subfunction, and component specifications)</t>
  </si>
  <si>
    <t>시스템·서브시스템·부품 규격 문서</t>
  </si>
  <si>
    <t>시험조건·허용오차 근거</t>
  </si>
  <si>
    <t>3.1, 3.7</t>
  </si>
  <si>
    <t>3.7 (Subsystems); 3.1 (Item Definition)</t>
  </si>
  <si>
    <t>Selection criteria and inlet distortion patterns selected to demonstrate inlet/engine compatibility.</t>
  </si>
  <si>
    <t>흡입구/엔진 적합성 시범용 망 기준 (Inlet screen selection criteria)</t>
  </si>
  <si>
    <t>흡입구 스크린(망) 형상·패턴 조건 명세</t>
  </si>
  <si>
    <t>왜곡·입자유입 환경 재현</t>
  </si>
  <si>
    <t>3.2.2.11 (Inlet Distortion, Fig. 13)</t>
  </si>
  <si>
    <t>Engine control system rig tests.</t>
  </si>
  <si>
    <t>엔진 제어시스템 리그 시험 (Engine control system rig tests)</t>
  </si>
  <si>
    <t>제어유닛 리그 장비 시험 결과</t>
  </si>
  <si>
    <t>모듈단위 제어성능 보증</t>
  </si>
  <si>
    <t>3.7.2</t>
  </si>
  <si>
    <t>Control System Verification</t>
  </si>
  <si>
    <t>Engine health monitoring system design reports and tests.</t>
  </si>
  <si>
    <t>엔진 건전성 감시시스템 보고서 및 시험 (Engine health monitoring system reports and tests)</t>
  </si>
  <si>
    <t>센서·알고리즘 기반 모니터링 시스템 시험 결과</t>
  </si>
  <si>
    <t>실시간 상태감시 및 예지정비 검증</t>
  </si>
  <si>
    <t>3.7.6</t>
  </si>
  <si>
    <t>Health Monitoring System</t>
  </si>
  <si>
    <t>Aircraft/engine operating limitations.</t>
  </si>
  <si>
    <t>항공기/엔진 운용 제한 (Aircraft/engine operating limitations)</t>
  </si>
  <si>
    <t>최대·최소 운용 파라미터 한계치 문서</t>
  </si>
  <si>
    <t>안전운용 범위 설정</t>
  </si>
  <si>
    <t>3.2.2.1</t>
  </si>
  <si>
    <t>3.2.2.1 (Operating Envelope &amp; Limits)</t>
  </si>
  <si>
    <t>Engine software development plan and product specifications.</t>
  </si>
  <si>
    <t>엔진 소프트웨어 개발계획 및 규격서 (Engine software development plan and specifications)</t>
  </si>
  <si>
    <t>SW 생명주기 계획·요구사항 규격 문서</t>
  </si>
  <si>
    <t>SW 안전성·형상관리 보장</t>
  </si>
  <si>
    <t>3.8.1</t>
  </si>
  <si>
    <t>3.8.1 (Software Performance &amp; Design)</t>
  </si>
  <si>
    <t>Engine software test plans, test procedures and test reports.</t>
  </si>
  <si>
    <t>엔진 소프트웨어 시험계획·절차·보고서 (Engine software test plans, procedures, reports)</t>
  </si>
  <si>
    <t>SW 단위·통합·시스템 시험 문서</t>
  </si>
  <si>
    <t>SW 기능·안정성 검증</t>
  </si>
  <si>
    <t>3.8 (Software Resources) [Verified per 4.8]</t>
  </si>
  <si>
    <t>Engine software configuration control/management plan and procedure.</t>
  </si>
  <si>
    <t>엔진 소프트웨어 형상통제/관리계획 (Engine software configuration control/management)</t>
  </si>
  <si>
    <t>SW 릴리즈·변경통제 절차</t>
  </si>
  <si>
    <t>변경 이력·검증 이력 확보</t>
  </si>
  <si>
    <t>3.8.1.1</t>
  </si>
  <si>
    <t>3.8.1.1 (Computer Reprogramming &amp; Version ID)</t>
  </si>
  <si>
    <t>Propulsion and Power Flight Clearance Plan, JSSG-2007A, Table XLVIIIb.</t>
  </si>
  <si>
    <t>추진체 및 동력비행 인가계획 (Propulsion and Power Flight Clearance Plan)</t>
  </si>
  <si>
    <t>추진·동력 비행 전 안전성 승인 절차</t>
  </si>
  <si>
    <t>비행시험 전 안전성 확보</t>
  </si>
  <si>
    <t>App B Table XLVIIIb</t>
  </si>
  <si>
    <t>Flight Clearance</t>
  </si>
  <si>
    <t>Diminishing manufacturing sources plan.</t>
  </si>
  <si>
    <t>단종 제작원 관리계획 (Diminishing manufacturing sources plan)</t>
  </si>
  <si>
    <t>시제개발 엔진임을 감안하면 상대적으로 중요도 낮음
시제개발시에는 차선책 찾아서 적용하고 그에 따른 성능하락이 최대한 없도록 조치하되, 
있으면 사유서 작성하고 처리</t>
  </si>
  <si>
    <t>부품 단종 시 대체·재고관리 계획</t>
  </si>
  <si>
    <t>장기 운용 시 부품 수급 안정성 보장</t>
  </si>
  <si>
    <t>3.1.9.3, 3.1.9.4</t>
  </si>
  <si>
    <t>Changes in vendors or fabrication process, Standardization</t>
  </si>
  <si>
    <t>Obsolete parts plan.</t>
  </si>
  <si>
    <t>단종부품 조치계획 (Obsolete parts plan)</t>
  </si>
  <si>
    <t>시제개발 엔진임을 감안하면 상대적으로 중요도 낮음
시제개발시에는 차선책 찾아서 적용하고 그에 따른 성능하락이 최대한 없도록 조치하되
있으면 사유서 작성하고 처리</t>
  </si>
  <si>
    <t>단종부품 발생 시 조사·대체·시험 계획</t>
  </si>
  <si>
    <t>중단 없는 운용 및 유지보수 보장</t>
  </si>
  <si>
    <t>3.1.3, 3.1.9.3</t>
  </si>
  <si>
    <t>Materials, processes, and parts, Changes in vendors or fabrication process</t>
  </si>
  <si>
    <t>Propulsion and Power Flight Clearance Plan (JSSG-2007A Table XLVIIIb)</t>
  </si>
  <si>
    <t>3.11 (C&amp;E Verification per 4.11); 3.12 (Qualification per 4.12)</t>
  </si>
  <si>
    <t>JSSG-2008연계</t>
  </si>
  <si>
    <t>TPE-516C15</t>
  </si>
  <si>
    <t>Safety Critical Function (SCF) Thread Analysis.</t>
  </si>
  <si>
    <t>안전 필수기능(SCF) 스레드 해석</t>
  </si>
  <si>
    <t>시스템 내 안전 필수 기능들의 처리 흐름(path)과 상호작용을 식별·분석한 문서</t>
  </si>
  <si>
    <t>각 SCF가 요구하는 타이밍, 순서, 예외 처리를 명확히 하여 시스템 안전성 입증</t>
  </si>
  <si>
    <t>4.1.2</t>
  </si>
  <si>
    <t>SW Safety Threads Analysis</t>
  </si>
  <si>
    <t>System/subsystem and safety requirement documents.</t>
  </si>
  <si>
    <t>시스템/세부계통 및 안전 요구도 문서</t>
  </si>
  <si>
    <t>전체 시스템과 각 서브시스템에 대한 기능적·안전적 요구사항을 기술한 문서</t>
  </si>
  <si>
    <t>시험 계획 및 검증 범위를 결정하고, 트레이서빌리티 확보</t>
  </si>
  <si>
    <t>System Safety Requirements</t>
  </si>
  <si>
    <t>System Processing Architecture (SPA) integration plan(s).</t>
  </si>
  <si>
    <t>SPA 통합 계획</t>
  </si>
  <si>
    <t>SPA 요소(모듈·인터페이스 등)를 통합하는 절차·일정·역할 배분 문서</t>
  </si>
  <si>
    <t>통합 시점에 발생할 수 있는 결함·충돌 방지, 상호운용성 확보</t>
  </si>
  <si>
    <t>Software–Hardware Integration</t>
  </si>
  <si>
    <t>SPA architectural drawings/diagrams.</t>
  </si>
  <si>
    <t>SPA 아키텍처 도면/다이어그램</t>
  </si>
  <si>
    <t>처리 요소 간 데이터 흐름 및 제어 흐름을 시각화한 다이어그램</t>
  </si>
  <si>
    <t>복잡한 구조 이해, 검증 범위 식별, 설계 변경 영향도 분석</t>
  </si>
  <si>
    <t>4.1.1</t>
  </si>
  <si>
    <t>Architectural Models</t>
  </si>
  <si>
    <t>SPA design descriptions.</t>
  </si>
  <si>
    <t>SPA 설계 명세서</t>
  </si>
  <si>
    <t>각 SPA 컴포넌트의 기능·인터페이스·알고리즘 등 상세 설명서</t>
  </si>
  <si>
    <t>코드 구현·테스트 케이스 설계의 근거 자료</t>
  </si>
  <si>
    <t>4.1.3</t>
  </si>
  <si>
    <t>Module Design Descriptions</t>
  </si>
  <si>
    <t>SPA Interface Control Documents (ICDs).</t>
  </si>
  <si>
    <t>SPA 인터페이스 통제 문서 (ICD)</t>
  </si>
  <si>
    <t>모듈 간, HW-SW 간 인터페이스 사양을 정의한 제어 문서</t>
  </si>
  <si>
    <t>통신 오류 방지, 버전 관리, 상호운용성 보장</t>
  </si>
  <si>
    <t>3.1.1</t>
  </si>
  <si>
    <t>Interface Requirements</t>
  </si>
  <si>
    <t>ICD Verification Procedures</t>
  </si>
  <si>
    <t>Hardware requirements specifications.</t>
  </si>
  <si>
    <t>하드웨어 요구도 명세서</t>
  </si>
  <si>
    <t>전기·기계·환경 등 HW에 대한 동작·성능 요구사항 문서</t>
  </si>
  <si>
    <t>HW 시험 스펙 결정, 환경시험(진동·온도 등) 범위 설정</t>
  </si>
  <si>
    <t>HW Safety Criteria</t>
  </si>
  <si>
    <t>Software requirements specifications.</t>
  </si>
  <si>
    <t>소프트웨어 요구도 명세서</t>
  </si>
  <si>
    <t>기능·성능·안전·보안 등 SW 요구사항을 정의한 문서</t>
  </si>
  <si>
    <t>Regression Test, Verification Plan 작성의 핵심 근거</t>
  </si>
  <si>
    <t>Software resources</t>
  </si>
  <si>
    <t>3.1.2</t>
  </si>
  <si>
    <t>SW Functional Requirements</t>
  </si>
  <si>
    <t>Hardware and software ICDs and bus ICDs.</t>
  </si>
  <si>
    <t>HW/SW 및 버스 ICD</t>
  </si>
  <si>
    <t>HW-SW, 모듈-모듈, 버스 레벨 통신 사양 문서 집합</t>
  </si>
  <si>
    <t>통신 신호 정의, 전기적·논리적 호환성 증명</t>
  </si>
  <si>
    <t>4.3.1</t>
  </si>
  <si>
    <t>Bus Protocol Verification</t>
  </si>
  <si>
    <t>Hardware development process documentation.</t>
  </si>
  <si>
    <t>하드웨어 개발 프로세스 문서</t>
  </si>
  <si>
    <t>HW 개발 단계별 절차·검토·승인 흐름 문서</t>
  </si>
  <si>
    <t>형상관리, 변경 관리, 품질 보증 이력 확보</t>
  </si>
  <si>
    <t>HW Process Integrity</t>
  </si>
  <si>
    <t>Software development plans (SDPs) and/or software development integrity master plan (SDIMP).</t>
  </si>
  <si>
    <t>소프트웨어 개발 계획 (SDP/SDIMP)</t>
  </si>
  <si>
    <t>SW 개발 조직·절차·검증·형상관리 계획 문서</t>
  </si>
  <si>
    <t>개발 프로세스 일관성 확보, 안전 무결성 증명</t>
  </si>
  <si>
    <t>4.4.1</t>
  </si>
  <si>
    <t>SW Integrity Master Plan</t>
  </si>
  <si>
    <t>Configuration management plans and data.</t>
  </si>
  <si>
    <t>형상관리 계획 및 데이터</t>
  </si>
  <si>
    <t>변경 통제 정책·절차 및 버전별 산출물 이력 기록</t>
  </si>
  <si>
    <t>추적성 보장, 변경 시 안전 영향도 분석 근거</t>
  </si>
  <si>
    <t>Configuration Control</t>
  </si>
  <si>
    <t>Quality assurance plans and audits.</t>
  </si>
  <si>
    <t>품질검증 계획 및 감사보고서</t>
  </si>
  <si>
    <t>QA 활동 계획 및 내부/외부 감사 결과 보고서</t>
  </si>
  <si>
    <t>계획 대비 수행 실적 확인, 개선점 도출</t>
  </si>
  <si>
    <t>QA Process Verification</t>
  </si>
  <si>
    <t>Failure Modes Effects Analysis (FMEA) and/or Failure Modes, Effects and Criticality Analysis (FMECA) (or equivalent).</t>
  </si>
  <si>
    <t>FMEA/FMECA</t>
  </si>
  <si>
    <t>고장 모드·영향·치명도 분석을 통해 위험요소 식별 문서</t>
  </si>
  <si>
    <t>안전 요구도 파생, 시험 범위 결정</t>
  </si>
  <si>
    <t>FMEA Procedures</t>
  </si>
  <si>
    <t>Failure Modes and Effects Testing (FMET) plans, procedures and reports (or equivalent).</t>
  </si>
  <si>
    <t>FMET 계획·절차·보고서</t>
  </si>
  <si>
    <t>고장유형 영향시험 시험 계획서·수행 절차서·결과 보고서</t>
  </si>
  <si>
    <t>실제 시험으로 영향도 검증</t>
  </si>
  <si>
    <t>FMET Methods</t>
  </si>
  <si>
    <t>Various technical analyses and studies</t>
  </si>
  <si>
    <t>여러 기술분석 및 연구</t>
  </si>
  <si>
    <t>공통 모드·SEU·지연시간·BIT·인터페이스 연동 등 상세 분석 보고서</t>
  </si>
  <si>
    <t>다양한 고장·위험 조건에서의 시스템 동작 보증</t>
  </si>
  <si>
    <t>Ancillary Safety Studies</t>
  </si>
  <si>
    <t>Hardware diagrams and drawings.</t>
  </si>
  <si>
    <t>하드웨어 다이어그램 및 도면</t>
  </si>
  <si>
    <t>PCB, 회로, 기구부 등 HW 구성 상세 도면</t>
  </si>
  <si>
    <t>물리적 구성 확인, EMI/EMC 시험 기준 설정</t>
  </si>
  <si>
    <t>Mechanical Drawings Review</t>
  </si>
  <si>
    <t>Software design documents.</t>
  </si>
  <si>
    <t>소프트웨어 설계 문서</t>
  </si>
  <si>
    <t>모듈 구조·데이터 구조·알고리즘 설명 포함 설계 명세서</t>
  </si>
  <si>
    <t>코드 검증·코드 리뷰·정적분석 도구 설정</t>
  </si>
  <si>
    <t>Software Design Artefacts</t>
  </si>
  <si>
    <t>Design review minutes.</t>
  </si>
  <si>
    <t>설계 검토 회의록</t>
  </si>
  <si>
    <t>설계 각 단계별 검토 회의에서 논의·결정된 사항 기록</t>
  </si>
  <si>
    <t>의사결정 이력·변경 이력·미해결 이슈 추적</t>
  </si>
  <si>
    <t>Peer Review Records</t>
  </si>
  <si>
    <t>Safety interlock design thread analysis.</t>
  </si>
  <si>
    <t>안전 인터록 설계 스레드 분석</t>
  </si>
  <si>
    <t>비행운용까지 하지 않는 엔진 단독인증이므로 필요하지 않음</t>
  </si>
  <si>
    <t>인터록 기능 스레드를 분석하여 입력→제어→출력 흐름 문서화</t>
  </si>
  <si>
    <t>안전 차단 로직 검증, Race Condition 방지</t>
  </si>
  <si>
    <t>4.1.4</t>
  </si>
  <si>
    <t>Interlock Validation</t>
  </si>
  <si>
    <t>Detailed software process guidelines such as software coding standards, prohibited coding techniques.</t>
  </si>
  <si>
    <t>소프트웨어 절차 상세 지침서</t>
  </si>
  <si>
    <t>코딩 표준·금지 기법·리뷰 절차 등 SW 개발 지침 모음</t>
  </si>
  <si>
    <t>코드 품질·안정성 확보, 툴 기반 검증 일관성</t>
  </si>
  <si>
    <t>Prohibited Practices</t>
  </si>
  <si>
    <t>Software integration plan(s).</t>
  </si>
  <si>
    <t>소프트웨어 통합 계획</t>
  </si>
  <si>
    <t>통합 전략·순서·환경·테스트 절차 기술 계획서</t>
  </si>
  <si>
    <t>모듈 상호작용 이상 여부 검증, 회귀 테스트 범위 결정</t>
  </si>
  <si>
    <t>4.3.2</t>
  </si>
  <si>
    <t>Integration Test Planning</t>
  </si>
  <si>
    <t>Hardware and software test plans, procedures, and reports.</t>
  </si>
  <si>
    <t>HW/SW 시험 계획·절차·보고서</t>
  </si>
  <si>
    <t>단위·통합·시스템 시험 계획서·절차서·결과 보고서 일체</t>
  </si>
  <si>
    <t>요구도 대비 검증 완료 사실 입증</t>
  </si>
  <si>
    <t>Verification Test Procedures</t>
  </si>
  <si>
    <t>Software regression testing policy at software and system level.</t>
  </si>
  <si>
    <t>소프트웨어 (재검증/회귀) 시험 정책</t>
  </si>
  <si>
    <t>통합 및 시스템 수준 회귀시험 정책·절차</t>
  </si>
  <si>
    <t>변경 후 기존 기능 안정성 보장</t>
  </si>
  <si>
    <t>4.3.3</t>
  </si>
  <si>
    <t>Regression Testing Guidelines</t>
  </si>
  <si>
    <t xml:space="preserve">Computer resources utilization analyses and metrics </t>
  </si>
  <si>
    <t>컴퓨터 자원 활용 분석 및 매트릭스</t>
  </si>
  <si>
    <t>CPU·버스·메모리 사용량 분석 및 정량적 지표 문서</t>
  </si>
  <si>
    <t>실시간 성능 보장, 과부하 조건 검증</t>
  </si>
  <si>
    <t>Resource Utilization Verification</t>
  </si>
  <si>
    <t>Version description documents for each software configuration item.</t>
  </si>
  <si>
    <t>각 소프트웨어 형상항목별 버전 명세서</t>
  </si>
  <si>
    <t>모듈·라이브러리·툴체인 등 구성 항목별 버전 기록</t>
  </si>
  <si>
    <t>호환성 검증, 변경 추적, 재현성 확보</t>
  </si>
  <si>
    <t>4.5.1</t>
  </si>
  <si>
    <t>Configuration Item Records</t>
  </si>
  <si>
    <t>Software/Operational Flight Program (OFP) build plans.</t>
  </si>
  <si>
    <t>소프트웨어/비행운용 프로그램 빌드 계획</t>
  </si>
  <si>
    <t>OFP 포함 SW 이미지 생성 절차·환경·스크립트 문서</t>
  </si>
  <si>
    <t>빌드 일관성·재현성·보안성 보장</t>
  </si>
  <si>
    <t>4.4.2</t>
  </si>
  <si>
    <t>Flight Program Build Procedures</t>
  </si>
  <si>
    <t>Software load process and procedures.</t>
  </si>
  <si>
    <t>소프트웨어 설치 프로세스 및 절차</t>
  </si>
  <si>
    <t>HW에 SW를 로드하는 절차·도구·검증 단계 설명서</t>
  </si>
  <si>
    <t>배포 안전성 확보, 무결성 체크</t>
  </si>
  <si>
    <t>4.4.3</t>
  </si>
  <si>
    <t>Software Load Verification</t>
  </si>
  <si>
    <t>Validation evidence for verification tools and models.</t>
  </si>
  <si>
    <t>검증 도구 및 모델에 대한 확인증거</t>
  </si>
  <si>
    <t>검증 도구·시뮬레이션 모델의 유효성 확인 자료</t>
  </si>
  <si>
    <t>도구 결과 신뢰성 확보, 모델 기반 시험 근거</t>
  </si>
  <si>
    <t>4.6.1</t>
  </si>
  <si>
    <t>Model Validation Records</t>
  </si>
  <si>
    <t>Reports from problem report databases (system and software level).</t>
  </si>
  <si>
    <t>문제보고 데이터베이스 보고서</t>
  </si>
  <si>
    <t>시스템·SW 결함·이슈 추적 기록에서 추출한 보고서</t>
  </si>
  <si>
    <t>발견된 결함과 조치 이력 확인, 미해결 이슈 집중 관리</t>
  </si>
  <si>
    <t>4.7.1</t>
  </si>
  <si>
    <t>Problem Report Processes</t>
  </si>
  <si>
    <t>Technical manuals (e.g., Technical Orders, Flight Manuals, Operator's Manuals, NATOPS).</t>
  </si>
  <si>
    <t>기술 교범 (Technical Manuals), 
지상 및 비행시험 계획 및
결과보고서, 비행허가 절차 문서</t>
  </si>
  <si>
    <t>운용·정비·교관용 매뉴얼(TO, FM, OM 등) 문서집, 
지상·비행 시험의 계획서·절차서·결과 보고서, 
시험비행 허가 취득 절차·조건·승인 문서</t>
  </si>
  <si>
    <t>실제 운용 환경 검증, Human-Machine Interface 시험 근거,
전체 시스템 성능·안전성 실증, 인증 시험 근거, 
법규·규정 준수, 시험비행 일정 관리</t>
  </si>
  <si>
    <t>3.8
4.8.1
4.9</t>
  </si>
  <si>
    <t>Flight Test Reporting, 
Technical Orders Validation, 
Test Flight Authorization</t>
  </si>
  <si>
    <t>Various technical analyses and studies (e.g., common mode analysis, Single Event Upset (SEU) vulnerability analysis, latency analysis, Built-In-Test (BIT) coverage analysis, interface coupling analysis, transient analysis, source data analysis, safety interlock design analysis, traceability analysis, reports from code analysis tools)</t>
  </si>
  <si>
    <t>Computer resources utilization analyses and metrics (e.g. processor throughput, data bus throughput, memory utilization, memory throughput).</t>
  </si>
  <si>
    <t>장절</t>
  </si>
  <si>
    <t>장절세부</t>
  </si>
  <si>
    <t>요구사항</t>
  </si>
  <si>
    <t>검증방안</t>
  </si>
  <si>
    <t>TPE-8593A</t>
  </si>
  <si>
    <t>항목 정의 (Item Definition): 엔진의 주요 특징(압축기, 연소기, 터빈 등)에 대한 간략한 설명을 제공해야 합니다.</t>
  </si>
  <si>
    <t>4.2 품질 적합성 검사(Quality Conformance Inspections) 및 4.3.5.1 사전 시험 데이터(Pretest Data) 제출 단계에서, 엔진 사양서와 관련 도면이 요구사항을 모두 포함하고 있는지 문서 검토 및 분석을 통해 확인합니다.</t>
  </si>
  <si>
    <t>JSSG 3.1.1 Item and interface definition.</t>
  </si>
  <si>
    <t>항목 다이어그램 (Item Diagrams): 사용 부서의 요구 시 항목 다이어그램을 제공해야 합니다.</t>
  </si>
  <si>
    <t>문서 검토: 제출된 엔진 사양서 및 관련 문서에 요구된 다이어그램이 포함되어 있는지 품질 적합성 검사(4.2) 중에 확인합니다.</t>
  </si>
  <si>
    <t>JSSG 3.1.1.1 Interface and installation (엔진-기체 접속도 제공).</t>
  </si>
  <si>
    <t>인터페이스 정의 (Interface Definition): 엔진 설치에 필요한 모든 물리적 및 성능 요구사항을 포함합니다.</t>
  </si>
  <si>
    <t>문서 검토 및 분석: 엔진 사양서에 인터페이스 정의가 명확하게 기술되어 있는지 품질 적합성 검사(4.2)를 통해 확인합니다.</t>
  </si>
  <si>
    <t>JSSG 3.1.1.1 Interface and installation (설치시 필요한 요구사항 명시).</t>
  </si>
  <si>
    <t>3.1.2.1</t>
  </si>
  <si>
    <t>도면 (Drawings): 엔진 구성 및 외피 도면과 전기 설비 연결 도면을 포함해야 합니다.</t>
  </si>
  <si>
    <t>문서 검토: 제출된 엔진 사양서에 해당 도면들이 포함되어 있는지 품질 적합성 검사(4.2) 중에 확인합니다.</t>
  </si>
  <si>
    <t>JSSG 3.1.1.1 Interface and installation (엔진 설치/연결 도면 명시).</t>
  </si>
  <si>
    <t>3.1.2.2</t>
  </si>
  <si>
    <t>모형 (Mock-up): 사용 부서의 요구 시, 실물 크기의 모형을 제작하고 검사를 받아야 합니다.</t>
  </si>
  <si>
    <t>물리적 검사: 모형이 제작되었을 경우, ANA Bulletin No. 406에 따라 모형 검사를 수행하여 검증합니다.</t>
  </si>
  <si>
    <t>해당 없음 (JSSG에 모형 요구사항 없음).</t>
  </si>
  <si>
    <t>3.1.2.3</t>
  </si>
  <si>
    <t>설치 인터페이스 (Installation Interfaces): 엔진 설치에 영향을 미치는 특징들은 엔진 사양서에 명시되고 정의되어야 합니다.</t>
  </si>
  <si>
    <t>문서 검토: 엔진 사양서의 설치 인터페이스 정의를 품질 적합성 검사(4.2)를 통해 확인합니다.</t>
  </si>
  <si>
    <t>JSSG 3.1.1.14 Compatibility – engine and air vehicle.</t>
  </si>
  <si>
    <t>3.1.2.4</t>
  </si>
  <si>
    <t>관성 모멘트 (Moments of Inertia): 엔진의 건조 상태, 각 로터 시스템, 동력 출력 시스템의 질량 관성 모멘트를 사양서에 명시해야 합니다.</t>
  </si>
  <si>
    <t>분석 및 문서 검토: 계약자가 제출한 분석 데이터를 검토하여 사양서에 명시된 값의 타당성을 확인합니다.</t>
  </si>
  <si>
    <t>JSSG 3.1.2.2 Mass moment of inertia of complete engine.</t>
  </si>
  <si>
    <t>3.1.2.5</t>
  </si>
  <si>
    <t>외부 적용 힘 (Externally Applied Forces): 명시된 힘을 영구 변형 없이 견디고, 1.5배의 정적 하중에서 파손되지 않아야 합니다.</t>
  </si>
  <si>
    <t>4.6.6.6 엔진 마운트 및 외부 하중 시험 (Engine Mount and Externally Applied Loads Test): 엔진 마운트와 구조물에 한계 하중 및 극한 하중(한계 하중의 1.5배)을 직접 가하여 검증합니다.</t>
  </si>
  <si>
    <t>JSSG 3.1.1.4.1 Main mounts (탄성한계하중 영구변형 없음, 극한하중 1.5배 파손 없음).</t>
  </si>
  <si>
    <t>3.1.2.5.1</t>
  </si>
  <si>
    <t>자이로스코프 모멘트 (Gyroscopic Moments): 특정 각속도와 하중 계수 하에서 만족스럽게 작동해야 합니다.</t>
  </si>
  <si>
    <t>분석 및 간접 검증: 제출된 구조 해석 보고서(3.1.2.5)를 검토하고, 4.6.1 내구성 시험 중 비정상 진동이나 성능 저하가 없는지 모니터링하여 확인합니다.</t>
  </si>
  <si>
    <t>JSSG 3.4.1.6.10 Gyroscopic moments.</t>
  </si>
  <si>
    <t>3.1.2.5.2</t>
  </si>
  <si>
    <t>엔진 프로펠러 하중 (Engine Propeller Loads): 프로펠러 사용 시 최대 허용 모멘트와 하중을 명시해야 합니다.</t>
  </si>
  <si>
    <t>분석 및 문서 검토: PFRT 이전에 제출하는 상세 구조 해석 보고서(3.1.2.5)에 프로펠러 하중 분석이 포함되어 있는지 검토하여 검증합니다.</t>
  </si>
  <si>
    <t>JSSG 3.1.1.9 Power absorber interface (프로펠러 등 동력흡수장치 특성 범위 정의).</t>
  </si>
  <si>
    <t>3.1.2.6</t>
  </si>
  <si>
    <t>엔진 마운트 (Engine Mounts): 위치, 치수, 최대 허용 하중을 도면에 표시해야 합니다.</t>
  </si>
  <si>
    <t>4.6.6.6 엔진 마운트 및 외부 하중 시험 (Engine Mount and Externally Applied Loads Test) 및 도면 검토를 통해 검증합니다.</t>
  </si>
  <si>
    <t>JSSG 3.1.1.4.1 Main mounts (마운트 위치 및 허용하중 도면 지정).</t>
  </si>
  <si>
    <t>3.1.2.6.1</t>
  </si>
  <si>
    <t>지상 취급 마운트 (Ground Handling Mounts): 특정 중력 가속도 하중(축 4g, 측면 2g, 수직 3g)을 견뎌야 합니다.</t>
  </si>
  <si>
    <t>4.6.6.7 지상 취급 마운트 시험 (Ground Handling Mounts Test): 명시된 하중을 각 마운트에 정적으로 가하여 영구 변형이 없는지 직접 확인합니다.</t>
  </si>
  <si>
    <t>JSSG 3.1.1.4.2 Ground handling mounts (지상 운반하중 조건 견딤).</t>
  </si>
  <si>
    <t>3.1.2.6.2</t>
  </si>
  <si>
    <t>엔진 강성 (Engine Stiffness): 예상 강성을 사양서에 명시해야 합니다.</t>
  </si>
  <si>
    <t>JSSG 3.1.1.4.3 Engine stiffness.</t>
  </si>
  <si>
    <t>3.1.2.7</t>
  </si>
  <si>
    <t>패드 및 드라이브 (Pads and Drives): 지정된 규격을 따라야 합니다.</t>
  </si>
  <si>
    <t>4.5.1.3 PFRT 내구성 시험 및 4.6.1.3 QT 내구성 시험 동안, 모든 액세서리 구동 패드에 정격 하중과 오버헝 모멘트를 가하여 장시간 작동 성능을 검증합니다.</t>
  </si>
  <si>
    <t>JSSG 3.1.1.10 Power take-off (PTO) pads and drives.</t>
  </si>
  <si>
    <t>3.1.2.7.1</t>
  </si>
  <si>
    <t>동력 인출 장치 (Power Take-off, PTO): 관련 정격, 치수 등을 사양서에 명시해야 합니다.</t>
  </si>
  <si>
    <t>4.5.1.3 PFRT 내구성 시험 및 4.6.1.3 QT 내구성 시험 중 PTO에 정격 하중과 오버헝 모멘트를 가하여 장시간 작동시켜 성능을 검증합니다.</t>
  </si>
  <si>
    <t>3.1.2.8</t>
  </si>
  <si>
    <t>엔진 표면 온도 및 열 방출 (Engine Surface Temperature and Heat Rejection): 최대 표면 온도와 열 방출률을 명시해야 합니다.</t>
  </si>
  <si>
    <t>4.4.2 엔진 열 방출 및 오일 냉각 시험 (Engine Heat Rejection and Oil Cooling): 다양한 조건 하에 엔진 각부의 표면 온도와 열 방출률을 직접 측정하고, 보고서의 분석 데이터와 비교하여 검증합니다.</t>
  </si>
  <si>
    <t>JSSG 3.2.2.13 Surface temperature and heat rejection.</t>
  </si>
  <si>
    <t>3.1.2.8.1</t>
  </si>
  <si>
    <t>엔진 구성 요소 제한 온도 (Engine Component Limiting Temperature): 특정 조건에서 허용 온도를 초과해서는 안 됩니다.</t>
  </si>
  <si>
    <t>4.4.2 엔진 열 방출 및 오일 냉각 시험 중에 구성 요소의 표면 온도를 직접 측정하여 허용 한계 이내인지 검증합니다.</t>
  </si>
  <si>
    <t>JSSG 3.2.2.13.1 Controls and external components limiting temperatures.</t>
  </si>
  <si>
    <t>3.1.2.8.2</t>
  </si>
  <si>
    <t>열 방출 및 냉각 테스트 보고서 (Heat Rejection and Cooling Test Report): PFRT 전에 테스트 기반 보고서를 제출해야 합니다.</t>
  </si>
  <si>
    <t>문서 제출 및 검토: PFRT 시작 전 보고서 제출 여부를 확인하고, 4.4.2 시험의 결과가 보고서 내용과 일치하는지 검토합니다.</t>
  </si>
  <si>
    <t>3.1.2.9</t>
  </si>
  <si>
    <t>공기 및 가스 누출 (Air and Gas Leakage): 누출 위치, 양, 온도, 압력을 명시해야 하며 안전 위험이 없어야 합니다.</t>
  </si>
  <si>
    <t>4.5.1.2.3 엔진 교정 중, 요구사항 3.3.6.4에 명시된 누출 한계(분당 5 cm³ 이하)를 준수하는지 시연하여 검증합니다.</t>
  </si>
  <si>
    <t>JSSG 3.1.8.5 Air and gas leakage.</t>
  </si>
  <si>
    <t>3.1.2.10</t>
  </si>
  <si>
    <t>3.1.2.10.1 &amp; 3.1.2.10.2</t>
  </si>
  <si>
    <t>공기 흡입구 설계, 치수, 허용 응력.</t>
  </si>
  <si>
    <t>문서 검토 및 4.3.4.2 시험 조건에 따라, 4.6.1 내구성 시험 및 4.6.6.6 외부 하중 시험 중 흡입 덕트 연결부에 명시된 하중을 가하여 구조적 건전성을 검증합니다.</t>
  </si>
  <si>
    <t>JSSG 3.2.2.11 Inlet airflow distortion.</t>
  </si>
  <si>
    <t>3.1.2.10.3</t>
  </si>
  <si>
    <t>흡입 공기 흐름 왜곡 한계 (Inlet Airflow Distortion Limits): 압축기 서지나 실속은 허용되지 않습니다.</t>
  </si>
  <si>
    <t>4.6.4.2 흡입 공기 흐름 왜곡 시험 (Inlet Airflow Distortion Test): 의도적으로 왜곡된 공기 흐름을 생성하고, 25시간의 내구성 시험 동안 엔진의 안정성을 직접 평가합니다.</t>
  </si>
  <si>
    <t>3.1.2.10.4</t>
  </si>
  <si>
    <t>압력 및 온도 변화율 (Rate of Pressure and Temperature Change): 최대 변화율을 사양서에 명시해야 합니다.</t>
  </si>
  <si>
    <t>4.6.4.1 급격한 압력 및 온도 변화 시험 (Abrupt Pressure and Temperature Change Test): 2초 이내에 흡입구 압력과 온도를 급격히 변경시켜 엔진의 반응을 확인하여 검증합니다.</t>
  </si>
  <si>
    <t>JSSG 3.2.2.12 Rate of pressure and temperature change.</t>
  </si>
  <si>
    <t>3.1.2.10.5</t>
  </si>
  <si>
    <t>무장 가스 흡입 (Armament Gas Ingestion): 무장 가스를 흡입해도 안정적으로 작동해야 합니다.</t>
  </si>
  <si>
    <t>4.6.4.8 무장 가스 흡입 시험 (Armament Gas Ingestion Test): 로켓 모터를 발사하여 생성된 가스를 엔진에 흡입시켜 실속, 서지, 화염 소실이 발생하는지 확인하여 검증합니다.</t>
  </si>
  <si>
    <t>JSSG 3.3.2.6 Armament gas ingestion</t>
  </si>
  <si>
    <t>3.1.2.11</t>
  </si>
  <si>
    <t>공기 추출 시스템 (Air Bleed System): 항공기용 공기를 추출할 수 있도록 제공해야 합니다.</t>
  </si>
  <si>
    <t>4.4.1 고객 공기 추출 시험 (Customer Air Bleed Test): 다양한 조건에서 공기 추출량, 압력, 온도를 직접 측정하여 검증합니다.</t>
  </si>
  <si>
    <t>JSSG 3.1.1.7 Bleed air interface.</t>
  </si>
  <si>
    <t>3.1.2.11.1</t>
  </si>
  <si>
    <t>허용 추출 연결 하중 (Allowable Bleed Connection loads): 최대 허용 하중을 사양서에 명시해야 합니다.</t>
  </si>
  <si>
    <t>4.3.4.3 시험 조건에 따라 4.6.1 내구성 시험 및 4.6.6.6 외부 하중 시험 중 공기 추출 연결부에 명시된 하중을 가하여 검증합니다.</t>
  </si>
  <si>
    <t>해당 없음 (JSSG에 블리드 포트 연결부 하중에 대한 명시적 요구사항 없음).</t>
  </si>
  <si>
    <t>3.1.2.11.2</t>
  </si>
  <si>
    <t>시동 및 가속 공기 추출 (Start and Acceleration Air Bleed): 관련 공기 흐름 조건을 사양서에 명시해야 합니다.</t>
  </si>
  <si>
    <t>4.4.1 고객 공기 추출 시험을 통해 엔진 시스템용과 고객용 공기 추출량을 구분하여 검증합니다.</t>
  </si>
  <si>
    <t>JSSG 3.1.1.7 Bleed air interface (가속/시동 블리드 포트 용량 명시).</t>
  </si>
  <si>
    <t>3.1.2.11.3</t>
  </si>
  <si>
    <t>추출 공기 오염 (Bleed Air Contamination): 엔진 발생 물질이 지정된 한계 값을 초과해서는 안 됩니다.</t>
  </si>
  <si>
    <t>4.5.1.2.3.1 고객 추출 공기 분석 (Customer Bleed Air Analysis): 최대 연속 출력 운전 중 각 추출 포트에서 공기 샘플을 채취하고, 실험실 분석을 통해 오염 물질 농도를 검증합니다.</t>
  </si>
  <si>
    <t>JSSG 3.1.1.7.1 Customer bleed air contamination.</t>
  </si>
  <si>
    <t>3.1.2.12</t>
  </si>
  <si>
    <t>레이더 단면적 (Radar Cross Section): 최대 RCS를 사양서에 명시해야 합니다.</t>
  </si>
  <si>
    <t>4.6.9 레이더 단면적 시험 (Radar Cross Section Test): 지정된 주파수와 각도 범위에서 엔진의 전방 및 후방 RCS를 직접 측정하여 검증합니다.</t>
  </si>
  <si>
    <t>JSSG 3.6.1.7 Radar cross-section</t>
  </si>
  <si>
    <t>3.1.2.13</t>
  </si>
  <si>
    <t>연결부 (Connections): 영구적으로 표시되고 물리적으로 상호 교환이 불가능해야 합니다.</t>
  </si>
  <si>
    <t xml:space="preserve">PFRT 및 QT 전후의 4.5.1.5 엔진 분해 및 검사 (Engine Disassembly and Inspection) 시, 모든 연결부의 마킹 상태와 비호환 설계를 물리적으로 확인합니다.    </t>
  </si>
  <si>
    <t>JSSG 3.1.9.2 Assembly of components and parts (오류 조립 불가 설계 및 식별 표기).</t>
  </si>
  <si>
    <t>3.1.2.14</t>
  </si>
  <si>
    <t>샤프트 동력 흡수 장치 (Shaft Power Absorber): 동력 흡수 장치와의 만족스러운 작동에 책임이 있습니다.</t>
  </si>
  <si>
    <t>4.5.1.2.4 터보프롭 교정 (Turboprop Calibration) 및 4.5.1.4.4 터보프롭 재교정을 통해 동력 흡수 장치와의 통합 운용 성능을 검증합니다.</t>
  </si>
  <si>
    <t>JSSG 3.1.1.9 Power absorber interface.</t>
  </si>
  <si>
    <t>3.1.2.14.1</t>
  </si>
  <si>
    <t>동력 흡수 장치-엔진 인터페이스 특성 (Power Absorber to Engine Interface Characteristics): 허용 특성 범위를 정의해야 합니다.</t>
  </si>
  <si>
    <t>문서 검토: 사양서에 해당 내용이 명확하게 정의되어 있는지 확인합니다.</t>
  </si>
  <si>
    <t>3.1.2.14.2</t>
  </si>
  <si>
    <t>수동 페더링 (Manual Feathering): 수동 페더링을 견뎌야 합니다.</t>
  </si>
  <si>
    <t>4.5.1.2.4 터보프롭 교정 중에 수동 페더링을 시연하여 엔진의 반응과 구조적 안정성을 평가하여 검증합니다.</t>
  </si>
  <si>
    <t>JSSG 3.7.15.1 Propeller feathering and reverse pitch.</t>
  </si>
  <si>
    <t>3.1.2.14.3</t>
  </si>
  <si>
    <t>역피치 작동 (Reverse Pitch Operation): 역피치 상태에서 작동해야 합니다.</t>
  </si>
  <si>
    <t>4.5.1.3.d 역피치 작동 실행에서, 9분간의 시험 사이클을 통해 검증합니다.</t>
  </si>
  <si>
    <t>3.1.3 ~ 3.1.5</t>
  </si>
  <si>
    <t>주요 구성 요소 목록, 정부 제공/대여 자산 목록.</t>
  </si>
  <si>
    <t>문서 검토 및 4.2 품질 적합성 검사를 통해 제출된 문서가 요구사항을 만족하는지 확인합니다.</t>
  </si>
  <si>
    <t>JSSG 3.1.1.15 Control and external components list (주요 구성품 목록 명시) 및 JSSG 3.1.7 Interchangeability (정부 제공품 활용).</t>
  </si>
  <si>
    <t>3.2.1</t>
  </si>
  <si>
    <t>성능 특성 (Performance Characteristics): 사양서에 정의된 성능은 가장 성능이 낮은 엔진을 기준으로 해야 합니다.</t>
  </si>
  <si>
    <t>4.5.1.2.3 엔진 교정, 4.5.3 고도 시험 및 해당 QT 파트에서 실제 성능을 측정하고, **재교정(4.5.1.4.1)**을 통해 성능 저하율이 허용치 이내인지 최종 확인합니다.</t>
  </si>
  <si>
    <t>JSSG 3.2.1.1 Steady-state performance (최소/열화 성능을 기준으로 정의).</t>
  </si>
  <si>
    <t>3.2.1.1</t>
  </si>
  <si>
    <t>성능 등급 (Performance Ratings): 표 I 및 II에 따라 명시되어야 합니다.</t>
  </si>
  <si>
    <t>4.5.1.2.3 및 4.6.1.2.3 엔진 교정에서 각 정격 지점의 성능을 직접 측정하여 사양서 값과 비교합니다.</t>
  </si>
  <si>
    <t>JSSG 3.2.1.1 Steady-state performance (정격별 최소 성능값을 표와 프로그램으로 명시).</t>
  </si>
  <si>
    <t>3.2.1.2</t>
  </si>
  <si>
    <t>성능 표현 - 정상 상태 (Performance Presentation Steady-State): 표준일 곡선과 컴퓨터 프로그램 형태로 제공되어야 합니다.</t>
  </si>
  <si>
    <t>4.5.1.2.3 엔진 교정 및 4.5.3 고도 시험에서 측정한 실제 데이터를 컴퓨터 프로그램 예측값과 비교하여 검증합니다.</t>
  </si>
  <si>
    <t>JSSG 3.2.1.3 Performance computer program (성능 곡선 및 프로그램 제공).</t>
  </si>
  <si>
    <t>3.2.1.2.1</t>
  </si>
  <si>
    <t>성능 표현 - 디지털 컴퓨터 프로그램 (Performance Presentation Digital Computer Program): 엔진 사양의 일부를 구성합니다.</t>
  </si>
  <si>
    <t>3.2.1.3에 따라 제출된 검증 방법론을 검토하고, 4.5.3 고도 시험 등의 실제 데이터로 프로그램의 정확성을 검증합니다.</t>
  </si>
  <si>
    <t>JSSG 3.2.1.3 Performance computer program.</t>
  </si>
  <si>
    <t>3.2.1.2.2</t>
  </si>
  <si>
    <t>성능 곡선 (Performance Curves): 해수면 및 특정 고도에 대한 곡선을 제공해야 합니다.</t>
  </si>
  <si>
    <t>문서 검토 및 4.2 품질 적합성 검사를 통해 사양서 포함 여부를 확인하고, 4.5.1.2.3 및 4.5.3 시험의 실제 데이터와 일치하는지 확인합니다.</t>
  </si>
  <si>
    <t>3.2.1.3</t>
  </si>
  <si>
    <t>성능 검증 (Performance Verification): 검증 방법은 PFRT 시작 전 승인을 받아야 합니다.</t>
  </si>
  <si>
    <t xml:space="preserve">PFRT 시작 전 계약자가 제출한 성능 검증 방법론 문서를 검토하고 승인하여 절차적 요구사항을 만족하는지 확인합니다.    </t>
  </si>
  <si>
    <t>3.2.1.4</t>
  </si>
  <si>
    <t>운용 한계 (Operating Limits): 모든 운용 한계를 명시해야 합니다.</t>
  </si>
  <si>
    <t xml:space="preserve">4.5.1.3 내구성 시험, 4.5.3 고도 시험 등 모든 작동 시험 전반에 걸쳐 엔진의 모든 매개변수(온도, 속도, 압력 등)를 지속적으로 모니터링하여 명시된 한계를 초과하지 않는지 확인합니다. </t>
  </si>
  <si>
    <t>JSSG 3.2.2 Operating characteristics and limits (엔진의 모든 한계치 표기 요구).</t>
  </si>
  <si>
    <t>3.2.1.4.1 ~ 3.2.1.4.3</t>
  </si>
  <si>
    <t>운용 범위, 해수면 운용 한계, 절대 고도.</t>
  </si>
  <si>
    <t>4.5.3 고도 시험 및 4.6.3 QT 고도 시험의 **기능 시험(Functional Test, 4.5.3.2.c)**에서, 사양서에 명시된 운용 범위의 극한 지점(최고 고도, 최대/최소 마하수 등)에서 엔진을 실제로 작동시켜 안정적인 운용이 가능한지 검증합니다.</t>
  </si>
  <si>
    <t>JSSG 3.2.2.1 Operating envelope (운용 범위: 고도 및 마하 한계).</t>
  </si>
  <si>
    <t>3.2.1.4.4</t>
  </si>
  <si>
    <t>시동 한계 (Starting Limits): 해수면부터 최소 5km까지 시동이 가능해야 합니다.</t>
  </si>
  <si>
    <t>4.5.3.2.d 및 4.6.3.2.d 시동 및 재시동 시험에서 "고온" 및 "저온" 엔진 상태의 공중 시동 능력을 직접 검증합니다.</t>
  </si>
  <si>
    <t>JSSG 3.2.2.3 Starting (지상 및 공중 시동 조건).</t>
  </si>
  <si>
    <t>3.2.1.4.5 ~ 3.2.1.4.8</t>
  </si>
  <si>
    <t>엔진 온도, 로터 속도, 연료 흐름, 오일 압력/온도 한계.</t>
  </si>
  <si>
    <t>모든 엔진 작동 시험(4.4, 4.5, 4.6 전반) 중에 해당 매개변수들을 지속적으로 계측하고 기록하여, 과도 상태 및 정상 상태 운용 중에 명시된 한계를 초과하는 경우가 없는지 확인합니다.</t>
  </si>
  <si>
    <t>JSSG 3.2.2 Operating characteristics and limits (Table IV의 엔진 온도, 회전속도, 연료/오일 한계 포함).</t>
  </si>
  <si>
    <t>3.2.1.4.9</t>
  </si>
  <si>
    <t>오일 소비 한계 (Oil Consumption Limits): 사양서에 명시된 양을 초과해서는 안 됩니다.</t>
  </si>
  <si>
    <t>4.5.1.3 및 4.6.1.3 내구성 시험 중 매 6시간 사이클 종료 시마다 오일 소비량을 측정하여 검증합니다.</t>
  </si>
  <si>
    <t>JSSG 3.7.8.1.2 Oil consumption limits.</t>
  </si>
  <si>
    <t>3.2.1.4.10</t>
  </si>
  <si>
    <t>진동 한계 (Vibration Limits): 지정된 한계를 초과해서는 안 됩니다.</t>
  </si>
  <si>
    <t>4.4.5 엔진 진동 조사 (Engine Vibration Survey)**를 통해 5Hz에서 10,000Hz 주파수 범위에 걸쳐 각 정격 지점에서의 진동 스펙트로그램(RMS 속도 및 피크 가속도)을 확보합니다. 또한 모든 주요 시험(4.5.1, 4.6.1 등) 중에 진동을 지속적으로 모니터링합니다.</t>
  </si>
  <si>
    <t>JSSG 3.4.1.8.1 Vibration limits.</t>
  </si>
  <si>
    <t>3.2.1.4.11 ~ 3.2.1.4.13</t>
  </si>
  <si>
    <t>출력 토크, 출력 샤프트 속도, 고객 공기 추출 및 액세서리 동력 인출 한계.</t>
  </si>
  <si>
    <t>4.5.1.2.3 엔진 교정 및 4.4.1 고객 공기 추출 시험에서 해당 한계 조건으로 엔진을 작동시켜 안정적인 운용이 가능한지 직접 검증합니다.</t>
  </si>
  <si>
    <t>JSSG 3.1.1.7 Bleed air interface 및 3.1.1.10 Power take-off pads (고객 공기 및 동력 인출 한계 명시).</t>
  </si>
  <si>
    <t>3.2.1.5</t>
  </si>
  <si>
    <t>3.2.1.5.1</t>
  </si>
  <si>
    <t>운용 자세 및 조건 (Operating Attitude and Conditions): 특정 자세 및 음의 "g" 조건에서 작동해야 합니다.</t>
  </si>
  <si>
    <t>4.6.4.10 자세 시험 (Attitude Test): 엔진을 다양한 각도로 기울이고 음의 "g" 조건을 시뮬레이션하여 작동 상태를 검증합니다.</t>
  </si>
  <si>
    <t>JSSG 3.2.2.2 Operating attitude and conditions.</t>
  </si>
  <si>
    <t>3.2.1.5.2</t>
  </si>
  <si>
    <t>시동 (Starting): 3.7.9절을 참조해야 합니다.</t>
  </si>
  <si>
    <t>4.4.6, 4.5.1.3.1, 4.5.3.2.d 시험을 통해 3.7.9절의 모든 시동 요구사항을 종합적으로 검증합니다.</t>
  </si>
  <si>
    <t>(내부 참조사항으로 JSSG 직접 대응 없음; **시동 요구는 JSSG 3.2.2.3 Starting 참고**)</t>
  </si>
  <si>
    <t>3.2.1.5.3</t>
  </si>
  <si>
    <t>정지 (Stopping): 0.5초 미만의 단일 제어 레버 동작으로 정지해야 합니다.</t>
  </si>
  <si>
    <t>4.5.1.3.1 시동 시험 및 내구성 시험 중 수행되는 반복적인 정지 절차를 통해 작동 시간과 신뢰성을 검증합니다.</t>
  </si>
  <si>
    <t>JSSG 3.2.2.4 Stopping.</t>
  </si>
  <si>
    <t>3.2.1.5.4.1 &amp; 3.2.1.5.4.2</t>
  </si>
  <si>
    <t>공회전 및 무부하 조건.</t>
  </si>
  <si>
    <t>4.5.1.2.3 엔진 교정에서 해당 조건으로 엔진을 작동시키고 매개변수가 사양서와 일치하는지 측정하여 검증합니다.</t>
  </si>
  <si>
    <t>JSSG 3.2.2.5.2 No load condition</t>
  </si>
  <si>
    <t>3.2.1.5.5</t>
  </si>
  <si>
    <t>안정성 (Stability): 동력 변동이 ±1.0%를 초과해서는 안 됩니다.</t>
  </si>
  <si>
    <t>4.5.3.2.a 고도 정격 지점 시험에서 토크 또는 출력의 변동 폭이 한계 이내인지 확인합니다.</t>
  </si>
  <si>
    <t>JSSG 3.2.2.6 Stability (안정 상태 출력 변동 제한).</t>
  </si>
  <si>
    <t>3.2.1.5.6.1</t>
  </si>
  <si>
    <t>엔진 동력 과도 상태 최소 요구사항: 특정 시간 내에 동력 변경이 이루어져야 합니다.</t>
  </si>
  <si>
    <t>4.5.1.2.3 엔진 교정 및 4.5.3.2.b 과도 운용 시험에서 응답 시간이 요구사항을 만족하는지 측정하여 검증합니다.</t>
  </si>
  <si>
    <t>JSSG 3.2.2.7 Transients (과도 상태에서의 출력 변화 성능 요구).</t>
  </si>
  <si>
    <t>3.2.1.5.6.2</t>
  </si>
  <si>
    <t>추정치 (Estimates): 과도 성능 추정치를 사양서에 제시해야 합니다.</t>
  </si>
  <si>
    <t>문서 검토 및 4.5.1.2.3 엔진 교정에서 측정한 실제 데이터와 비교합니다.</t>
  </si>
  <si>
    <t>JSSG 3.2.1.2 Transient performance (컴퓨터 프로그램 통한 과도 성능 모델링 요구).</t>
  </si>
  <si>
    <t>3.2.1.5.7</t>
  </si>
  <si>
    <t>엔진 풍차 회전 능력 (Engine Windmilling Capability): 최소 5시간 동안 손상 없이 풍차 회전해야 합니다.</t>
  </si>
  <si>
    <t>4.6.4.4 풍차 회전 시험 (Windmilling Test): 5시간 풍차 회전 후 엔진 상태를 점검하고 재시동하여 기능을 검증합니다.</t>
  </si>
  <si>
    <t>JSSG 3.2.2.8 Windmilling.</t>
  </si>
  <si>
    <t>완전한 엔진의 건조 질량 (Dry Mass of Complete Engine): 사양서 값을 초과해서는 안 됩니다.</t>
  </si>
  <si>
    <t>4.5.1.1.1 및 4.6.1.1.1에서 내구성 시험 전 실제 질량을 측정하여 검증합니다.</t>
  </si>
  <si>
    <t>JSSG 3.1.2.1 Dry weight of complete engine.</t>
  </si>
  <si>
    <t>3.2.2.2</t>
  </si>
  <si>
    <t>잔류 유체의 질량 (Mass of Residual Fluids): 운용 후 잔류 유체 질량을 명시해야 합니다.</t>
  </si>
  <si>
    <t>4.6.1.5 엔진 분해 및 검사 이전에 유체 배출 후 질량을 측정하고 건조 질량과 비교하여 검증합니다.</t>
  </si>
  <si>
    <t>JSSG 3.1.2.1 Dry weight of complete engine (잔류 유체 중량 포함 명시).</t>
  </si>
  <si>
    <t>3.2.3</t>
  </si>
  <si>
    <t>신뢰성 (Reliability): 엔진 고장 모드 및 영향 분석을 수행해야 합니다.</t>
  </si>
  <si>
    <t>문서 검토 및 **4.6.7 신뢰성 시연 시험 (Reliability Demonstration Test)**을 통해 실제 운용 데이터로 신뢰성을 검증합니다.</t>
  </si>
  <si>
    <t>JSSG 3.5.1 Reliability (정량 및 정성 신뢰도 요구사항).</t>
  </si>
  <si>
    <t>3.2.4</t>
  </si>
  <si>
    <t>정비성 (Maintainability): 서비스 및 유지보수가 용이하도록 설계되어야 합니다.</t>
  </si>
  <si>
    <t>4.4.8 정비성/유지보수 시연 (Maintainability/Maintenance Demonstration): 분해, 조립, 부품 교체 등을 실제로 수행하여 시간과 용이성을 평가합니다.</t>
  </si>
  <si>
    <t>JSSG 3.5.2 Maintainability (정량 및 정성 정비성 요구사항).</t>
  </si>
  <si>
    <t>3.2.4.1 ~ 3.2.4.1.2</t>
  </si>
  <si>
    <t>수치적 요구사항, 적용 및 제외되는 정비 기능.</t>
  </si>
  <si>
    <t>4.4.8 정비성/유지보수 시연 및 4.6.7 신뢰성 시연 시험의 기록을 분석하여 수치적 요구사항을 만족하는지 검증합니다.</t>
  </si>
  <si>
    <t>JSSG 3.5.2.1 Maintainability quantitative requirements (정비도 기준 목표 및 제외 항목 정의).</t>
  </si>
  <si>
    <t>3.2.4.2</t>
  </si>
  <si>
    <t>유지보수 검사 및 수리 주기 (Maintenance Inspection and Repair Cycles): 예상 주기 및 소요 시간을 명시해야 합니다.</t>
  </si>
  <si>
    <t>4.4.8 정비성/유지보수 시연에서 실제 소요 시간을 측정하고 사양서 추정치와 비교하여 타당성을 검증합니다.</t>
  </si>
  <si>
    <t>JSSG 3.5.2.2 Maintainability qualitative requirements (점검/수리 주기 설정 관련 요구).</t>
  </si>
  <si>
    <t>3.2.5</t>
  </si>
  <si>
    <t>3.2.5.1</t>
  </si>
  <si>
    <t>주위 온도 조건 (Ambient Temperature Conditions): 고온 및 저온 환경에서 시동 및 작동해야 합니다.</t>
  </si>
  <si>
    <t>4.6.4.3 환경 작동 능력 시험 (Environmental Operating Capability Test): 환경 챔버 내에서 엔진을 작동시켜 검증합니다.</t>
  </si>
  <si>
    <t>JSSG 3.2.2.1 Operating envelope (표준 및 극한 환경 온도 범위 포함).</t>
  </si>
  <si>
    <t>3.2.5.2</t>
  </si>
  <si>
    <t>결빙 조건 (Icing Conditions): 결빙 조건에서 성능 저하 없이 작동해야 합니다.</t>
  </si>
  <si>
    <t>4.6.4.6 결빙 시험 (Icing Test): 인위적인 결빙 환경에서 엔진의 성능과 안정성을 평가합니다.</t>
  </si>
  <si>
    <t>JSSG 3.7.1 Anti-icing and de-icing system (엔진 자체 결빙방지 성능 요구).</t>
  </si>
  <si>
    <t>3.2.5.3 &amp; 3.2.5.4</t>
  </si>
  <si>
    <t xml:space="preserve">곰팡이 및 습도 조건 - 곰팡이와 고습도에 저항성이 있어야 합니다.    </t>
  </si>
  <si>
    <t>4.6.20 구성 요소 시험(Component Tests)**의 일부로, MIL-STD-810의 곰팡이 및 습도 시험 절차에 따라 전기/전자 부품 등을 시험하여 기능 이상이 없는지 확인합니다.</t>
  </si>
  <si>
    <t>JSSG 3.3.1.2 Fungus</t>
  </si>
  <si>
    <t>3.2.5.5</t>
  </si>
  <si>
    <t>부식성 대기 조건 (Corrosive Atmosphere Conditions): 염분 환경에 노출된 후에도 만족스럽게 작동해야 합니다.</t>
  </si>
  <si>
    <t>4.4.9 재료 부식 시험 (Material Corrosion Test) 및 **4.6.4.9 염수 분무 시험 (Salt Fog Test)**을 통해 검증합니다.</t>
  </si>
  <si>
    <t>JSSG 3.3.1.3 Corrosive atmosphere</t>
  </si>
  <si>
    <t>3.2.5.6</t>
  </si>
  <si>
    <t>3.2.5.6.1</t>
  </si>
  <si>
    <t>조류 흡입 (Bird Ingestion): 특정 크기와 수의 새를 흡입한 후에도 작동을 회복해야 합니다.</t>
  </si>
  <si>
    <t>4.6.4.5 조류 흡입 시험 (Bird Ingestion Test): 새 사체를 엔진으로 발사한 후 출력 회복 시간과 손상 여부를 평가합니다.</t>
  </si>
  <si>
    <t>JSSG 3.3.2.1 Bird ingestion.</t>
  </si>
  <si>
    <t>3.2.5.6.2</t>
  </si>
  <si>
    <t>외부 물체 손상 (Foreign Object Damage, FOD): 손상 후에도 일정 시간 작동할 수 있어야 합니다.</t>
  </si>
  <si>
    <t>4.6.4.11 외부 물체 손상 시험 (Foreign Object Damage Test): 의도적으로 블레이드에 손상을 가한 후 내구성 시험을 수행합니다.</t>
  </si>
  <si>
    <t>JSSG 3.3.2.2 Foreign object damage (FOD).</t>
  </si>
  <si>
    <t>3.2.5.6.3</t>
  </si>
  <si>
    <t>얼음 흡입 (Ice Ingestion): 우박을 흡입해도 화염 소실이나 심각한 출력 손실이 없어야 합니다.</t>
  </si>
  <si>
    <t>4.6.4.6.b 판빙 흡입 시험 (Sheet Ice Ingestion Test): 판빙을 흡입시켜 화염 소실이나 주요 구조 손상이 없는지 확인합니다.</t>
  </si>
  <si>
    <t>JSSG 3.3.2.3 Ice ingestion.</t>
  </si>
  <si>
    <t>3.2.5.6.4</t>
  </si>
  <si>
    <t>모래 흡입 (Sand Ingestion): 모래가 포함된 공기 속에서 5% 이하의 출력 손실로 작동해야 합니다.</t>
  </si>
  <si>
    <t>4.6.4.7 모래 및 먼지 흡입 시험 (Sand and Dust Ingestion Test): 50시간 동안 모래를 주입하며 작동시킨 후 성능 저하율과 마모 상태를 평가합니다.</t>
  </si>
  <si>
    <t>JSSG 3.3.2.4 Sand and dust ingestion.</t>
  </si>
  <si>
    <t>3.2.5.6.5</t>
  </si>
  <si>
    <t>대기 중 액체 물 흡입 (Atmospheric Liquid Water Ingestion): 총 공기 흐름의 5%가 물이어도 작동해야 합니다.</t>
  </si>
  <si>
    <t>4.6.4.12 물 흡입 시험 (Water Ingestion Test): 흡입구에 물을 분사하여 화염 소실이나 불안정 현상이 없는지 확인합니다.</t>
  </si>
  <si>
    <t>JSSG 3.3.2.5 Atmospheric liquid water ingestion</t>
  </si>
  <si>
    <t>3.2.5.7</t>
  </si>
  <si>
    <t>소음 수준 (Noise Levels): 소음을 최소화해야 합니다.</t>
  </si>
  <si>
    <t>4.6.11 소음 수준 시험 (Noise Level Test): 각 정격 출력에서 엔진 소음을 측정하여 사양서 데이터를 검증합니다.</t>
  </si>
  <si>
    <t>JSSG 3.6.1.1 Noise</t>
  </si>
  <si>
    <t>3.2.5.8</t>
  </si>
  <si>
    <t>3.2.5.8.1 &amp; 3.2.5.8.2</t>
  </si>
  <si>
    <t>배기 연기 및 비가시적 배출물.</t>
  </si>
  <si>
    <t>4.6.10 배기 배출물 시험 (Exhaust Emissions Test): SAE 절차에 따라 연기 농도와 배출물의 양이 한계 내에 있는지 검증합니다.</t>
  </si>
  <si>
    <t>JSSG 3.6.1.3 Smoke</t>
  </si>
  <si>
    <t>3.2.6</t>
  </si>
  <si>
    <t>운송성 (Transportability): 표준 운송 트레일러와 호환되어야 합니다.</t>
  </si>
  <si>
    <t>분석 및 물리적 적합성 검사: 설계 도면을 검토하고 실제 엔진 또는 모형을 사용하여 운송 장비와의 호환성을 확인합니다.</t>
  </si>
  <si>
    <t>JSSG 3.1.6 Transportability.</t>
  </si>
  <si>
    <t>3.3.1 ~ 3.3.1.2.7</t>
  </si>
  <si>
    <t>재료, 공정 및 체결 부품.</t>
  </si>
  <si>
    <t>문서 검토 및 품질 적합성 검사(4.2), 4.5.1.5 분해 검사 시 부품 상태(부식, 마모 등)를 확인하여 검증합니다.</t>
  </si>
  <si>
    <t>JSSG 3.1.3 Materials, processes, and parts; 3.1.4 Fasteners.</t>
  </si>
  <si>
    <t>3.3.2</t>
  </si>
  <si>
    <t>전자기 간섭 (Electromagnetic Interference, EMI): MIL-STD-461, 등급 1D를 준수해야 합니다.</t>
  </si>
  <si>
    <t>4.5.1.1.2 및 4.6.1.1.2 전자기 간섭 및 민감도 시험에서 MIL-STD-462 절차에 따라 시험하여 검증합니다.</t>
  </si>
  <si>
    <t>JSSG 3.3.3.1, 3.3.3.2, 3.3.3.3</t>
  </si>
  <si>
    <t>3.3.3 ~ 3.3.5</t>
  </si>
  <si>
    <t>명판, 마킹, 제작 기술, 호환성.</t>
  </si>
  <si>
    <t>4.2 품질 적합성 검사 및 4.5.1.5 분해 검사를 통해 제작 품질과 마킹을 평가하고, 4.4.8 정비성 시연 시 부품 교체를 통해 호환성을 직접 확인합니다.</t>
  </si>
  <si>
    <t>JSSG 3.1.5 Nameplate and product marking; 3.1.9.4 Standardization.</t>
  </si>
  <si>
    <t>3.3.6</t>
  </si>
  <si>
    <t>3.3.6.1</t>
  </si>
  <si>
    <t>가연성 유체 시스템 (Flammable Fluid Systems): 내화성 또는 방화성을 가져야 합니다.</t>
  </si>
  <si>
    <t>4.5.2.5 내화 시험 (Fire Test): 1090°C의 화염에 5분(내화성) 또는 15분(방화성)간 노출시킨 후 누설이 없는지 확인하여 검증합니다.</t>
  </si>
  <si>
    <t>JSSG 3.1.8.1 Flammable fluid systems (연료계 내화 5분/윤활·유압계 방화 15분).</t>
  </si>
  <si>
    <t>3.3.6.2</t>
  </si>
  <si>
    <t>방화벽 부착 (Fire Shield Attachment): 요구 시 제공해야 합니다.</t>
  </si>
  <si>
    <t>문서 검토 및 물리적 검사: 도면을 검토하고 실제 엔진에 해당 장치가 있는지 확인합니다.</t>
  </si>
  <si>
    <t>JSSG 3.1.8.2 Fire prevention (필요시 방화 shield 식별).</t>
  </si>
  <si>
    <t>3.3.6.3</t>
  </si>
  <si>
    <t>방폭 (Explosion-Proof): 전기 부품은 폭발성 혼합물을 점화시켜서는 안 됩니다.</t>
  </si>
  <si>
    <t>4.5.2.2 방폭 시험 (Explosion-Proof Test): 폭발성 가스 챔버 내에서 전기 부품을 작동시켜 점화되지 않음을 확인하여 검증합니다.</t>
  </si>
  <si>
    <t>JSSG 3.1.8.3 Explosion-proof.</t>
  </si>
  <si>
    <t>3.3.6.4 &amp; 3.3.6.5</t>
  </si>
  <si>
    <t>유체 누출 및 가연성 유체 배출.</t>
  </si>
  <si>
    <t>4.5.1.2.3 엔진 교정 시, 운전 중 누출량과 정지 후 배출량을 측정하여 사양서 한계와 비교 검증합니다.</t>
  </si>
  <si>
    <t>JSSG 3.1.1.8 Drains and fluid collection devices; 3.1.8.4 Combustible fluid drains (연료 누출 및 드레인 제한).</t>
  </si>
  <si>
    <t>3.3.6.6 &amp; 3.3.6.7</t>
  </si>
  <si>
    <t>지상 안전, 생존성 및 취약성.</t>
  </si>
  <si>
    <t>분석 및 설계 검토: 관련 안전 분석 보고서와 설계 자료를 검토하여 요구사항이 반영되었는지 확인합니다.</t>
  </si>
  <si>
    <t>JSSG 3.1.8.6 Ground safety (**생존성/취약성: JSSG에 별도 조항 없음**, 설계/분석으로 고려).</t>
  </si>
  <si>
    <t>3.3.7</t>
  </si>
  <si>
    <t>인적 수행 및 인적 공학 (Human Performance and Human Engineering).</t>
  </si>
  <si>
    <t>4.4.8 정비성/유지보수 시연을 통해 실제 정비사가 수행하는 작업을 관찰하여 설계가 인적 공학 원칙에 부합하는지 평가합니다.</t>
  </si>
  <si>
    <t>JSSG 3.5.3 Human performance and human engineering</t>
  </si>
  <si>
    <t>3.3.8</t>
  </si>
  <si>
    <t>3.3.8.1 &amp; 3.3.8.2</t>
  </si>
  <si>
    <t>구조 수명 및 고주기 피로 수명.</t>
  </si>
  <si>
    <t>강도 및 수명 분석 보고서를 검토하고, 4.6.1 내구성 시험 및 4.6.5 저주기 피로 시험 결과를 통해 간접적으로 검증합니다.</t>
  </si>
  <si>
    <t>JSSG 3.4.1.5.1 High cycle fatigue (HCF) life; 3.4.1.5.2 Low cycle fatigue (LCF) life.</t>
  </si>
  <si>
    <t>3.3.8.3</t>
  </si>
  <si>
    <t>저주기 피로 수명 (Low Cycle Fatigue Life): 표 IX의 요구사항을 충족해야 합니다.</t>
  </si>
  <si>
    <t>4.6.5 저주기 피로 시험 (Low Cycle Fatigue Test): 가속 시험 사이클을 반복 운용하여 주요 회전 부품에 균열이나 손상이 없는지 검증합니다.</t>
  </si>
  <si>
    <t>JSSG 3.4.1.5.2 Low cycle fatigue (LCF) life.</t>
  </si>
  <si>
    <t>3.3.8.4</t>
  </si>
  <si>
    <t>엔진 압력 균형 (Engine Pressure Balance): 단방향 추력 하중을 제공해야 합니다.</t>
  </si>
  <si>
    <t>4.4.7 엔진 압력 균형 검증 시험 (Engine Pressure Balance Verification): 실제 엔진 작동 중 베어링 하중을 측정하여 분석 데이터와 비교 검증합니다.</t>
  </si>
  <si>
    <t>JSSG 3.4.1.6.9 Bearing load</t>
  </si>
  <si>
    <t>3.3.8.5</t>
  </si>
  <si>
    <t>엔진 압력 용기/케이스 설계 (Engine Pressure Vessel/Case Design): 최대 작동 압력의 2배를 견뎌야 합니다.</t>
  </si>
  <si>
    <t>4.5.4.1 엔진 압력 시험 (Engine Pressure Tests): 최대 작동 압력의 2.0배에 해당하는 압력을 가하여 파열되지 않는지 확인합니다.</t>
  </si>
  <si>
    <t>JSSG 3.4.1.5 Durability</t>
  </si>
  <si>
    <t>3.3.8.6 ~ 3.3.8.8</t>
  </si>
  <si>
    <t>강도 및 수명 분석, 설계 재료 특성, 크리프.</t>
  </si>
  <si>
    <t>문서 검토 및 4.5.1.5 분해 검사 시 부품의 치수 변화를 측정하여 분석 데이터와 비교 검증합니다.</t>
  </si>
  <si>
    <t>JSSG 3.4.1.5.3 Creep (크리프 수명 명시); (강도/재료 특성은 3.1.3에서 재료선정으로 관리).</t>
  </si>
  <si>
    <t>3.3.8.9.1</t>
  </si>
  <si>
    <t>격납 (Containment): 블레이드 파손을 완전히 격납해야 합니다.</t>
  </si>
  <si>
    <t>4.6.6.2 격납 시험 (Containment Test): 의도적으로 블레이드를 파손시킨 후 파편이 케이스를 뚫고 나가지 않는지 확인합니다.</t>
  </si>
  <si>
    <t>JSSG 3.4.1.6.3 Containment.</t>
  </si>
  <si>
    <t>3.3.8.9.2</t>
  </si>
  <si>
    <t>로터 건전성 (Rotor Integrity): 과속 및 과온 조건을 견뎌야 합니다.</t>
  </si>
  <si>
    <t>4.5.4.2 로터 구조 건전성 시험에서 과속(115%) 및 과온(+45°C) 운전 후 로터의 변형이나 손상이 없는지 확인합니다.</t>
  </si>
  <si>
    <t>JSSG 3.4.1.6.7 3.4.1.6.8</t>
  </si>
  <si>
    <t>3.3.8.9.3</t>
  </si>
  <si>
    <t>디스크 파열 속도 (Disc Burst Speeds): 최대 허용 속도의 122% 이상이어야 합니다.</t>
  </si>
  <si>
    <t>4.5.4.2.3 디스크 파열 시험 (Disc Burst Test): 스핀핏 설비에서 디스크를 최대 허용 속도의 122% 이상으로 회전시켜 파열되지 않음을 검증합니다.</t>
  </si>
  <si>
    <t>해당 없음 (JSSG에 디스크 파열속도 특정 % 요구 없음; 3.4.1.6.3 격납 및 안전계수로 관리).</t>
  </si>
  <si>
    <t>3.3.8.10 ~ 3.3.8.10.2</t>
  </si>
  <si>
    <t>진동, 임계 속도, 진동 및 응력 분석.</t>
  </si>
  <si>
    <t>4.4.5 엔진 진동 조사에서 엔진 고유의 진동 특성을 파악하고, PFRT 전에 제출된 **진동 및 응력 분석 보고서(3.3.8.10.2)**의 타당성을 검토합니다.</t>
  </si>
  <si>
    <t>JSSG 3.4.1.8.2 Critical speeds (진동 모드 공진 회피 요구); (응력 해석은 설계 프로세스로 반영).</t>
  </si>
  <si>
    <t>3.3.9 ~ 3.3.9.4.2</t>
  </si>
  <si>
    <t>설계 관리, 표준화, 부품 목록, 조립, 변경 관리.</t>
  </si>
  <si>
    <t>문서 검토 및 4.2 품질 적합성 검사를 통해 관련 문서와 절차가 요구사항을 만족하는지 확인합니다.</t>
  </si>
  <si>
    <t>JSSG 3.1.9.1 Parts list; 3.1.9.2 Assembly; 3.1.9.3 Changes in vendors/process; 3.1.9.4 Standardization.</t>
  </si>
  <si>
    <t>3.4 ~ 3.6</t>
  </si>
  <si>
    <t>문서화, 군수, 인원 및 훈련.</t>
  </si>
  <si>
    <t>문서 검토 및 계약 요구사항 준수 확인. 관련 계획서, 매뉴얼, 보고서 등을 검토합니다. [cite_start]특히 3.5.1 유지보수는 4.4.8 정비성/유지보수 시연을 통해 직접 검증합니다.</t>
  </si>
  <si>
    <t>JSSG 3.1.9.4 Standardization</t>
  </si>
  <si>
    <t>3.5.1</t>
  </si>
  <si>
    <t>3.5.1.1</t>
  </si>
  <si>
    <t>모듈식 개념 (Modular Concept): 요구 시 적용해야 합니다.</t>
  </si>
  <si>
    <t>4.4.8 정비성/유지보수 시연에서 각 모듈을 실제로 분리하고 교체하여 용이성과 소요 시간을 검증합니다.</t>
  </si>
  <si>
    <t>JSSG 3.5.2.2 Maintainability qualitative requirements (모듈화 등 정비 편의성 설계).</t>
  </si>
  <si>
    <t>3.5.1.2</t>
  </si>
  <si>
    <t>유지보수 검사 기술 (Maintenance Inspection Techniques): 보어스코프 등 비파괴 검사가 가능해야 합니다.</t>
  </si>
  <si>
    <t>4.4.8 정비성/유지보수 시연에서 보어스코프 및 방사선 촬영을 수행하고 접근성 및 검사 범위를 확인합니다.</t>
  </si>
  <si>
    <t>JSSG 3.5.2.2 Maintainability qualitative requirements (비파괴 검사 용이성).</t>
  </si>
  <si>
    <t>3.5.1.3 ~ 3.5.1.5</t>
  </si>
  <si>
    <t>서비스 및 접근성, 공구, 수리 절차 및 마모 한계.</t>
  </si>
  <si>
    <t>4.4.8 정비성/유지보수 시연을 통해 접근성, 표준 공구 사용 가능 여부 등을 평가하고, QT 완료 후 제출되는 문서를 검토합니다.</t>
  </si>
  <si>
    <t>JSSG 3.5.2.2 Maintainability qualitative requirements (정비 접근성, 공구 및 수리용이성).</t>
  </si>
  <si>
    <t>3.7.1</t>
  </si>
  <si>
    <t>결빙 방지 시스템 (Anti-Icing System): 결빙 조건에서 작동해야 합니다.</t>
  </si>
  <si>
    <t>4.6.4.6 결빙 시험 (Icing Test): 인위적인 결빙 환경에서 시스템을 작동시켜 얼음 축적 여부와 성능 손실이 5% 이내인지를 평가합니다.</t>
  </si>
  <si>
    <t>JSSG 3.7.1 Anti-icing and de-icing system.</t>
  </si>
  <si>
    <t>엔진 제어 시스템 (Engine Control System): 외부 전원 없이 자급자족하며 엔진을 제어해야 합니다.</t>
  </si>
  <si>
    <t>4.4.4 엔진 전력 고장 시험 (Engine Electrical Power Failure Tests): 전원 차단 및 대체 전원 재시동을 통해 독립성과 고장 시 성능을 확인합니다.</t>
  </si>
  <si>
    <t>JSSG 3.7.2.1 Control system performance (고장 감내 및 안전 작동 요구).</t>
  </si>
  <si>
    <t>3.7.2.1.1</t>
  </si>
  <si>
    <t>제어 레버 토크 (Control Lever Torque): 3 뉴턴미터를 초과해서는 안 됩니다.</t>
  </si>
  <si>
    <t>4.5.1.1.3 제어 레버 토크 시험에서 토크 측정기를 사용하여 필요한 토크를 직접 측정하여 검증합니다.</t>
  </si>
  <si>
    <t>JSSG 3.1.1.5.5 Lever torque.</t>
  </si>
  <si>
    <t>3.7.3</t>
  </si>
  <si>
    <t>3.7.3.3.2</t>
  </si>
  <si>
    <t>연료 오염 (Fuel Contamination): 표 X에 명시된 수준까지 오염된 연료로 작동해야 합니다.</t>
  </si>
  <si>
    <t>4.6.2 연료 시스템 오염 및 필터 시험 (Fuel System Contamination and Filter Test): 오염된 연료로 50시간 동안 작동시킨 후 기능 이상 여부와 필터 상태를 확인합니다.</t>
  </si>
  <si>
    <t>JSSG 3.7.3.2.1 Fuel contamination.</t>
  </si>
  <si>
    <t>3.7.3.3.4</t>
  </si>
  <si>
    <t>외부 지원 없는 연료 시스템 성능 (Fuel System Performance with No External Assistance).</t>
  </si>
  <si>
    <t>4.5.2.3 연료 펌프 고도 시험 (Fuel Pump Altitude Test): 10km 고도 조건을 모사하는 환경에서 0.45의 V/L 비율을 인가하여 펌프 성능 저하가 없는지 확인합니다.</t>
  </si>
  <si>
    <t>JSSG 3.7.3.2.3 Fuel system performance with no external assistance.</t>
  </si>
  <si>
    <t>3.7.4</t>
  </si>
  <si>
    <t>전기 시스템 (Electrical Systems): 엔진 자체에서 주 전력을 공급해야 합니다.</t>
  </si>
  <si>
    <t>4.4.4 엔진 전력 고장 시험 및 4.5.1.3 내구성 시험 동안 시스템의 지속적인 성능을 검증합니다.</t>
  </si>
  <si>
    <t>JSSG 3.7.4.1 Electrical power.</t>
  </si>
  <si>
    <t>3.7.5</t>
  </si>
  <si>
    <t>점화 시스템 (Ignition System): 외부 전원 없이 작동해야 합니다.</t>
  </si>
  <si>
    <t>4.5.1.3.1 시동 시험 및 4.5.3.2.d 공중 시동 시험에서 시동 성능을 반복적으로 검증합니다.</t>
  </si>
  <si>
    <t>JSSG 3.7.5 Ignition system(s).</t>
  </si>
  <si>
    <t>3.7.5.3</t>
  </si>
  <si>
    <t>자동 재점화 (Automatic Relight): 화염 소실 후 즉시 재점화해야 합니다.</t>
  </si>
  <si>
    <t>4.5.3.2.d 시동 및 재시동 시험에서 의도적으로 화염을 소실시킨 후 자동 재점화 시스템이 작동하여 운전을 회복하는지 확인합니다.</t>
  </si>
  <si>
    <t>JSSG 3.2.2.3.5 Automatic relight.</t>
  </si>
  <si>
    <t>3.7.6.4</t>
  </si>
  <si>
    <t>온도 감지 시스템 (Temperature Sensing Systems): 정확도와 응답 특성을 만족해야 합니다.</t>
  </si>
  <si>
    <t>4.5.1.2.1 온도 감지 시스템 교정에서 시험 전후에 시스템을 점검하여 사양서 만족 여부를 확인합니다.</t>
  </si>
  <si>
    <t>해당 없음 (JSSG에 온도센서 정확도/응답 요구사항 명시 없음; 설계 및 MIL 규격으로 관리).</t>
  </si>
  <si>
    <t>3.7.6.6</t>
  </si>
  <si>
    <t>토크 표시 (Torque Indication): 정확도는 ±1.25% 이내여야 합니다.</t>
  </si>
  <si>
    <t>4.5.1.2.3 엔진 교정 중에 동력계로 측정한 실제 토크와 센서 출력 신호를 비교하여 정확도를 검증합니다.</t>
  </si>
  <si>
    <t>JSSG 3.1.1.9 Power absorber interface (토크 신호 및 정확도 요구).</t>
  </si>
  <si>
    <t>3.7.6.7</t>
  </si>
  <si>
    <t>저주기 피로 카운터 (Low Cycle Fatigue Counter): LCF 사이클을 기록해야 합니다.</t>
  </si>
  <si>
    <t>4.6.5 저주기 피로 시험 동안 카운터의 기록 값과 실제 사이클 수를 비교하여 정확성과 신뢰성을 검증합니다.</t>
  </si>
  <si>
    <t>3.7.7</t>
  </si>
  <si>
    <t>3.7.7.3.3</t>
  </si>
  <si>
    <t>오일 흐름 중단 (Oil Flow Interruption): 30초간 오일 공급 중단을 견뎌야 합니다.</t>
  </si>
  <si>
    <t>4.4.3 오일 흐름 중단 시험 (Oil Flow Interruption Test): 오일 공급을 30초간 중단시킨 후 분해하여 내부 부품에 손상이 없는지 검사합니다.</t>
  </si>
  <si>
    <t>JSSG 3.7.8.1.3 Oil flow interruption or depletion.</t>
  </si>
  <si>
    <t>3.7.7.4.1</t>
  </si>
  <si>
    <t>오일 저장소 (Oil Reservoir): 특정 압력을 견뎌야 합니다.</t>
  </si>
  <si>
    <t>4.5.2.4 오일 저장소 압력 시험 (Oil Reservoir Pressure Test): 명시된 양압 및 음압을 가하여 누설이나 영구 변형이 없는지 확인합니다.</t>
  </si>
  <si>
    <t>JSSG 3.7.8.2.1 Oil reservoir.</t>
  </si>
  <si>
    <t>3.7.8</t>
  </si>
  <si>
    <t>3.7.8.1.2</t>
  </si>
  <si>
    <t>유압 시스템 성능 및 한계 (Hydraulic System Performance and Limits): 압력 서지가 135%를 초과해서는 안 됩니다.</t>
  </si>
  <si>
    <t>4.6.21 유압 시스템 시험 (Hydraulic Systems Test): 압력 변동을 측정하고 내압 시험을 통해 검증합니다.</t>
  </si>
  <si>
    <t>JSSG 3.7.9 Hydraulic system (작동 압력 대비 안전계수 설정).</t>
  </si>
  <si>
    <t>3.7.9</t>
  </si>
  <si>
    <t>시동 시스템 (Starting System): 다양한 조건에서 일관되게 시동되어야 합니다.</t>
  </si>
  <si>
    <t>4.4.6, 4.5.1.3.1, 4.5.3.2.d 시험을 통해 종합적으로 검증합니다.</t>
  </si>
  <si>
    <t>(시동 시스템 성능은 JSSG 3.2.2.3 Starting 요구로 포함).</t>
  </si>
  <si>
    <t>3.7.9.2.1</t>
  </si>
  <si>
    <t>재시동 시간 (Restart Time): 정지 후 30초 이내에 재시동이 가능해야 합니다.</t>
  </si>
  <si>
    <t>4.5.1.3.1 시동 시험의 재시동 항목에서, 14분 이내에 성공적으로 재시동되는지 10회 시연하여 검증합니다.</t>
  </si>
  <si>
    <t>해당 없음 (JSSG에 엔진 정지 후 X초 이내 재시동 요구 없음; 프로그램별 설정).</t>
  </si>
  <si>
    <t>3.7.10</t>
  </si>
  <si>
    <t>3.7.10.3</t>
  </si>
  <si>
    <t>적외선 복사 (Infrared Radiation, IR): IR 수준 데이터를 제출해야 합니다.</t>
  </si>
  <si>
    <t>4.6.8 적외선 복사 시험 (Infrared Radiation Test): 방사 측정기를 사용하여 IR 신호 강도를 측정하여 검증합니다.</t>
  </si>
  <si>
    <t>해당 없음 (JSSG에 엔진 IR 신호 요구 없음; 사용기관 별도 요구).</t>
  </si>
  <si>
    <t>3.7.11 ~ 3.7.14</t>
  </si>
  <si>
    <t>엔진 브레이크, 물 분사, 세척, 음의 토크 제한 장치.</t>
  </si>
  <si>
    <t>4.5.1.3 내구성 시험 중 관련 절차를 통해 시연하거나, 별도의 구성 요소 시험을 통해 검증합니다. [cite_start]**세척 시스템(3.7.13)**은 내구성 시험 각 사이클마다 시연하고, **음의 토크 제한 장치(3.7.14)**는 각 사이클 종료 시 작동시켜 기능을 확인합니다.</t>
  </si>
  <si>
    <t>JSSG 3.7.13 Brake system; 3.7.11.1 Water injection system fluid; 3.7.12 Wash system; 3.7.14 Negative torque limiter.</t>
  </si>
  <si>
    <t>3.8 &amp; 3.9</t>
  </si>
  <si>
    <t>우선순위 및 품질 검증.</t>
  </si>
  <si>
    <t>4장 품질 보증 조항 전체가 이 요구사항을 만족시키기 위한 구체적인 실행 계획입니다. [cite_start]각 시험의 성공적인 완료와 보고서 제출 및 승인이 곧 품질 검증의 이행입니다.</t>
  </si>
  <si>
    <t>JSSG 3.8 Software resources; 3.9 Production (manufacturing quality) (품질 검증은 엔진 검증 3.11/3.12절 참조).</t>
  </si>
  <si>
    <t>ㆍ엔진 3축 질량 관성모멘트행렬은 항공기 장착 후 진동·거동 특성(3축자세제어응답)에 직접적 영향
ㆍ긴축 방향 관성(Izz)은 피치/요축 결합에 민감하므로 통합 해석 입력으로 사전 제공이 필수
ㆍ정확한 관성 데이터는 장착점 하중 예측·모드 분리·제어 튜닝의 신뢰도를 향상</t>
    <phoneticPr fontId="35" type="noConversion"/>
  </si>
  <si>
    <t>ㆍ엔진 마운트는 모든 비행/이륙-착륙/지상 조건에서, 잔류 유체와 외부 장착품을 포함한 엔진을 확실히 지지·유지해야함
ㆍ탄성한도 하중에서는 영구 변형 없이, 인장 파단 한계 하중에서는 완전 파단 없이
   하중을 감내해야 하며, 메인 마운트는 3.4.1.7 요건을 충족해야 함
ㆍ설치위치를 명시하고 그대로 준수해야 함
(a-b) 계약자는 엔진 기준 좌표/위치에 대한 힘 단위의 최대 시스템 한계를 규정하고, 축·수직·측방향 굽힘 모멘트 한계도 명시
        명시 값에는 최소한 3.4.1.2.1 외력(가속도), 3.4.1.6.10 자이로 모멘트, 엔진 구조로 지지되는 항공기 하중(존재 시), 
        3.4.1.6.1 안전계수, 사이클 피로, 엔진 질량, 재료 강도/역학, 수명을 포함
        엔진 마운트는 3.4(내구성·강도·손상허용 등) 요구를 충족해야 하며, 
        경쟁 개발 시 사용자(Using Service)는 최악 조합(엔진×기체) 최대 하중과 사양 호환성을 보장해야함
(c) 계약자는 엔진·항공기가 동일 목표로 설계되도록 마운트 위치를 명시
     마운트 위치를 엔진 사양으로 식별할 때는 Fig.1, 설치 도면으로 식별할 때는 ICD를 사용 
     중복 마운트도 Fig. 1에 표기
     위치·문서 기준을 일관 적용해 설계 기준선을 확보하고, 엔진–기체 통합 시 추적성/검증 용이성을 높임</t>
    <phoneticPr fontId="35" type="noConversion"/>
  </si>
  <si>
    <t>ㆍfalse start 및 셧다운 후 연료 포집 방지 필요
-false start-shutdown 직후 가연성 연료가 포집(엔트랩)되지 않도록 설계되어야함
-엔진 자세가 (a) = 15° nose up ~ 20° nose down 범위 내에 있을 때에도 연소부(Combustor)로의 과잉 유입을 방지
ㆍ드레인 시스템 인터페이스 명시
- 연료 및 오일을 수집·유도하기 위한 유체 드레인 시스템은 ICD에 수집·배출 경로/포트/밸브 로직/유량·압력·온도 범위 등을 명시
ㆍ안전 운용 자세 범위 정의 필요
-가연성 유체 드레인이 안전·신뢰적으로 동작하는 엔진 자세 범위를 사양에 제시
-주로 nose up 15° / nose down 20 사용된 바 있음</t>
    <phoneticPr fontId="35" type="noConversion"/>
  </si>
  <si>
    <t>ㆍ배기 온도/속도/확산각을 해석·시험으로 산정하고, 접근 제한 거리·각도 등 운용 절차를 설정
ㆍ필요 시 배기관 디플렉터·냉각 살수·흡음/차열 라이너 적용, 시험셀·시설의 내열·배기처리 설계 반영
ㆍ“후류 X m 지점에서 온도 △℃ 이하”와 같은 정량 기준과 검증 방법 명시</t>
    <phoneticPr fontId="35" type="noConversion"/>
  </si>
  <si>
    <t>교훈
(Lessons Learned)</t>
    <phoneticPr fontId="35" type="noConversion"/>
  </si>
  <si>
    <t>ㆍ해석: 엔진 주요 구조부의 설계 수명(사용 한계시간/사이클)을 피로 해석 등 분석을 통해 산출하고 적정함 확인
-열-기계 하중 케이스(임무 스펙트럼) 정의, 피크/평균/레인지 산출
-LCF/HCF(ε-N/S-N), 크립/크립-피로 상호작용, 산화/부식 성장 모델 보정
-교차 검증: 다중 코드/방법(유한요소, 손상 누적, 확률론) 상관
ㆍ시험
-쿠폰테스트/소재 특성(LCF/HCF/크립/산화) 취득, 온도/환경 매트릭스(시편활용)
-서브스케일/부품 시험: 스핀/리그/TMF, 결함-공차 포함.
-엔진 내구 시험: 대표 임무 시뮬레이션(Hot-day, Hot-High 포함), 손상/변형/메탈 칩 무·허용 범위
ㆍ데이터 관리
-UM/HUMS/EHMS 파라미터(스로틀/온도/진동/사이클) 정의, 남은 수명 계산 로직 검증
-피드백 루프: 운용 데이터 → 모델 업데이트 → 수명/정비 주기 재설정(계약/CM 반영)</t>
    <phoneticPr fontId="35" type="noConversion"/>
  </si>
  <si>
    <t>ㆍ해석/분석: 엔진이 설정된 설계 사용조건(임무 프로파일, 출력 사용분포 등)에 부합하도록 분석으로 검증
-Using Service 듀티사이클 수령/기준선 등록(버전/일자/해시)
-임무 데이터→DS 변환 규칙(BIN 정의, 전환율/램프율 표준) 문서화
-손상모델: LCF/HCF(주파수·응력 범위), 크립(σ–T–t), 마모/산화·부식(환경 인자) 적합성 검토
-부품별 DS 적용: Hot-spot(온도/응력) 추출, 안전여유≥목표 확인
ㆍ시험/상관
-가속 수명시험(서브스케일/부품): DS 스케일링 규칙(주파수/온도 상사) 적합성
-엔진 듀티사이클 시험(셀/고도실): 프로필 재현도, 성능/온도/진동 상관
-비행 데이터 상관: 초기 운용 데이터로 DS 업데이트(피드백 루프)
ㆍ수명 보전/운용
-PHM/EHM 파라미터(사이클 카운트, 진동, T4, 오일 상태) 정의·수집·알고리즘 연계
-수명 크레딧/디빗 규칙(임무 편차 반영), 정비 한계(교환 주기) 갱신</t>
    <phoneticPr fontId="35" type="noConversion"/>
  </si>
  <si>
    <t>ㆍ본 절의 외부인가하중 조건은 MIL-HDBK-1783 관련 조항을 준용하고, Using Service가 제공하는 외부인가하중 조건이 있을 경우 이를 기준선(Baseline)으로 채택 
ㆍ항공기 분류에 적합한 현실값으로 설정, 요구군과 합의 필요
ㆍ정적 계수 γ/κ: 프로그램 데이터 기반으로 1.4~1.5 범위 합리화(과보수 지양)
ㆍ취약 부품 보호: 마운트 세컨더리 스톱, 체결 프리로드 관리, 하니스 클램프 간격 최적화, 오일/연료 라인 스트레인 릴리프
ㆍ전자 구성품: 릴레이 접점·커넥터 풀-백·보드 지지 등 가속 민감 설계 반영
ㆍ시험 단순화: 실제 스펙트럼을 등가 Damage Rule로 축약해 가속 시험(시간/비용 절감)</t>
    <phoneticPr fontId="35" type="noConversion"/>
  </si>
  <si>
    <t>ㆍ구조 설계에 사용되는 모든 재료 특성은 통계 허용치(allowables)로 산정·관리되어야함 
ㆍMIL-HDBK-1783 및 적용 표준(MMPDS/AMS/ASTM, CMH-17(복합) 등)을 준용
ㆍ허용치는 A-basis(99/95) 또는 B-basis(90/95)로 도출하며, 온도·환경(습도/매질)·방향성(섬유/가공) 의존성을 포함
ㆍ시험·데이터 요건
-허용치 산정용 데이터는 다 heat/lot/공급자/가공경로에서 취득한 다회 반복(min 시편수는 조건 당 n개)으로 구성
-필요한 특성(예시): 탄성/항복/극한, 인성(K_IC/J_IC), 균열성장(da/dN), LCF/HCF, 크립/크리프-파단, dwell-fatigue, 열전달/팽창, 산화/부식, 고온 안정성
-제품형태·상태(anneal, solution+age, forging, AM-parameter) 를 명시하고, heat-treat/가공 공정창을 지정
ㆍ재료·공정 관리(M&amp;P Control)
-재료·공정 통제계획(MPQP), 공급자 승인, lot 추적(heat/forging/AM build), 변경관리(MRB/PCN) 를 수립
-등가성(Equivalency) 시험: 공급자/공정/열처리/AM 파라미터 변경 시 기계/내환경/피로 등 핵심 특성의 통계적 동등성 입증 후만 사용
ㆍ손상허용/검출성 연계
-손상허용/결함크기 가정(Initial Flaw), NDE 검출성(a90/95), 점검주기를 재료 허용치와 일관되게 정의
-온도·응력 스펙트럼/듀티사이클(3.4.1.2 Design usage) 에 따른 피로수명·점검 주기를 명시
ㆍ데이터 제공
-Table M-A(허용치 요약)와 Annex M-D(원시데이터/통계 처리 보고서, 시험조건, lot 정보, 추정법)를 제출필요</t>
    <phoneticPr fontId="35" type="noConversion"/>
  </si>
  <si>
    <t>ㆍ엔진에 사용된 재료의 기계적 특성을 시험 데이터로 분석하고, 해당 자료가 체계적으로 관리되고 있음을 검사
-적용 표준 및 판본(MMPDS/CMH-17Rev/AMS/ASTM) 명시
-시험계획: 조건(온도/환경), 방향성(L-T/45°/T-L), 치수·그립·속도, dwell/hold 명시
-통계 보고: 원시값, 이상치 처리 기준, A/B-basis 산정 절차(방법·가정)
-로트·가공 이력: heat/lot/batch, 열처리 chart, AM build log, 표면/결함·밀도 데이터
-환경/시간 의존성: 습열 노화, 산화/부식 가속, 고온 크립/라쳇팅
-균열성장/임계 인성: da/dN-ΔK 곡선, K_th/K_IC, dwell 효과
-피로: LCF(ε-N)/HCF(S-N), mean-stress 보정, 표준 듀티사이클 적용 수명
-NDE: 공정 결함 분포, a90/95, 점검 간격안
ㆍ등가성(변경): 공급자/열처리/AM 파라미터 변경 시 재시편과 통계 동등성 증빙
ㆍ재료군별 기준 상이함을 반영
-금속: MMPDS/AMS+ASTM, 고온용 슈퍼합금은 크립/산화/황화 포함.
-복합: CMH-17, stacking sequence/void/porosity, impact/damage tolerance 연계.
-AM: 파우더 규격·산소/수분, build parameter set과 후처리 고정, site-specific test 권장.
ㆍ안전여유 설정: A/B-basis 허용치 + Environment/knock-down(온도·습도·부식) 계수 별도 표기
ㆍ수명/점검 연계: 허용치 기반 손상허용 분석 → 점검주기/교환주기를 ILS 문서와 일치
ㆍ위험관리: 경량화·신규 공정은 기술성숙도(TRL)·제조성숙도(MRL) 점검 및 게이트 리뷰 필수</t>
    <phoneticPr fontId="35" type="noConversion"/>
  </si>
  <si>
    <t>ㆍ모든 엔진 부품은 Fracture-Critical(FC), Durability-Critical(DC), Durability Non-critical(DNC)로 분류
-분류/지정걸차는 본문, 근거 분석/위험등급/NDI추적요인은 부록으로 관리
ㆍFracture-Critical 부품/CSI(Critical Safety Item) 은 안전(Critical-to-Safety) 및 임무(Critical-to-Mission)로 추가 분류
-CSI/안전-임무 등급 변경은 형상통제 + Using Service 승인을 요구
-등급별로 설계 안전계수·손상허용/피로 해석·NDI 주기·추적성 요구를 차등 적용
ㆍ문서2개를 활용하여 기준과 지정권한을 명확하게 하는 것을 권장
-MIL-STD-882 (System Safety): 위험중대도/심각도 체계(예: Cat I/II) 기반의 안전-치명성 분류 기준 적용
-DoDI 4140.67 / DFARS 209.270: Critical Safety Item(CSI) 정의 및 Using Service 지정 절차/책임 명시</t>
    <phoneticPr fontId="35" type="noConversion"/>
  </si>
  <si>
    <t>ㆍ검사: 엔진 부품의 중요도에 따라 등급(Criticality)을 분류한 목록을 검사하고
   요구된 분류 체계에 맞게 지정되었음을 확인
-분류 기준서(MIL-HDBK-1783 인용, 정의/역할/책임) 발행
-FMEA/FTA/HAZARD로 FC/DC 후보 도출 및 Table PC-1 작성
-시스템 맥락 평가(장착 위치, 2차 피해 경로, 인접 구조 영향) 포함
-CSI 지정 품목: QAP, 승인된 출처, NDI 계획, SN 추적 체계 구축
ㆍ등급별 요구 적용: 설계 안전계수/해석/시험/NDI/점검/추적 요구 매핑 완료
ㆍ재분류 기록: 시험/비행/현장 데이터에 따른 변경 이력과 승인 문서 보관
ㆍ전술기/고기동: FC/CSI 범위 확대(회전체·고압 라인·인접 구조물 영향 부품 포함), NDI 주기 보수적
ㆍ압력 용기/배관: 장착 위치·인접 연료/구조 영향 따라 FC 또는 CSI로 상향 가능
ㆍ전자/액추에이터: 가속도/열/EMI에 의한 2차 피해 경로 검토(오동작→엔진 손상)
ㆍ데이터 관리: 분류/근거·NDI 계획·점검 결과를 PLM/UID에 통합, 현장 피드백 루프 운영</t>
    <phoneticPr fontId="35" type="noConversion"/>
  </si>
  <si>
    <t>ㆍ엔진은 Design usage(3.4.1.2)에서 정의된 운용 조건 하 설계 수명 동안 내구성을 유지해야함
-파손 메커니즘과 설계 대상(부품/조립체/재료 상태), 평가 기준(A/B-basis, 손상허용/무손상 기준)을 명확화
ㆍMIL-HDBK-1783 and JSSG-2007A3.4 and MIL-HDBK-516C-Ch7에 따라 규정된 내구 요구를 충족해야함
ㆍ전술·고기동 플랫폼: 고출력 체류/급과도 비중↑ → LCF/열피로/플러터 보수적, 고온 산화·부식 보전 포함
ㆍ터보샤프트/터보프롭: 부하↔무부하 전이/토션 사이클, 페더/베타 운용 포함
ㆍ재료/공정 변화: AM·신규 합금 적용 시 데이터 축적+A/B-basis 허용치 확보 전까지 제한 운용 고려
ㆍ성능–내구 균형: 성능코너에서 온도/응력 마진을 확보(명시적 derating 규칙 포함)</t>
    <phoneticPr fontId="35" type="noConversion"/>
  </si>
  <si>
    <t>ㆍ분석 및 파트별 시험, 지상시험 기반 검증
-입력 정합: 3.4.1.2 듀티사이클 → 구조/열/진동 해석 입력으로 일관 적용(프로필·램프율·환경 포함)
-모델 신뢰성: 모델–부품/엔진 시험 상관 오차 ≤ ±__%(온도/응력/수명) 기준 수립
-내구 시험 실행: 누적 hr/cycles 따라 성능/온도/진동 추세 모니터링, red-line 미초과
-정기 Teardown: Hot-section/회전체 등 치명부 품질기록, 초기 손상 조기 발견
-수정–재검증: 결함 발견 시 RCCA → 설계/공정 수정 → 국부/전구 재시험
-수명 보전: DSR의 점검/교체 주기가 ILS/정비 매뉴얼에 반영되었는지 확인
-DSL기준치, 성능유지한계, 부품수명기준, 점검교환주기, 정기 내구시험마다 주요부품 분해/측정(두께, 균열,손상)확인</t>
    <phoneticPr fontId="35" type="noConversion"/>
  </si>
  <si>
    <t>ㆍHCF: 정적 평균응력 위에 진동응력(수kHz 이하, 주로 회전체 통과/음향 유발 주기)이 중첩되어 발생하는 높은 반복수(≥10⁶ 사이클) 피로 현상
-대상은 팬/컴프레서/터빈 블레이드·베인, 디스크 슬롯 주변, 얇은 패널류 등
ㆍ수명 요구 표기: “부품 i 의 최소 HCF 수명 ≥ 10⁹ cycles(자유장·장착장 환경 모두), 공진 회피 혹은 감쇠 확보.” (ENSIP 개정에서는 최소 10⁹ 사이클 목표를 명시적으로 운용)
-FE-기반 응답해석–부품 공진 HCF 시험–엔진 진동조사 상관. 모델–시험 응력/주파수 오차 ≤ ±X%; 엔진 셀 시험에서 누적손상 DI ≤ 1.0.</t>
    <phoneticPr fontId="35" type="noConversion"/>
  </si>
  <si>
    <t>ㆍ고주기 피로 수명을 해석(진동피로해석)하고 시험편 피로시험 결과와 대조하여 요구 수명 충족을 검증
-분석–시험–상관(ATV) 체계. 설계 듀티사이클(3.4.1.2) 기반 하중/열 경계조건으로 모델링 
-수명 ≥ 요구 수명, 시험 수명 ≥ 요구 수명, 모델–시험 상관 허용오차를 수치화
ㆍ해석/모델링
-모드/주파수/응력 해석(FE 기반): 운용 전 구간에 대해 공진 회피(운전선–모드 간 최소 이격) 또는 감쇠 설계 확인
-응력 스펙트럼: 듀티사이클(§3.4.1.2) 기반 속도 스윕·주파수 통과 횟수·음향 기여 포함
-피로평가: S-N(A/B-basis), Goodman/Smith-Watson-Topper 보정, 
  결함/초기 노치 반영 손상허용 평가(적용 시)
ㆍ부품/리그 시험
-주파수 고정(고응답) HCF 시험: 공진점에서 응력 레벨 &amp; 사이클 목표 충족(예: 10⁹ cycles), 온도/회전 환경 모사
-장착장 응답시험(엔진 또는 엔진 셀): 실제 구속조건/음향장에서 피크-투-피크 응력(예: 10–15 ksi 이하) 확인
 (미공군 사례 데이터)
ㆍ설치/엔진 시험
-엔진 진동 조사 &amp; 운전선 스윕: 공진 통과 시 응답 제한 검증, 음향/HPC/HPT 통과주기 동시 계측
-상관 기준: 해석–시험 응력/주파수 오차 ≤ ±X%(프로그램 합의), 누적 손상 지수 DI ≤ 1.0</t>
    <phoneticPr fontId="35" type="noConversion"/>
  </si>
  <si>
    <t>ㆍTi 블레이드의 진동 취약으로 파손·파편 손상 사례 다수 → 수명 기준 상향(e.g. 10⁹ cycles) 필요
ㆍ피로한도는 3×10⁷ cycles 이후에도 저하 가능 → 보수적 설계/시험 필요
ㆍ진동 하중 정량 관리와 높은 사이클 수명 목표 설정이 HCF 예방의 핵심</t>
    <phoneticPr fontId="35" type="noConversion"/>
  </si>
  <si>
    <t>ㆍLCF: 큰 변형률/온도 변화를 수반하는 저주기(10³–10⁵급) 사이클(시동/정지, 급가감속, 열 사이클)로 유발되는 피로
-대상: 디스크/케이스/로터·스테이터 고온부, 퀴치/홀/코너 등
ㆍ정의: 핵심 부품(디스크/케이스/열영향부)은 듀티사이클 기반 최소 LCF 수명 ≥ N_min cycles(온도·평균응력·dwell 포함)
ㆍ검증: ε-N/da-dN 해석 + 가속 수명/내구성장 시험 상관; 점검주기 산정 및 기술서 반영</t>
    <phoneticPr fontId="35" type="noConversion"/>
  </si>
  <si>
    <t>ㆍ저주기 피로 수명을 해석(열피로해석 등)하고 실엔진 내구 시험으로 확인하여 요구 수명 이상임을 검증
-분석–시험–상관(ATV) 체계. 설계 듀티사이클(3.4.1.2) 기반 하중/열 경계조건으로 모델링 
-수명 ≥ 요구 수명, 시험 수명 ≥ 요구 수명, 모델–시험 상관 허용오차를 수치화
ㆍ해석/모델링
-열-기계 하중 케이스: 듀티사이클의 시동/정지·가속/감속 전이와 열 구배를 포함, ε-N(코핀-마슨/바스퀸 혼합) 수명 예측
-결함/손상허용: 초기 결함(Inspection threshold)과 da/dN–ΔK 곡선으로 점검주기/교체주기 산정
ㆍ시험
-가속 수명시험: 대표 hot spot 시편/서브컴포넌트로 온도-변형률 사이클 재현(hold/dwell 포함)
-엔진 내구성장 시험: 고온 사이클 누적 후 Teardown으로 크랙 개시/전파 위치, 치수 변화를 확인
-상관 기준: 모델–시험 수명 ±Y% 이내(프로그램 합의), 
-현장 임무 갱신 시 재평가. JSSG는 설계 듀티사이클 최신화와 상관 검증을 반복하도록 요구하고 있음</t>
    <phoneticPr fontId="35" type="noConversion"/>
  </si>
  <si>
    <t>ㆍ고온 부품의 크리프 수명을 재료 데이터 분석 및 필요 시 가속 시험으로 평가하여 내구 요구를 충족함을 검증
-분석–시험–상관(ATV) 체계. 설계 듀티사이클(3.4.1.2) 기반 하중/열 경계조건으로 모델링 
-수명 ≥ 요구 수명, 시험 수명 ≥ 요구 수명, 모델–시험 상관 허용오차를 수치화
ㆍ해석/모델링
-크립-파단 모델: Larson-Miller/Monkman-Grant 등 파라메트릭 수명 모델로 설계수명 동안 허용 변형률/간극 변화 제한
-시스템 영향: 크립 성장에 따른 간섭/정렬/씰 간극/성능 저하를 엔진 성능/열해석과 연계 검토
ㆍ시험
-재료/서브컴포넌트 크립-파단 시험: 설계 온도/응력 근방 장시간 데이터로 허용치(A/B-basis) 도출
-엔진 연장 운전 시험(Endurance): 전체 조립체 수준에서 누적 변형·누설·간섭 발생 여부 최종 확인(부록 권고)</t>
    <phoneticPr fontId="35" type="noConversion"/>
  </si>
  <si>
    <t>ㆍMIL-HDBK-1783 기준으로 하중 정의, 안전계수, 합격/불합격 판정을 수치화
-e.g. 1.0×Limit에서 영구 변형 없음, 1.5×Limit(Ultimate)에서 파국적 파손 없음(누설/이탈/균열/좌굴 금지)
ㆍ압력용기류는 내·외압 증거하중(Proof)·파단여유 등 별도 안전계수를 적용해서 관리</t>
    <phoneticPr fontId="35" type="noConversion"/>
  </si>
  <si>
    <t>ㆍOverspeed/Overtemperature: 운용 중 정격 한계를 일시 초과하는 사건으로, 엔진은 규정된 초과 수준·시간 내 파손/기능 상실 없이 견뎌야함
ㆍ정의/허용치: 엔진은 N1/N2 ≤ (x%)·Δt, EGT(또는 T4) ≤ (y℃)·Δt의 초과 조건에서 구조·기능 무손상을 보장할 것
ㆍ요구는 정상·비정상 모드에서 한계·보호 로직(제한/차단)과 사후 상태평가(계속사용/점검 기준)를 포함
ㆍ검증은 분석–시험–상관(ATV)으로 수행하며, 회전체 구조 건전성·열부품 내열/크립 여유 및 한계 미초과(2차 한계)를 입증</t>
    <phoneticPr fontId="35" type="noConversion"/>
  </si>
  <si>
    <t>디스크 파열 속도</t>
    <phoneticPr fontId="35" type="noConversion"/>
  </si>
  <si>
    <t>ㆍ사양에 디스크 어셈블리는 최대 정상 회전속도의 XX% 이상에서 파열되지 않을 것을 수치로 명시
   (e.g. 120%/125%/130%)
ㆍ목표 달성을 위해 재료·열처리·형상(웨브/보어/릴리프), 결함 허용·감리 공정을 설계 기준에 포함
ㆍ스핀 시험/해석의 합격기준(무파열, 균열 전파 억제, 변형 허용치)과 **검사·추적(재료·공정)**을 요구</t>
    <phoneticPr fontId="35" type="noConversion"/>
  </si>
  <si>
    <t>ㆍ기관별 요구는 상이(민항 120%, 군 115–117%, Ti 디스크 보수적 사례 130%)하나, 높은 여유 채택이 사고 예방에 유리
ㆍ과거 Ti 디스크 파손 사례를 계기로 보수적 파열속도 요구와 공정/결함 관리 강화가 효과적
ㆍ최신 설계는 요구치 상향 + 시험 검증으로 엔진 안전성 극대화 추세</t>
    <phoneticPr fontId="35" type="noConversion"/>
  </si>
  <si>
    <t>ㆍ지속 토크 ≤ X Nm, 과도 토크 ≤ Y Nm @ Y초 등 정상/과도 한계를 수치로 규정
ㆍFADEC 오버토크 보호 로직(감쇄·컷백·차단)과 토크 모니터링 요구를 포함
ㆍ토크 한계는 부하 스펙트럼·임무혼합을 반영해 도출·관리</t>
    <phoneticPr fontId="35" type="noConversion"/>
  </si>
  <si>
    <t>ㆍ출력축 속도는 정상/과도/긴급 등급 한계를 가져야 하며 초과 방지 제어가 필수
ㆍ오버스피드 발생 시 무손상·안전 정지/복구가 가능해야함
ㆍ한계 설정은 재료·수명·윤활·열/동특성을 통합 고려
ㆍSpeed: 출력축 정상 RPM ≤ N_nom, 과도 RPM ≤ N_ov for ≤ Δt; Overspeed 보호 검증</t>
    <phoneticPr fontId="35" type="noConversion"/>
  </si>
  <si>
    <t>ㆍ정상 지속 RPM ≤ N_nom, 과도 허용 RPM ≤ N_ov for Δt 를 수치로 규정
ㆍOverspeed 리미터/컷백/차단 로직, 복구 기준(성능 회복·점검) 명시
ㆍ해석·시험은 장착/환경 효과를 포함해 수행</t>
    <phoneticPr fontId="35" type="noConversion"/>
  </si>
  <si>
    <t>ㆍ베어링은 규정 하중 스펙트럼에서 수명 요구(시간/사이클)를 충족해야함
ㆍ윤활/압력 밸런스가 정상 범위 내 유지되어 과하중을 방지해야함
ㆍ점검·교체 주기는 설계 수명 분석과 일치해야함
ㆍBearing: 베어링은 §DU(듀티사이클) 하중 스펙트럼에서 수명 ≥ L_req 충족; 압력 밸런스 정상</t>
    <phoneticPr fontId="35" type="noConversion"/>
  </si>
  <si>
    <t>ㆍ엔진은 규정 각속도 프로필의 자이로 모멘트를 한계/최종 하중 관점에서 견뎌야함
ㆍ자이로 하중은 베어링·지지구조·간극 영향까지 포함한 시스템 수준으로 평가
ㆍ검증은 동역학 해석–리그/엔진 시험–비행 상관으로 수행
ㆍGyro: 엔진은 ω_roll/pitch/yaw = … rad/s에 해당하는 자이로 모멘트를 한계/최종 하중에서 견딜 것</t>
    <phoneticPr fontId="35" type="noConversion"/>
  </si>
  <si>
    <t>ㆍ항공기 각속도(ω)에 대응한 최대 자이로 모멘트를 수치로 규정
ㆍCampbell 다이어그램/로터 동역학으로 위험 모드 회피·튜닝
ㆍ지지구조·베어링 하중 여유 및 간섭·클리어런스 검토 포함</t>
    <phoneticPr fontId="35" type="noConversion"/>
  </si>
  <si>
    <t>ㆍ고기동 시험에서 요속 2~3.5 rad/s 수준이 보고—베어링 하중 대폭 증가 사례
ㆍ일부 소형 TS 엔진은 자이로 기인 로터 진동/간섭 사례 → 설계 보강으로 해결
ㆍ초기 설계 단계부터 자이로 하중 과소평가 금지가 교훈</t>
    <phoneticPr fontId="35" type="noConversion"/>
  </si>
  <si>
    <t>ㆍ해석: 손상허용(CT, FEA), da/dN–ΔK, K_IC/J_IC 기반 수명·점검주기 도출
ㆍ시험: 인공결함 시편/서브컴포넌트·엔진 환경시험으로 무파손/무치명성 입증
ㆍ상관: 해석–시험–현장 데이터 정합, DTCP 이행 증적 제출</t>
    <phoneticPr fontId="35" type="noConversion"/>
  </si>
  <si>
    <t>ㆍ잔류강도: 초기 결함 상태에서 요구 하중을 안전 계수 내 지지하는 능력
ㆍ요구: 극한 하중 대비 비율(%), 온도·환경 포함 잔류 강도 한계 명시
ㆍ검증: 인공결함 시험과 파손역학 해석의 ATV 상관으로 입증</t>
    <phoneticPr fontId="35" type="noConversion"/>
  </si>
  <si>
    <t>ㆍ해석: 파손역학(CT)·FEA로 σ–K–a 관계, R-curve 기반 잔류강도 도출
ㆍ시험: 결함 시편/서브컴포넌트 파단시험으로 요구 하중≥Z% 확인
ㆍ상관: 해석–시험 오차 허용(±%) 설정, 합격/비적합 판정 기준 명문화</t>
    <phoneticPr fontId="35" type="noConversion"/>
  </si>
  <si>
    <t>ㆍ제작/정비 후 허용 결함 크기와 검출한계(a90/95)를 문서화
ㆍa₀ 기반으로 설계·NDI·점검주기를 일관되게 설정
ㆍ초과 결함 처리 절차(격리·정밀검사·수리/교체) 명시</t>
    <phoneticPr fontId="35" type="noConversion"/>
  </si>
  <si>
    <t>ㆍNDI 능력 검증: a90/95 실험·POD 곡선 제출
ㆍ공정 검증: 중간/최종 NDI 결과로 허용 a₀ 이하 확인
ㆍ수명 해석: a₀ 투입 균열성장 분석→ 검사 주기/교체 기준 도출</t>
    <phoneticPr fontId="35" type="noConversion"/>
  </si>
  <si>
    <t>ㆍ부품별 허용 초기결함 크기(a₀)를 표로 규정(제작 NDI, 야전/창정비 NDI 검출한계 포함)
ㆍa₀를 기준으로 부품 수명 분석을 제출, 기준 초과 결함 발견 시 교체/수리 지침 연계
ㆍFPI/EC/UT/MPI/X-ray 등 NDI를 공정·정비 단계별 최적화해 적용</t>
    <phoneticPr fontId="35" type="noConversion"/>
  </si>
  <si>
    <t>ㆍ전처리(에칭)·고감도 침투액 등 공정 최적화가 미세결함 검출에 유효
ㆍ자동 스캔·기록(EC/UT)이 표면/심부 결함 탐지 신뢰도를 향상
ㆍ주조·용접부 X-ray, 강자성 MPI 등 복합 적용이 a₀ 관리에 효과적</t>
    <phoneticPr fontId="35" type="noConversion"/>
  </si>
  <si>
    <t>ㆍ균열 성장 모델(da/dN–ΔK)로 안전 수명 ≥ 요구치, 검사 주기는 그 **분수(예: ½)로 설정
ㆍNDI 검출성(a90/95), 재료 분산·환경·열/응력 스펙트럼을 반영한 보수적 해석 요구
ㆍ임무 변화/현장 데이터로 주기/수명 재평가 절차 운영</t>
    <phoneticPr fontId="35" type="noConversion"/>
  </si>
  <si>
    <t>ㆍ해석: a₀→a_crit 균열 성장, 잔류강도–성장 연계로 T_safe 산정
ㆍ시험: 균열 성장/피로시험(환경·온도 포함)으로 모델 상관
ㆍ현장 연계: 초기 운용 데이터로 주기 보정(PHM/EHM), 주기 변경 시 형상관리</t>
    <phoneticPr fontId="35" type="noConversion"/>
  </si>
  <si>
    <t>ㆍ재료 분산 큰 경우 평균 인성치만 사용하면 수명 과대평가 → 추가 안전계수(≥2) 권장
ㆍ점검·정비 고려 미흡은 현장 검사 과다/가용성 저하로 귀결
ㆍ초기부터 정비성을 고려한 주기 최적화 + 보수적 성장 해석이 핵심</t>
    <phoneticPr fontId="35" type="noConversion"/>
  </si>
  <si>
    <t>ㆍ진동원은 비대칭 강성, 내부 마찰, 공력 가진, 샤프트 내 유체, 러빙, 교차 가진, 기어 메시 등 복합적
ㆍ다축 로터의 임계속도 다중 분포로 로터 진동·피로 균열 사례 발생 → 공진 여유 설계가 핵심
ㆍ음향-기계 공진·팁 초음속 조건 등에서 간헐적 진동과 균열 사례 
   → 보수적 응력 배분(진동 몫 25–50%) 및 130% 기어 진동 시험 관행 정착</t>
    <phoneticPr fontId="35" type="noConversion"/>
  </si>
  <si>
    <t>ㆍ엔진은 사양에 규정된 진동 한계를 가져야 하며(“shall have the vibration limits specified per xxx”) 이는 진단·건강관리·성능 기준으로 사용
ㆍ한계는 개발 엔진 기준선, 비장착 양산/창정비, 장착 시 정상·과도·기동 범주로 구분 제시
ㆍ명세 문구는 MIL-HDBK-1783로 테일러링</t>
    <phoneticPr fontId="35" type="noConversion"/>
  </si>
  <si>
    <t>ㆍ해석: 로터다이내믹스/구조-전달해석으로 예상 응답(주파수별 g/μm) 산정, 한계 대비 여유 확인
ㆍ시험: 엔진 진동조사(속도 스윕/스텝)로 RMS·P-P·주파수 스펙트럼 측정 → 표준/과도/기동 한계 미초과 입증
ㆍ상관/운용: 해석-시험 상관(±허용 오차), 양산/정비 수락 기준 검증, 필요 시 VMS 경보/보존 로직 점검
ㆍ빈칸 예시: “per MIL-HDBK-1783 &amp; Program Table VL-1/Figure VL-A”; “verified by analysis and test”</t>
    <phoneticPr fontId="35" type="noConversion"/>
  </si>
  <si>
    <t>ㆍ명세는 MIL-HDBK-1783를 근거로 **진동 한계치(주파수/진폭, RMS/P-P)**를 표/도(표준/과도/기동)로 규정
ㆍ개발/양산/정비 모드별 허용치·경고/차단 레벨과 측정 위치·센서·필터 기준 명시
ㆍ엔벨로프 전 영역에서 허용치 미초과 및 과도 이벤트 처리(보존·경고) 요구</t>
    <phoneticPr fontId="35" type="noConversion"/>
  </si>
  <si>
    <t>ㆍ헬기·터보프롭 분야는 일상 연속 계측(VMS) 무필수—다른 결정적 지표로 충분한 경우 다수
ㆍLCC/임무가용성 이득이 명확하지 않으면 상시 모니터링 요구 남발 금지
ㆍ그러나 개발/수락/비행시험/장애분석에는 진동 계측이 매우 유용</t>
    <phoneticPr fontId="35" type="noConversion"/>
  </si>
  <si>
    <t>ㆍ엔진은 모든 축속에서 사양 불만족을 야기할 공진 상태가 없어야함(운용 범위 내 회피/통과 안전)
ㆍ아이들 아래 공진 ≤ 아이들 − (a)%, 최대 과도속도 위 공진 ≥ (b)%, 마운팅 고유치 ≤ 아이들 − (c)%
ㆍ(a)~(c)는 20% 권고, 감쇠/밸런싱으로 운용 범위 내 공진은 안전 횡단하도록 조치 필요</t>
    <phoneticPr fontId="35" type="noConversion"/>
  </si>
  <si>
    <t>ㆍ해석: Campbell Diagram(속도–주파수), 로터다이내믹스·FE 모달로 공진 교차/마진 산정, 마운팅 모드 확인
ㆍ시험: 엔진 셀 속도 스윕(상승/하강 램프)으로 응답 피크/위상 확인, 마진 ≥ 20% 및 운용 범위 공진 안전 통과 입증
ㆍ상관/보완: 해석–시험 모드/주파수 상관, 필요 시 감쇠 추가/질량·강성 튜닝/밸런싱 후 재검증
ㆍ빈칸 예시: “verified by analysis (Campbell/FE) and test (speed sweep)”</t>
    <phoneticPr fontId="35" type="noConversion"/>
  </si>
  <si>
    <t>ㆍ공진 회피로 증폭 응답·구조 파손 방지, 운용 속도와 공진 속도 사이 여유(마진) 필요
ㆍ마하·열화·환경 변화로 속도/고유치가 달라져 여유 마진을 요구
ㆍ장착 상태 마운팅 고유치도 유해 모드에서 충분히 낮아야 함</t>
    <phoneticPr fontId="35" type="noConversion"/>
  </si>
  <si>
    <t>ㆍ권장 여유: (a)~(c) = 20%—아이들 이하 공진은 아이들 20% 아래, 최대 과도 속도 이상 공진은 20% 위
ㆍ마운팅 시스템 고유치는 아이들 축속도의 20% 아래(불리한 모드 전체)
ㆍ공진이 운용 범위에 있다면 감쇠·밸런싱으로 안전 통과가 가능하도록 설계(Campbell 기반)</t>
    <phoneticPr fontId="35" type="noConversion"/>
  </si>
  <si>
    <t>ㆍ크리티컬 스피드에서의 정상 운전은 HCF 수명 급소모로 빠르게 파손 유발
ㆍ여유 부족 사례가 다수 보고—20% 마진 규격의 실효성 확인
ㆍ블레이드아웃 등 비정상도 안전 통과 가능하도록 감쇠/밸런싱 확보 필요</t>
    <phoneticPr fontId="35" type="noConversion"/>
  </si>
  <si>
    <t>External surface foreign object damage</t>
    <phoneticPr fontId="35" type="noConversion"/>
  </si>
  <si>
    <t>ㆍ정의: 외부로 돌출된 엔진 표면은 Kf=____에 해당하는 등가 FOD 손상 이후에도 수리 없이 본 사양의 성능·안전·기능 요구를 만족해야함
ㆍ의도: 조류·빙우·파편 등 비행 중 외부 충격 하에서도 임무 수행·안전 보장(특히 TVC 노즐 외피)
ㆍ테일러링: MIL-HDBK-1783 기반으로 손상 모델·재료 기준·허용치와 항공기 구조 대비 보수 여유를 설정
ㆍ항공기 외피 밖으로 돌출되는 엔진 외부 표면은, 응력집중계수 Kf = ____에 해당하는 FOD 손상 후에도 수리 없이 본 사양의 모든 
   요구를 충족해야 한다.
ㆍ적용 범위는 외부로 노출된 엔진 표면(예: TVC 노즐 외피 등)에 한정
ㆍTS/TP 엔진이라도 돌출부가 있으면 적용, 돌출부가 전혀 없으면 면제 가능</t>
    <phoneticPr fontId="35" type="noConversion"/>
  </si>
  <si>
    <t>ㆍ외부 돌출부(예: 추력편향 노즐)는 조류·빙우·파편 충돌에 취약
ㆍ비행 중 FOD에도 기능·안전을 유지해야 임무 지속이 가능
ㆍ적용성은 형상(돌출 여부)에 의해 좌우</t>
    <phoneticPr fontId="35" type="noConversion"/>
  </si>
  <si>
    <t>ㆍ특별 사례는 없지만, 개발/수락/운용에서 분석+시험 병행이 관행
ㆍ외피 TVC/노즐류에 국부 보강·표면 처리로 FOD 민감도 저감 사례 다수
ㆍ운용 환경(빙우/조류) 프로필 반영이 실효성 향상에 중요</t>
    <phoneticPr fontId="35" type="noConversion"/>
  </si>
  <si>
    <t>Mechanical equipment and subsystems integrity</t>
    <phoneticPr fontId="35" type="noConversion"/>
  </si>
  <si>
    <t>ㆍ해석: 강도/피로·유동/열 해석, 진동 응답(FRF)·수명 예측
ㆍ시험: 환경(MIL-STD-810)·진동/충격·오염 내구·기능 시험, 수명 가속 리그/엔진 셀 시험
ㆍ상관: 엔진 장착 시험으로 해석–리그–장착 응답 상관, 수락기준(성능/누설/온도/진동) 만족 확인</t>
    <phoneticPr fontId="35" type="noConversion"/>
  </si>
  <si>
    <t>ㆍ연료계·윤활계·펌프·기계 보조장비 등 부속 시스템도 엔진 본체와 동일 수준의 강도·내구·진동·환경 적합성을 만족해야 전체 신뢰성 확보
ㆍ하위시스템 고장은 엔진 정지·화재·누설 등 2차 사고로 직결
ㆍ수명 전주기 동안 무고장 운용을 위한 시스템 수준의 건전성 요구가 필요</t>
    <phoneticPr fontId="35" type="noConversion"/>
  </si>
  <si>
    <t>ㆍMIL-HDBK-1798 등 신뢰성 지침을 근거로 기계 부속장비 건전성 요구(수명·환경·오염·진동 내구)와 시험 기준을 명문화
ㆍ연료펌프·액추에이터 등 중요 항목에 대해 MTBF/고장률 목표, 환경(온도/진동/샌드·염분) 시험을 요구
ㆍ엔진 요구(강도/내구/진동/열)와 인터페이스(압력·유량·전원) 일치성을 사양/ICD로 관리</t>
    <phoneticPr fontId="35" type="noConversion"/>
  </si>
  <si>
    <t>ㆍ별도 사례가 없어도 실무적으로 부속장비 미흡이 전체 엔진 신뢰성을 저하시킨 사례 다수
ㆍ표준 기반 설계/검증(1798 등)**을 따를 때 문제가 크게 감소
ㆍ부속장비도 본 장의 강도·내구·진동 요구를 동일 프레임으로 관리 필요</t>
    <phoneticPr fontId="35" type="noConversion"/>
  </si>
  <si>
    <t>ㆍFADEC·센서·전자장비는 고온·진동·EMI/EMC 환경에서 안정 동작
ㆍ전자 무결성 저하는 엔진 이상·정지·블레이드아웃 촉발 등 치명 리스크로 이어질 수 있음
ㆍ수명 내 신뢰성/가용성을 보장하는 체계적 요구가 필요</t>
    <phoneticPr fontId="35" type="noConversion"/>
  </si>
  <si>
    <t>ㆍMIL-STD-810(환경), MIL-STD-461/464(EMI/EMC), DO-160(민항 적용 시) 등으로 환경 적합성 규정
ㆍMIL-HDBK-87244, MIL-STD-1543(R&amp;M) 등으로 MTBF/고장률, 이중화/Fail-safe·BIT 요구 포함
ㆍ하드웨어/소프트웨어 구성식별(CI), 인터페이스·전원 안정성·보호회로(OV/OC/ESD) 명시</t>
    <phoneticPr fontId="35" type="noConversion"/>
  </si>
  <si>
    <t>ㆍ해석: 열/전원/EMI 모델링, 신뢰성 예측(MTBF)
ㆍ시험: 810(온도/진동/충격/습도)·461/464(EMI/EMC)·전원 변동/서지/ESD·정상/과도 기능 시험, BIT 검증
ㆍ상관: 장착 비행/엔진 셀 데이터로 환경-응답 상관, 고장 분석/RCCA·재시험</t>
    <phoneticPr fontId="35" type="noConversion"/>
  </si>
  <si>
    <t>ㆍ별도 사례 기재는 없으나, 전자장비 신뢰성 미흡은 전체 엔진 신뢰성 저하로 직결
ㆍ표준 기반(810/461/1543) 설계·검증이 재작업/현장 문제를 현저히 저감
ㆍ독립 검토/감사로 계획·절차·시험 결과를 확인하는 것이 효과적</t>
    <phoneticPr fontId="35" type="noConversion"/>
  </si>
  <si>
    <t>ㆍ엔진 SW는 무결성/안전성/추적성을 갖춘 표준 기반 프로세스로 개발·검증되어야함
ㆍ요구–설계–코드–시험–인수의 전 단계에서 형상/변경 통제가 필수
ㆍBIT/진단/보존 로직으로 운용 중 이상을 탐지·격리 가능해야함</t>
    <phoneticPr fontId="35" type="noConversion"/>
  </si>
  <si>
    <t>ㆍ해석/검토: 요구–설계–코드의 상향/하향 추적성, 정적 분석·코드 리뷰·안전성 분석
ㆍ시험: 단위/통합/Hardware-in-the-Loop(HIL)/시스템 시험, 성능·타이밍·오류주입 테스트
ㆍ감사/인증: 프로세스 감사, 독립 검토(IV&amp;V), 형상·변경 기록/릴리즈 빌드 증적 제출</t>
    <phoneticPr fontId="35" type="noConversion"/>
  </si>
  <si>
    <t>ㆍ제어/모니터 소프트웨어 결함은 엔진 안전·성능에 치명적이므로 SDIP 등 체계적 보증이 필요
ㆍ복잡성 증가 시 프로세스 무결성이 곧 제품 무결성
ㆍ수명 동안 변경관리/형상통제로 신뢰성을 유지해야함</t>
    <phoneticPr fontId="35" type="noConversion"/>
  </si>
  <si>
    <t>ㆍDO-178C(또는 DO-178B) / ARP4754A / ISO 9001-3 / ISO/IEC 12207 등 표준 기반 SDLC 적용
ㆍ개발 계획/검증 단계/형상·변경 관리를 SDIP로 문서화, SW-HW CI 매트릭스 관리
ㆍBIT/ Built-In Monitor, 실시간 성능·부하·타이밍 여유, 안전성 분석(SW-FMEA/FTA) 요구</t>
    <phoneticPr fontId="35" type="noConversion"/>
  </si>
  <si>
    <t>ㆍEngine O 사례: SDIP 적극 도입으로 품질 향상/리스크 저감 입증
ㆍ코드량·복잡도 증가 환경에서 엄격한 개발 프로세스가 효과적
ㆍ사용자(군) 측 독립 검토·감사가 유효—계획·절차·시험 결과의 객관 검증</t>
    <phoneticPr fontId="35" type="noConversion"/>
  </si>
  <si>
    <t>Reliability quantitative requirements</t>
    <phoneticPr fontId="35" type="noConversion"/>
  </si>
  <si>
    <t>ㆍ엔진은 정량 신뢰도 목표(가용도/MTBF/IFSD 등)를 임무·환경 프로필에 연동해 사양 표로 제시
ㆍ신뢰도 프로그램을 운영하여 요구 달성 경로(분석·시험·데모·데이터 관리)를 규정
ㆍR&amp;M 데이터는 표준 용어·분류에 따라 수집·보고하며, 검증 가능한 근거 자료로 유지</t>
    <phoneticPr fontId="35" type="noConversion"/>
  </si>
  <si>
    <t>ㆍ분석: 신뢰도 블록도(RBD), FMECA, 예측(MIL-HDBK-217F 등), 임무 프로필 기반 가용도 모델링
ㆍ시험/데모: R&amp;M 데모/성장시험(고장 기준·검출·수리 규칙 명시), 유사 데이터 등가 시간 환산(MIL-HDBK-781)
ㆍ데이터 관리: IFSD/Shop Visit 등 분류 기준 계약 명시, 독립 검토/감사로 투명성 보장
ㆍ수락: 목표치 대비 신뢰구간 충족, 성장 추세 유의, 개선 조치(RCCA) 반영 확인</t>
    <phoneticPr fontId="35" type="noConversion"/>
  </si>
  <si>
    <t>ㆍ명확한 정량 지표(MTBF, IFSD, 가용도)가 있어야 안전·임무성공·운영비를 통제 가능
ㆍ수치 목표가 없으면 설계/시험에서 신뢰도 고려 부족→사고/가동률 저하/비용 증가로 연결
ㆍ임무·환경 기반 고장확률을 요구해 설계의 핵심 설계변수로 만들 필요</t>
    <phoneticPr fontId="35" type="noConversion"/>
  </si>
  <si>
    <t>ㆍUsing Service가 임무/환경 프로필을 제시하고, 사양 표(예: Table XI/XIII)에 임무별 신뢰도, 혼합 MTBF 기입
ㆍR&amp;M 프로그램 계획(목표·조직·절차·시험·데이터 관리) 및 FMECA, 신뢰성 성장 시험/데모 포함
ㆍ용어·분류(예: IFSD, Shop Visit)를 공통 규정에 따라 명확히 정의해 데이터 투명성 확보</t>
    <phoneticPr fontId="35" type="noConversion"/>
  </si>
  <si>
    <t>ㆍ신뢰도 목표가 낮거나 애매하면 필드 고장↑·정비부하↑·LCC↑로 귀결
ㆍ성장 시험 부족은 초도 운용 시 예상 밖 고장을 유발, 사후 개선(CIP) 비용 초래
ㆍ통계 분류 임의 변경(IFSD 축소 등)은 의사결정 왜곡 → 분류 기준·보고 형식의 계약상 투명성 필요</t>
    <phoneticPr fontId="35" type="noConversion"/>
  </si>
  <si>
    <t>ㆍ엔진은 모듈 단위로 설계·정비되며, 교체 가능 시간/공구/절차를 정량 요구로 제시
ㆍ모듈 간 인터페이스 표준/CI 관리가 필수
ㆍ모듈 R&amp;R은 현장 조건에서 수행 가능해야 함</t>
    <phoneticPr fontId="35" type="noConversion"/>
  </si>
  <si>
    <t>ㆍ설계검토: 모듈 분해성/접근성/인터페이스 표준성 확인
ㆍ정비 데모: 정해진 공구·인원·환경에서 R&amp;R 시간 측정, CI/토크/시일 적합성 확인
ㆍ비행/장착: 모듈 교체 후 기능/누설/진동/성능 회복 확인
ㆍ문서: 절차서·툴 리스트·부품 리스트 검증</t>
    <phoneticPr fontId="35" type="noConversion"/>
  </si>
  <si>
    <t>ㆍ모듈화로 현장 교체(R&amp;R)가 빨라져 다운타임·비용이 감소
ㆍ부분 고장 시 전체 교환 불필요 → 가동률/정비성 향상
ㆍ작전현장에서 신속 복귀 가능, 후속정비는 정비창에서 수행</t>
    <phoneticPr fontId="35" type="noConversion"/>
  </si>
  <si>
    <t>ㆍ모듈화 부족 시 전체 엔진 공장행으로 가동중지↑·비용↑
ㆍ모듈화 도입으로 현장 교체→가용도↑ 사례 다수(Engine C 등)
ㆍ현대 정비 개념의 핵심으로 사양 요구에 반드시 포함</t>
    <phoneticPr fontId="35" type="noConversion"/>
  </si>
  <si>
    <t>ㆍ정비 공구는 표준 공구 우선, 특수공구는 최소·사전 승인
ㆍ공구 요구는 정비 절차·시간 목표 달성을 지원해야 함
ㆍ공구·절차는 현장 조건·안전 규정에 부합</t>
    <phoneticPr fontId="35" type="noConversion"/>
  </si>
  <si>
    <t>ㆍ정비 데모: 표준 공구로 모든 지정 작업 수행 가능 여부·시간 측정
ㆍ특수공구 검증: 필요성·수량·대체성·안전성 점검, 교육/보관 체계 확인
ㆍ현장 시범: 야전 환경에서 랜덤 작업 시나리오 수행, 지연·재작업 유무 확인</t>
    <phoneticPr fontId="35" type="noConversion"/>
  </si>
  <si>
    <t>ㆍ특수공구 최소화로 정비비·복잡성·교육부담을 저감
ㆍ전용공구 남발은 공구 비치·조달·분실 리스크와 지연 초래
ㆍ표준 수공구 중심 설계가 현장 정비성을 높임</t>
    <phoneticPr fontId="35" type="noConversion"/>
  </si>
  <si>
    <t>ㆍ정비는 표준 항공정비 공구세트로 수행 가능”을 요구, 특수공구 필요 시 목록/수량 제한·사전 합의
ㆍ특수공구 불가피 시 다용도·간단 설계, 현장 교정/보관 체계 포함
ㆍ공구는 안전/토크/접근성 기준 충족 및 인간공학 고려</t>
    <phoneticPr fontId="35" type="noConversion"/>
  </si>
  <si>
    <t>ㆍ과도한 특수공구는 비용·지연·교육/관리 부담을 야기
ㆍ최근 엔진은 특수공구 대폭 축소로 정비성 개선
ㆍ표준 공구 중심 설계가 가용도·LCC에 유리</t>
    <phoneticPr fontId="35" type="noConversion"/>
  </si>
  <si>
    <t>ㆍ엔진 작동 시 발생하는 근거리 및 원거리의 음향 에너지로, 특정 주파수와 데시벨(dB) 수준으로 측정
ㆍ작업자 안전(청력 보호) 확보는 물론, 적에게 위치를 노출시키는 음향 신호(Acoustic Signature)로서 항공기 생존성에 직접적인 영향
ㆍ요구조건은 비설치 엔진의 소음 수준이 내부 문서의 figures 17a, 17b, 17c에 명시된 한계치를 초과하지 않도록 규정</t>
    <phoneticPr fontId="35" type="noConversion"/>
  </si>
  <si>
    <t>ㆍ엔진의 음향 모델과 항공기 임무 프로필 데이터를 결합하여 원거리 및 근거리 소음 수준을 예측함
ㆍ전산유체역학(CFD)으로 배기 제트 속도 및 온도 분포를 계산
ㆍ이를 음향 전파 모델의 입력 값으로 사용하여 소음 패턴을 시뮬레이션함
-이 해석을 통해 설계가 소음 규격(FAR Part 36 등) 및 피탐지 요구조건을 만족할 잠재력이 있음을 
 IFR 전에 입증함</t>
    <phoneticPr fontId="35" type="noConversion"/>
  </si>
  <si>
    <t>ㆍ엔진 소음은 작업자 청력 손상, 지역사회 민원 및 적에게 위치를 노출시키는 음향 신호
ㆍ임무 수행, 운용 안전, 스텔스 성능 유지를 위해 근거리 및 원거리 소음 수준을 제한해야함
ㆍ전투기의 경우 소음은 탐지 확률에 직접적인 영향을 미치므로 중요한 요구 조건으로 고려됨</t>
    <phoneticPr fontId="35" type="noConversion"/>
  </si>
  <si>
    <t>ㆍ항공기 형상과 임무 프로필에 따라 구체적인 소음 허용치를 표나 그림으로 명확히 규정
ㆍ수송기는 민항기 소음기준(FAR Part 36)을, 전투기는 성능을 저해하지 않는 범위에서 요구함
ㆍ소음 제한치는 정비 인원 청각 보호(AFOSH 48-19)와 적의 음향 피탐지 방지 수준을 모두 고려하여 설정</t>
    <phoneticPr fontId="35" type="noConversion"/>
  </si>
  <si>
    <t>ㆍ과거 엔진 소음이 항공기 구조에 예기치 않은 진동을 유발하여 구조 부품의 조기 균열 및 파손을 초래한 사례 있음
ㆍ방음 대책 없는 운용은 주민 민원을 유발하고, 이는 결국 비행 임무의 운영 제한으로 이어짐
ㆍ구조 설계 시 음향에너지 영향을 반드시 고려해야 하며, 시험을 통해 소음 수준이 요구조건 이하임을 검증하는 것이 매우 중요</t>
    <phoneticPr fontId="35" type="noConversion"/>
  </si>
  <si>
    <t>ㆍ엔진의 불완전 연소로 인해 발생하는, 육안으로 식별 가능한 탄소 입자의 흐름(연기 흔적) 또는 뭉치(연기 퍼프)를 의미
ㆍ항공기의 위치를 원거리에서 노출시키는 명백한 시각적 신호(Visual Signature)로서, 스텔스 성능을 무력화하고 피격 확률을 높이는 직접적인 위협요인
ㆍ요구조건은 SAE ARP1179 등 특정 기준에 의해 정의된 가시적인 연기가 어떠한 운용 조건에서도 발생하지 않도록 규정</t>
    <phoneticPr fontId="35" type="noConversion"/>
  </si>
  <si>
    <t>ㆍ연소실 내부의 연료 분무, 증발, 연소 과정을 전산유체역학(CFD)으로 시뮬레이션함
ㆍ연소 모델을 통해 국부적인 연료 과농 영역과 온도 분포를 분석하여 그을음(Soot) 생성량을 정량적으로 예측함
ㆍ계산된 그을음 농도가 연기 가시성 한계치(SAE ARP1179 기준 등) 이하임을 보여줌으로써 
   가시적인 연기가 발생하지 않을 것임을 분석적으로 입증함</t>
    <phoneticPr fontId="35" type="noConversion"/>
  </si>
  <si>
    <t>ㆍ엔진 배기 연기는 전투기의 위치를 노출시키는 명백한 시각적 신호(Visual Signature)
ㆍ특히 짙은 배기 연기는 적의 육안 또는 센서에 의해 원거리에서 추적될 위험이 있음
ㆍ전투용 항공기의 생존성 및 은밀성 확보를 위해 배기 연기 배출을 최소화하도록 요구함</t>
    <phoneticPr fontId="35" type="noConversion"/>
  </si>
  <si>
    <t>ㆍ육안으로 인지 가능한 지속적인 연기 흔적(trail), 불규칙한 연기 뭉치(puff)를 배출하지 않도록 규정함
ㆍSAE ARP1179의 연기 번호(Smoke Number)나 가시도 한계 그래프 등을 활용하여 객관적인 허용 수준을 
   정의할 수 있음
ㆍ명확한 기준 수립이 어려울 경우, 어떠한 운전 상태에서도 가시적인 연기를 배출하지 않아야 한다는 식의 
   간략히 요구할 수도 있음</t>
    <phoneticPr fontId="35" type="noConversion"/>
  </si>
  <si>
    <t>ㆍ과거 배연이 심한 엔진을 장착한 전투기는 전투 손실률이 10배 높아진 사례가 보고될 정도로 생존성에 치명적
ㆍ연소계통 설계 단계부터 연기 저감을 고려해야 하며, 아이들부터 최대 출력까지 전 영역에서 연기 발생 여부 확인 필요
ㆍ사소한 제조공정 변화로도 연기 문제가 발생할 수 있음
-시험 조건(습도, 각도 등)을 충분히 이해하고 여유 설계를 확보해야함</t>
    <phoneticPr fontId="35" type="noConversion"/>
  </si>
  <si>
    <t>ㆍ엔진 연소 과정에서 발생하는 일산화탄소(CO), 탄화수소(HC), 질소산화물(NOx) 등 환경 및 인체에 유해한 가스 형태의 오염 물질
ㆍ환경 규제 준수 및 아군 인원 보호는 물론, 특정 조건에서 적외선(IR) 신호로 탐지될 수 있어 생존성에 영향을 미치는 요소
ㆍ요구조건은 주/대체 연료 사용 시 배출되는 유해 가스가 내부 문서의 figures 18a, 18b에 명시된 수준을 초과하지 않도록 규정</t>
    <phoneticPr fontId="35" type="noConversion"/>
  </si>
  <si>
    <t>ㆍ상세 화학반응 메커니즘을 포함한 연소 CFD 시뮬레이션을 통해 배기가스 내 유해 성분(CO, HC, NOx)의 
   농도를 예측함
ㆍ엔진의 각 운용 조건(Idle, 최대출력 등)에서 계산된 배출 지수(Emission Index)가 설정된 목표치를 
   만족하는지 평가함
ㆍ이 해석 결과를 바탕으로 엔진이 환경 규제 및 보고 요구사항을 충족할 수 있음을 사전 검증함</t>
    <phoneticPr fontId="35" type="noConversion"/>
  </si>
  <si>
    <t>ㆍ엔진 배기가스의 유해 성분(CO, HC, NOx 등)은 인원과 환경에 유해하며, 때로는 적외선 신호가 될 수 있음
ㆍ엔진 운용 시 발생하는 대기오염 물질은 환경 규제의 대상이 되므로 관리가 필요함
ㆍ배출 데이터는 환경영향 평가 및 대기배출 목록 보고에 필수적이므로 개발 시 반드시 산출해야 함</t>
    <phoneticPr fontId="35" type="noConversion"/>
  </si>
  <si>
    <t>ㆍ엔진은 미 연방 청정대기법(Clean Air Act) 등 관련 환경 규정을 준수하도록 정량적 배출 한계 기준을 가져야 함
ㆍ군용 엔진에 대한 법적 기준은 없으나, 지상 시험 시 시설이 오염원으로 간주되므로 지역 환경 규정을 준수
ㆍ연소 효율 목표(e.g. 99.5% 이상)를 제시하여 CO, HC 배출을 억제하고, 배출 지수(Emission Index) 형태로 
   데이터를 보고하도록 요구함</t>
    <phoneticPr fontId="35" type="noConversion"/>
  </si>
  <si>
    <t>ㆍ많은 군용 프로그램에서 법규 준수 및 환경보호를 위해 자체적인 배출 목표를 설정하여 관리
ㆍ신형 엔진 도입 시 기존 대비 환경영향 분석이 필요하며, 이를 위해 정확한 배출 목록 데이터가 필수적
ㆍ핵심 교훈은 무리한 저감 요구로 성능/비용이 악화되지 않도록, 임무 프로필을 분석하여 비용-효과적인 균형점을 찾는 것임</t>
    <phoneticPr fontId="35" type="noConversion"/>
  </si>
  <si>
    <t>ㆍ고고도 저온 환경에서 엔진 배기가스 내 수증기가 응결하여 형성되는 선형의 인공 구름
ㆍ저피탐(스텔스) 설계의 효과를 무력화하고 원거리에서 항공기의 항적을 노출시키는 치명적인 시각적 신호로서, 고고도 침투 임무의 성패를 좌우
ㆍ요구조건은 어떠한 정상/과도 운전 상태에서도 수증기 비행운을 발생시키지 않도록 직접적으로 규정</t>
    <phoneticPr fontId="35" type="noConversion"/>
  </si>
  <si>
    <t>ㆍ운용고도가 고고도에 들어가는지 여부를 분석
ㆍ해당 고도에서의 응축운 발생여부 분석
ㆍ미미한 경우 비적용 고려 가능
ㆍ비교적 많은 영향이 보이면 원문적용으로 유지</t>
    <phoneticPr fontId="35" type="noConversion"/>
  </si>
  <si>
    <t>ㆍ고고도에서 엔진 배기가스의 수증기가 응결되어 생기는 비행운(Contrail)은 매우 먼 거리에서도 탐지되는 시각 신호
ㆍ스텔스 항공기라도 비행운을 남기면 은밀성이 완전히 무력화될 수 있음
ㆍ저피탐 항공기의 생존성을 보장하기 위해, 특정 임무 고도에서 비행운 발생을 억제하도록 요구함</t>
    <phoneticPr fontId="35" type="noConversion"/>
  </si>
  <si>
    <t>ㆍ이 요구는 주로 스텔스 임무를 수행하는 고고도 항공기에 적용(그외에는 면제 가능)
ㆍ"엔진은 특정 임무 조건에서 수증기 비행운을 발생시키지 않아야 한다"는 식으로 규정됨
ㆍ발생 여부가 대기 조건에 크게 좌우되므로, 임무 시나리오상 비행운 회피가 필수적인 고도/환경을 명확히 하는 것이 중요</t>
    <phoneticPr fontId="35" type="noConversion"/>
  </si>
  <si>
    <t>ㆍ과거 14,000피트 같은 비교적 낮은 고도에서도 비행운이 발생한 사례가 보고된 바 있음
ㆍ비행운 현상은 지상 시험 시설에서 인위적으로 재현하는 것이 거의 불가능하여, 실제 비행 시험을 통한 평가가 필수
ㆍ해결책은 비행운이 형성되기 쉬운 운용 조건을 파악하고, 해당 영역에서 배출 특성을 개선하는 방향으로 접근해야 함</t>
    <phoneticPr fontId="35" type="noConversion"/>
  </si>
  <si>
    <t>ㆍ손상 허용 기준이 되는 구멍의 직경은 실질적인 위협체(e.g.14.5mm, 23mm, 최신 위협인 30mm 등)를 기반으로 
   구체적으로 정의해야함
ㆍ케이스, 프레임 등 정적 구조물은 충격 시 파단되지 않고 변형될 수 있도록 충분한 연성(Ductility)을 갖도록 설계
ㆍ검증은 해석(Analysis)을 우선적으로 수행하되, 해석 신뢰도가 부족할 경우 사용 군(Using Service)과 협의하여 
  실탄 사격 시험 또는 구멍을 뚫은 부품의 정적 시험으로 입증해야 함</t>
    <phoneticPr fontId="35" type="noConversion"/>
  </si>
  <si>
    <t>ㆍ과거 시험 결과(NAWCWD China Lake), 엔진 구조물이 취성(Brittleness)이 아닌 연성을 가질 경우, 다수의 피탄에도 불구하고 
   허용 가능한 성능을 유지하며 지속적으로 작동하는 것으로 나타남
ㆍ가장 큰 위험은 취성 파괴로 인해 발생한 내부 구조물 파편이 유로(Flow path)로 유입되어 연쇄적인 
   2차 파손(Cascading Failure)을 유발하는 것임
ㆍ대부분의 현대 엔진들은 연성이 충분한 소재를 사용하여, 에어포일 등이 파손되더라도 떨어져 나가지 않고
   형체만 변형되어 연쇄 고장을 성공적으로 방지하고 있음</t>
    <phoneticPr fontId="35" type="noConversion"/>
  </si>
  <si>
    <t>ㆍ흡입될 수 있는 연료의 유량(kg/min), 지속시간, 허용 추력 감소율(%) 등을 수치로 명확히 명시해야 함
ㆍ"분당 (a)kg 연료를 30초간 흡입해도 추력 (b)% 이상 유지" 와 같은 형식으로 구체화함
ㆍ지상 모의가 어려우므로, 설계 단계에서 유동해석(CFD)과 연소시험 등을 통해 충분히 검증해야 함</t>
    <phoneticPr fontId="35" type="noConversion"/>
  </si>
  <si>
    <t>ㆍ연소 안정도가 높은 연소기를 설계하고 충분한 안정 여유(Stability Margin)를 확보하는 것이 이 요구조건 만족의 핵심임
ㆍ엔진 주변에 연료 누설을 감지하여 즉각 대응하는 센서나 차단장치 설계도 중요한 해결 방안이 될 수 있음
ㆍ과거 엔진 프로그램의 시험 데이터를 분석한 결과, 연소실과 연료 분사기 설계가 생존성에 큰 영향을 미치는 것으로 나타남</t>
    <phoneticPr fontId="35" type="noConversion"/>
  </si>
  <si>
    <r>
      <t xml:space="preserve">ㆍ엔진-항공기 인터페이스에 작용하는 하중을 해석
ㆍ해석결과가 기술된 자료 확인하여 만족여부 검증
</t>
    </r>
    <r>
      <rPr>
        <sz val="3"/>
        <color rgb="FF980000"/>
        <rFont val="Pretendard SemiBold"/>
        <family val="3"/>
        <charset val="129"/>
      </rPr>
      <t xml:space="preserve">ㆍ필요시, 지상시험 중 전체 인터페이스 장착된 상태의
   하중을 확인하여 해석결과와 비교분석
</t>
    </r>
    <r>
      <rPr>
        <sz val="3"/>
        <color theme="1"/>
        <rFont val="Pretendard SemiBold"/>
        <family val="3"/>
        <charset val="129"/>
      </rPr>
      <t>- On-base ground transportability
- Engine installation and removal from the air vehicle
- Engine maintenance tasks
- Other ground handling tasks peculiar to the engine</t>
    </r>
  </si>
  <si>
    <r>
      <t xml:space="preserve">ㆍ메인 마운트의 설계·치수·해석결과 검사
</t>
    </r>
    <r>
      <rPr>
        <sz val="3"/>
        <color rgb="FF980000"/>
        <rFont val="Pretendard SemiBold"/>
        <family val="3"/>
        <charset val="129"/>
      </rPr>
      <t xml:space="preserve">  (비행까지 하지 않으면 E는 제외 가능하다고 판단)
  (지상시험, 고도모사시험은 D에 속한다고 판단)
</t>
    </r>
    <r>
      <rPr>
        <sz val="3"/>
        <color theme="1"/>
        <rFont val="Pretendard SemiBold"/>
        <family val="3"/>
        <charset val="129"/>
      </rPr>
      <t xml:space="preserve">ㆍ제시한 요구 조건을 충족함을 확인
</t>
    </r>
    <r>
      <rPr>
        <sz val="3"/>
        <color rgb="FF980000"/>
        <rFont val="Pretendard SemiBold"/>
        <family val="3"/>
        <charset val="129"/>
      </rPr>
      <t>ㆍ필요시, 지상시험 중 전체 인터페이스 장착된 상태의
   하중을 확인하여 해석결과와 비교분석</t>
    </r>
  </si>
  <si>
    <r>
      <t xml:space="preserve">ㆍ지상운용 마운트의 설계·치수·해석결과 검사
</t>
    </r>
    <r>
      <rPr>
        <sz val="3"/>
        <color rgb="FF980000"/>
        <rFont val="Pretendard SemiBold"/>
        <family val="3"/>
        <charset val="129"/>
      </rPr>
      <t xml:space="preserve">ㆍ필요시, 지상시험 중 전체 인터페이스 장착된 상태의
   하중을 확인하여 해석결과와 비교분석
</t>
    </r>
    <r>
      <rPr>
        <sz val="3"/>
        <color theme="1"/>
        <rFont val="Pretendard SemiBold"/>
        <family val="3"/>
        <charset val="129"/>
      </rPr>
      <t>ㆍ제시한 요구 조건을 충족함을 확인
- On-base ground transportability
- Engine installation and removal from the air vehicle
- Engine maintenance tasks
- Other ground handling tasks peculiar to the engine</t>
    </r>
  </si>
  <si>
    <r>
      <t xml:space="preserve">ㆍ출력명령 레버동작-신호의 연결/전달 구성을 검사
</t>
    </r>
    <r>
      <rPr>
        <sz val="3"/>
        <color rgb="FF980000"/>
        <rFont val="Pretendard SemiBold"/>
        <family val="3"/>
        <charset val="129"/>
      </rPr>
      <t xml:space="preserve">ㆍ부하변화, 원격조종상태 등을 고려한 포스피드백 해석결과 분석
ㆍICD, 제어입출력관련 정보 확인 필요
</t>
    </r>
    <r>
      <rPr>
        <sz val="3"/>
        <color theme="1"/>
        <rFont val="Pretendard SemiBold"/>
        <family val="3"/>
        <charset val="129"/>
      </rPr>
      <t xml:space="preserve">ㆍ요구사항 충족을 확인
</t>
    </r>
  </si>
  <si>
    <r>
      <t xml:space="preserve">ㆍ출력 축 부하 제어 레버와 신호 장치의 설치 및 작동을 검사
</t>
    </r>
    <r>
      <rPr>
        <sz val="3"/>
        <color rgb="FF980000"/>
        <rFont val="Pretendard SemiBold"/>
        <family val="3"/>
        <charset val="129"/>
      </rPr>
      <t xml:space="preserve">ㆍ부하변화, 원격조종상태 등을 고려한 포스피드백 해석결과 분석
ㆍICD, 제어입출력관련 정보 확인 필요
</t>
    </r>
    <r>
      <rPr>
        <sz val="3"/>
        <color theme="1"/>
        <rFont val="Pretendard SemiBold"/>
        <family val="3"/>
        <charset val="129"/>
      </rPr>
      <t>ㆍ요구 기능을 충족함을 확인</t>
    </r>
  </si>
  <si>
    <r>
      <t xml:space="preserve">ㆍ출력 축 속도 제어 레버와 신호 장치의 설치 및 작동을 검사
</t>
    </r>
    <r>
      <rPr>
        <sz val="3"/>
        <color rgb="FF980000"/>
        <rFont val="Pretendard SemiBold"/>
        <family val="3"/>
        <charset val="129"/>
      </rPr>
      <t xml:space="preserve">ㆍ부하변화, 원격조종상태 등을 고려한 포스피드백 해석결과 분석
ㆍICD, 제어입출력관련 정보 확인 필요
</t>
    </r>
    <r>
      <rPr>
        <sz val="3"/>
        <color theme="1"/>
        <rFont val="Pretendard SemiBold"/>
        <family val="3"/>
        <charset val="129"/>
      </rPr>
      <t>ㆍ요구 기능을 충족함을 확인</t>
    </r>
  </si>
  <si>
    <r>
      <t xml:space="preserve">ㆍ연료차단제어 레버와 신호 장치의 설치 및 작동을 검사
</t>
    </r>
    <r>
      <rPr>
        <sz val="3"/>
        <color rgb="FF980000"/>
        <rFont val="Pretendard SemiBold"/>
        <family val="3"/>
        <charset val="129"/>
      </rPr>
      <t xml:space="preserve">ㆍICD, 제어입출력관련 정보 확인 필요
</t>
    </r>
    <r>
      <rPr>
        <sz val="3"/>
        <color theme="1"/>
        <rFont val="Pretendard SemiBold"/>
        <family val="3"/>
        <charset val="129"/>
      </rPr>
      <t>ㆍ요구 기능을 충족함을 확인</t>
    </r>
  </si>
  <si>
    <r>
      <t xml:space="preserve">ㆍ엔진 부속계통과의 ICD문서를 검사 (TmTc)
</t>
    </r>
    <r>
      <rPr>
        <sz val="3"/>
        <color rgb="FF980000"/>
        <rFont val="Pretendard SemiBold"/>
        <family val="3"/>
        <charset val="129"/>
      </rPr>
      <t xml:space="preserve">ㆍ모델기반 설계에 ICD 반영하고 SILS수행
ㆍ개발단계과정 중 ICD 시험 정례화
ㆍ가상데이터 기반 ICD검증 정례화
</t>
    </r>
    <r>
      <rPr>
        <sz val="3"/>
        <color theme="1"/>
        <rFont val="Pretendard SemiBold"/>
        <family val="3"/>
        <charset val="129"/>
      </rPr>
      <t>ㆍ요구된 모든 ICD가 구현되었는지 확인</t>
    </r>
  </si>
  <si>
    <r>
      <t xml:space="preserve">ㆍ장치의 성능과 인터페이스를 실제 시험으로 확인
ㆍ요구 출력이 인출되는지 검증
ㆍ토크센서 정확도, 토크지시신호 정확도 준수여부 해석자료 확인 
</t>
    </r>
    <r>
      <rPr>
        <sz val="3"/>
        <color rgb="FF980000"/>
        <rFont val="Pretendard SemiBold"/>
        <family val="3"/>
        <charset val="129"/>
      </rPr>
      <t xml:space="preserve">ㆍ개발과정 중 가상데이터 기반 ICD시험을 통한 검증
</t>
    </r>
    <r>
      <rPr>
        <sz val="3"/>
        <color theme="1"/>
        <rFont val="Pretendard SemiBold"/>
        <family val="3"/>
        <charset val="129"/>
      </rPr>
      <t>ㆍ여유 공간, 치수 및 접근성을 입증해야 함</t>
    </r>
  </si>
  <si>
    <r>
      <t xml:space="preserve">ㆍ스타터–엔진–PTO 통합 해석(토션모델)로 관성모멘트(J), 비틀림 강성(Kₜ), 
   백래시 영향 및 기동 하중/시간 예측 분석
ㆍ하중·기동시간·J·Kₜ·백래시를 계측 시험으로 측정하여 해석값과 상관(코릴레이션)성 파악
ㆍ최악 조건에서 스타터·기어트레인 한계 미초과, 시동 시간/토크 램프 요구치 충족 여부 확인
</t>
    </r>
    <r>
      <rPr>
        <sz val="3"/>
        <color rgb="FF980000"/>
        <rFont val="Pretendard SemiBold"/>
        <family val="3"/>
        <charset val="129"/>
      </rPr>
      <t>ㆍ시험절차/환경/계측/합격기준 명시, 온도기준 명확하게 할 것</t>
    </r>
  </si>
  <si>
    <r>
      <t xml:space="preserve">ㆍ시동 시 필요한 토크와 회전속도를 엔진 시험으로 측정하여 요구 범위 내임을 확인
ㆍ시동 시 필요한 토크와 회전속도를 엔진 설계과정 중에 분석하여 요구 범위 내임을 확인
ㆍ시동 시 측정된 토크와 회전속도를 통해 유효성 입증
</t>
    </r>
    <r>
      <rPr>
        <sz val="3"/>
        <color rgb="FF980000"/>
        <rFont val="Pretendard SemiBold"/>
        <family val="3"/>
        <charset val="129"/>
      </rPr>
      <t xml:space="preserve">ㆍ시험절차/환경/계측/합격기준 명시, 온도기준 명확하게 할 것
</t>
    </r>
    <r>
      <rPr>
        <sz val="3"/>
        <color theme="1"/>
        <rFont val="Pretendard SemiBold"/>
        <family val="3"/>
        <charset val="129"/>
      </rPr>
      <t xml:space="preserve">ㆍ극한 온도에서 3.7.3.1항과 3.7.8.1항의 연료와 오일을 사용하여 각각 수행되어야함
</t>
    </r>
    <r>
      <rPr>
        <sz val="3"/>
        <color rgb="FF980000"/>
        <rFont val="Pretendard SemiBold"/>
        <family val="3"/>
        <charset val="129"/>
      </rPr>
      <t>ㆍ단, 극한 온도가 어떤 환경 하의 극한온도인지 사전에 정의할 필요 있음</t>
    </r>
  </si>
  <si>
    <r>
      <t xml:space="preserve">ㆍ엔진 배기구의 배기 흐름이 원활히 연계됨을 확인
ㆍ엔진 배기구의 배기 흐름 관련 전산해석결과 확인
</t>
    </r>
    <r>
      <rPr>
        <sz val="3"/>
        <color rgb="FF980000"/>
        <rFont val="Pretendard SemiBold"/>
        <family val="3"/>
        <charset val="129"/>
      </rPr>
      <t xml:space="preserve">ㆍ필요시, 엔진 배기구만 단독으로 개발과정 간에 검증시험 수행
</t>
    </r>
    <r>
      <rPr>
        <sz val="3"/>
        <color theme="1"/>
        <rFont val="Pretendard SemiBold"/>
        <family val="3"/>
        <charset val="129"/>
      </rPr>
      <t>ㆍ필요시, 엔진 배기구와 항공기 배기 시스템의 연결부 구조를 검사</t>
    </r>
  </si>
  <si>
    <r>
      <rPr>
        <sz val="3"/>
        <color rgb="FF980000"/>
        <rFont val="Pretendard SemiBold"/>
        <family val="3"/>
        <charset val="129"/>
      </rPr>
      <t xml:space="preserve">ㆍ엔진과 항공기 간 다양한 호환성(중량·치수·진동 등 부합)을 ICD 등의 설계 문서로 검사
   (단, 3.1.1.1에 비해 상위단계에 해당하는 호환성 항목을 제시해야 함)
</t>
    </r>
    <r>
      <rPr>
        <sz val="3"/>
        <color theme="1"/>
        <rFont val="Pretendard SemiBold"/>
        <family val="3"/>
        <charset val="129"/>
      </rPr>
      <t>ㆍ장착/설치 과정을 시범 운용하여 요구사항 충족을 확인
ㆍ문서확인보다 개발과정시험, 시연, 지상/고도모사시험을 중시하는 요구도</t>
    </r>
  </si>
  <si>
    <r>
      <t xml:space="preserve">ㆍ제어계 및 외부 부품(밸브/펌프/센서등)의 일괄 식별 및 인증여부 분석
ㆍ분석 이후에는 관련 자료를 각 부품별로 매칭시키고, 문서보유현황 확인
</t>
    </r>
    <r>
      <rPr>
        <sz val="3"/>
        <color rgb="FF980000"/>
        <rFont val="Pretendard SemiBold"/>
        <family val="3"/>
        <charset val="129"/>
      </rPr>
      <t xml:space="preserve">ㆍ연계과제성과물연동 시, 전체 체계관리 차원에서 양식/시스템 통일시킬 필요 있음
ㆍ통일성에 의거한 연계과제성과물의 리스트 상태 분석 수행하고, 그 결과를 최종 반영한
   리스트를 작성하여 제시해야함 </t>
    </r>
  </si>
  <si>
    <r>
      <t xml:space="preserve">ㆍ엔진의 관성모멘트를 계산/추정/예측하고, 개발과정 중에 이를 검증해야함
</t>
    </r>
    <r>
      <rPr>
        <sz val="3"/>
        <color rgb="FF980000"/>
        <rFont val="Pretendard SemiBold"/>
        <family val="3"/>
        <charset val="129"/>
      </rPr>
      <t xml:space="preserve">   (필요 시 실험으로 측정할 수도 있는데, 이 부분은 개발과정 중에 논의 필요)</t>
    </r>
  </si>
  <si>
    <r>
      <t xml:space="preserve">ㆍ엔진 제작에 사용되는 재료, 제조공정 및 부품 선택 기준을 다루는 요구사항(유해물질 제한 등 세부항목 포함)
ㆍ재료/부식 호환성
-구리 금지: 연료·오일과 구리 접촉 금지(촉매 작용으로 열안정성 저하·열화 가속).
-이종금속 접촉 최소화: 갈바닉 부식 방지, MIL-STD-889 지침 준수.
-연료 접촉 부품: 황동·카드뮴 도금 사용 금지(부식 우려).
-갈바닉 전위 제한: 금속–비금속 결합(3.5% 염수) 시 계면 전위 ≤ 0.15 V(무보호 상태 기준).
-음극 재료 코팅: 기능상 노출 필요 시 제외하고 상면 코팅으로 보호.
ㆍ접착제/실란트(Sealing &amp; Bonding)
-도포 기준: 언제/어디/어떻게 도포할지 엔진 계약자가 명시(파손·박리 방지).
-용도 제한: 잠금장치(락킹) 대용 사용 금지.
-규격/환경 규정: MILS-22473 지침 준수, 연방 유해물질 규정 준수, 독점(프로프라이어터리) 화합물 지양.
ㆍ나사산용 고정/밀봉/잠금 화합물(표준 미존재 시 적용)
a. 사용 제한: 영구/반영구 설치 외 일반 나사산 부품에 사용 금지.
b. 도포 시점: 조립 전 나사산·베어링 면에 도포.
c. 안전 영향: 기능 미작동 시 인명·장비 위험이 있는 경우 주요 잠금/고정 수단으로 사용 금지.
d. 구조/제어계: 보조 수단이 아닌 한 구조·제어 시스템용 사용 금지.
e. 토크/예압 지정 부품: 사용 금지(단, 폐기 후 신품 교체 가능 시 예외). 재사용 금지, 신품 코팅 패스너로 교체.
f. 부식 영향: Cd 도금, CRES, Al 합금, Ti 합금에 갈바닉·응력부식 가속 금지.
(a) 마감재(MIL-F-7179 등) 열화 금지.
(b) 탱크 실란트 열화·접착력 저하 금지.
(c) 연료·윤활유·유압유 열화 촉진 금지.
(d) 위 유체 환경에서 화학적 불활성.
(e) 대체 수단 없음 때만 사용.
ㆍ엘라스토머/씰·패킹·O-링
-재질 제한: 폴리클로로프렌(네오프렌) → 연료/윤활유 직접 접촉 부품 금지.
-저장 수명: **“무제한 저장 수명(= 노화 비민감)”**을 요구, 열화·공극 형성·누설 허용 불가.
-치수/공차: 비금속 O-링/씰/패킹은 SAE AS568 준수.
-호환성: 연료·윤활유와 화학적 호환, 상호 영향(팽윤·열화) 금지.
-저온 유의: 고온용 O-링이 저온 노출 시 누설 증가 가능 → 재질·설계 주의.
-예시: PTFE O-링(변속기, VG 액추에이터, 기어박스 등)과 같은 비탄성 재료 적용 사례.
ㆍ보호 처리/코팅 및 변경관리
-보호처리 목록: 모든 보호 처리 리스트 제출(코팅·공정 포함).
-과거 실적 활용: 기존 재료 제안 시 코팅/공정 과거 경험을 근거로 제시.
-변경 관리: 공급처/재료/코팅/공정의 소변경이라도 체계적으로 평가·승인.
부식/환경 내성 검증
-갈바닉/염수 조건: 3.5% 염수에서 금속–비금속 결합 ΔV </t>
    </r>
    <r>
      <rPr>
        <sz val="3"/>
        <color theme="1"/>
        <rFont val="Cambria Math"/>
        <family val="3"/>
      </rPr>
      <t>≤</t>
    </r>
    <r>
      <rPr>
        <sz val="3"/>
        <color theme="1"/>
        <rFont val="Pretendard SemiBold"/>
        <family val="3"/>
        <charset val="129"/>
      </rPr>
      <t xml:space="preserve"> 0.15 V 충족 검증.
-산성비 내성: **황산 용액(pH 3.5)**로 비·응축 습도(이슬점 일중 순환) 환경 시험 수행.
-프로세스 검증: 부식 방지 공정·재료는 실사용 성능 시험으로 검증.
ㆍ유지·관리 기준(레퍼런스)
-설계·유지 표준: Joint NAVAIR 16-1-540, USAF TO 1-1-689를 기준으로 유지(설계 고유 재료/설계는 예외 허용).
ㆍ추가 운영·통합 주의
-연료/오일 접촉 구역: 구리·황동·Cd 도금 금지(열화·부식 촉진).
-배선/접지·실런트 호환성: 주변 마감재·탱크 실란트·연료/윤활/유압유와 화학 호환성 사전 검증.
-동결/막힘 방지: 씰·배수·실런트 라인 히팅/보온·배수 경로 확보로 기능 보장.</t>
    </r>
    <phoneticPr fontId="35" type="noConversion"/>
  </si>
  <si>
    <r>
      <t xml:space="preserve">ㆍ모든 엔진 구성품에 식별명판/마킹이 부착되었는지 검사
ㆍ육안식별 요건 충족과 데이터 추적 가능성을 확인
</t>
    </r>
    <r>
      <rPr>
        <sz val="3"/>
        <color rgb="FF980000"/>
        <rFont val="Pretendard SemiBold"/>
        <family val="3"/>
        <charset val="129"/>
      </rPr>
      <t>ㆍ부품 탈거 없이 판독 가능한 위치/각도에 명판 부착(가시성, 접근성 확인)여부 검사
ㆍ식별문자 포맷/길이가 정비 추적시스템과 일치(필드 길이 초과/특수문자 규칙 검증)하는지 검사
ㆍ적색 마킹 금지 원칙 준수(예외 시 비적색 인접 표기 병행 및 적색 조명 하 판독 시험 수행)
ㆍ진동/온도/유체 노출 환경에서 영구 판독성(각인 깊이, 대비, 내열·내화학 잉크/레이저 마킹) 확인
ㆍ QR/바코드 사용 시 조명 조건·손상/오염 내성·스캔 거리 등 판독성 시험 추가수행</t>
    </r>
  </si>
  <si>
    <r>
      <t xml:space="preserve">ㆍCritical Part로 지정된 부품들의 식별 및 추적체계(일련번호 등)가 수립되었는지 문서 검사/확인
 </t>
    </r>
    <r>
      <rPr>
        <sz val="3"/>
        <color rgb="FF980000"/>
        <rFont val="Pretendard SemiBold"/>
        <family val="3"/>
        <charset val="129"/>
      </rPr>
      <t>ㆍ문서검사필요사항
-Critical Part/CSI 목록(P/N, S/N, 적용 엔진형식, 한계치) 확정 및 통제
-부품 S/N 영구 마킹, 비마모 참조면 복수 확보, 누적 사이클·시간 기록 공간 표준화
-CIMP 수립: 지정 기준, 승인/변경 통제, 데이터 흐름(정비→품질→신뢰성)
-NDT 주기·방법(UT/ET/PT/VT 등), 수명 관리 로직(LCF/HCF/시간기반) 사양 반영
-교체·반출입 절차(CoC, 출처 검증, 위조품 방지), 전자 추적(UID/IUID) 시스템 연계</t>
    </r>
  </si>
  <si>
    <r>
      <t xml:space="preserve">ㆍ연료·유압 등의 인화성 유체 계통 설계가 화재 방지 기준을 준수하는지 검사
ㆍ안전 요구 충족을 확인
</t>
    </r>
    <r>
      <rPr>
        <sz val="3"/>
        <color rgb="FF980000"/>
        <rFont val="Pretendard SemiBold"/>
        <family val="3"/>
        <charset val="129"/>
      </rPr>
      <t>ㆍ개발과정 중에 실험통한 체크, 필요시 공인기관 인증시험 수행 필요
-화염 노출 시험: 1093 °C(2000 °F), 연료 5 min / 오일·유압 15 min
-실제 유체 최악 조합 유량·압력·온도로 이송
-합격 기준: 눈/계측 누설 무(0 leak), 파열/영구 변형·기능 상실 없음, 사후 수압/기밀 재확인
-진동·열 사이클 연계: 화염 시험 전/후 진동(엔진 시그니처)·열사이클·콜드 소크 수행으로 내구 확인
-설계 검토: 드레인 경로/차폐/배치(고온부 이격), 클램프 피치·유격, 씰·라이너 재료 호환성 점검
-정비성: 교환 주기·토크 스펙·누설 점검 포인트·가시성/접근성, 재사용 금지 부품 정의</t>
    </r>
  </si>
  <si>
    <r>
      <t xml:space="preserve">ㆍ엔진의 화재 예방 설계(방화벽, 단열 등)가 적용되었는지 검사, 관련 분석자료 검토
ㆍ화재예방을 위한 부품/계통별 내외부 고온전파상태 분석자료 검토
</t>
    </r>
    <r>
      <rPr>
        <sz val="3"/>
        <color rgb="FF980000"/>
        <rFont val="Pretendard SemiBold"/>
        <family val="3"/>
        <charset val="129"/>
      </rPr>
      <t>ㆍ부품/계통/전체시스템 실험-시연 간 화재예방상황 모니터링</t>
    </r>
  </si>
  <si>
    <r>
      <t>ㆍ엔진 나셀 내부에 **방화대(</t>
    </r>
    <r>
      <rPr>
        <sz val="3"/>
        <color theme="1"/>
        <rFont val="맑은 고딕"/>
        <family val="3"/>
        <charset val="129"/>
      </rPr>
      <t>區</t>
    </r>
    <r>
      <rPr>
        <sz val="3"/>
        <color theme="1"/>
        <rFont val="Pretendard SemiBold"/>
        <family val="3"/>
        <charset val="129"/>
      </rPr>
      <t>)**를 설정하고 내화 격벽·연소 확산 차단 및 소화장치 설치 준비를 반영
ㆍ표면 냉각 등 열관리로 재질 온도를 발화점 이하로 유지하고 감지(센서)·소화제 분사 인터페이스를 설계
ㆍ전기배선은 방화 슬리브·차단기·배선 경로 분리로 화재 전파를 억제</t>
    </r>
    <phoneticPr fontId="35" type="noConversion"/>
  </si>
  <si>
    <r>
      <t xml:space="preserve">ㆍ엔진의 전기장치 및 인화성 가스 배출계통이 폭발 방지 요구를 충족하는지 확인
ㆍ문서검사, 분석자료검토, 방폭시험으로 검증
</t>
    </r>
    <r>
      <rPr>
        <sz val="3"/>
        <color rgb="FF980000"/>
        <rFont val="Pretendard SemiBold"/>
        <family val="3"/>
        <charset val="129"/>
      </rPr>
      <t xml:space="preserve">ㆍ점화 시험: 가스군(예: IIA/IIB/IIC) 대표 혼합기에서 점화 부재 시험 수행(전압/전류/스위칭 최악조건)
ㆍ온도 시험: 정상·고장가정(단락/발열 최악)에서 표면온도 측정 → 요구 T-등급 이하 확인
ㆍ방폭 시험: 내압/본질안전 등 선택한 보호 방식에 따른 구조·회로 시험(에너지 한계, 루프 무결성)
ㆍEMC/ESD: 방전·서지 인가 시 스파크/아크 비발생, 기능 유지 확인
ㆍ문서화: 위험구역 분류, 가스군/온도등급 지정, 부품인증, 유지보수 절차(씰/가스켓 교체주기)
ㆍ요소기술실험, 계통실험 간에 지속적 확인 수행
</t>
    </r>
  </si>
  <si>
    <r>
      <t xml:space="preserve">ㆍ연료·오일 등의 누출을 처리하는 드레인 계통 구성이 적절한지 검사하여 안전 요구를 충족함을 확인
ㆍICD에 가연성 유체 드레인 관련 정의사항 반영여부 검사
</t>
    </r>
    <r>
      <rPr>
        <sz val="3"/>
        <color rgb="FF980000"/>
        <rFont val="Pretendard SemiBold"/>
        <family val="3"/>
        <charset val="129"/>
      </rPr>
      <t>ㆍ연소부 유입 방지를 분석보고서로 입증 필요
ㆍ색소추적/유량시험을 통해 다양한 자세에서의 배출시간 잔류량 시험 수행
ㆍ시스템 호환성 관련 개발실험 간에 지속 모니터링 필요</t>
    </r>
  </si>
  <si>
    <r>
      <t xml:space="preserve">ㆍ엔진의 공기, 가스 누설 방지 설계(밀봉 등)를 검사하여 허용 누설 한도 내인지 확인
</t>
    </r>
    <r>
      <rPr>
        <sz val="3"/>
        <color rgb="FF980000"/>
        <rFont val="Pretendard SemiBold"/>
        <family val="3"/>
        <charset val="129"/>
      </rPr>
      <t>ㆍ펠릿, 페이스트, 염료, 심지 등 하드웨어 기반 누출탐지기능 구비하고 시스템 동작여부 확인
ㆍ누출관련 센서 통한 탐지기능 구비 및 시스템 동작여부 확인
ㆍ유체/구조역학 관점의 통합시뮬레이션을 통한 누설관련 분석보고서 확인
ㆍ계통-지상-고도모사시험 간에 지속적인 모니터링 수행</t>
    </r>
  </si>
  <si>
    <r>
      <t xml:space="preserve">ㆍ부품 및 설계가 표준 규격을 따르고 있는지 검사
ㆍ부품 호환성 및 정비성 등의 요구사항을 충족함을 확인
</t>
    </r>
    <r>
      <rPr>
        <sz val="3"/>
        <color rgb="FF980000"/>
        <rFont val="Pretendard SemiBold"/>
        <family val="3"/>
        <charset val="129"/>
      </rPr>
      <t>ㆍ형상관리 체계(ECN/PLM)에서 IPL/조립서/표준 목록의 개정 동기화 확인
ㆍ샘플 감사: 조립 토크 기록, 밸런싱 성적서, pair-matching 기록, 라이선스/승인 문서
ㆍ표준 부품 적합성: CoC, 규격(하드마크/라벨), 공급망 지속성 평가
ㆍ전자 전파 절차: 변경 시 정비·조달·교육체계에 T+0 반영 (알림/릴리즈 노트)
ㆍ 현장 인터뷰/감사로 작업자 이해도·준수율 점검, 개선 피드백 루프 운영</t>
    </r>
  </si>
  <si>
    <r>
      <t xml:space="preserve">ㆍ최소 정상상태 성능 정의: 엔진의 최소 정상상태 성능 요구는 3.2.1.3에 규정된 영향 범위 내에서, 정상상태 성능 
   컴퓨터 프로그램 덱 **(a) = “&lt;프로그램명&gt;” (작성일자: &lt;YYYY-MM-DD&gt;)**에 의해 정의되어야 함
</t>
    </r>
    <r>
      <rPr>
        <sz val="3"/>
        <color rgb="FF980000"/>
        <rFont val="Pretendard SemiBold"/>
        <family val="3"/>
        <charset val="129"/>
      </rPr>
      <t xml:space="preserve">-상용프로그램 사용 시 감항인증기준에 부합하는 프로그램을 사용하고 그것을 입증할 수 있어야 하고, 형상관리업무에 포함시켜야함
</t>
    </r>
    <r>
      <rPr>
        <sz val="3"/>
        <color theme="1"/>
        <rFont val="Pretendard SemiBold"/>
        <family val="3"/>
        <charset val="129"/>
      </rPr>
      <t>ㆍ신품/열화 성능 계산: 본 사양 성능 프로그램은 신품 엔진과 3.2.1.4에 규정된 기간만큼 열화된 엔진 모두에 대한 최소 성능을 산출해야함 
- 최소 엔진 사이클 해석은 평균 엔진을 기준으로 하되, 출력(추력 또는 축출력)과 연료유량 기반 산출치를 최소 성능으로 조정
- (b) = “평균 대비 출력(추력/축출력) −&lt;ΔP/T&gt;% 및/또는 연료유량 +&lt;ΔFF&gt;% 바이어스(전 운용영역에 적용, 별도 지정 시 해당 구간 적용)”.
ㆍ최소–평균 관계 명시: 최소 성능–평균 성능 간 관계는 3.2.2.1의 전 운용범위에 대해 명시되어야 함
ㆍ참조 성능 표: 표 IIa, IIb, IIc 및 표 III에는 신품/열화 엔진에 대한 성능 프로그램 결과를 이용한 참조 성능 점을 제공한다 (c) = “열화 기준: &lt;시간/사이클 값&gt; (3.2.1.4에 따라)”.
ㆍ충돌 시 우선순위: 표와 성능 프로그램 간 불일치가 있을 경우, (d) = 성능 컴퓨터 프로그램을 우선으로 함
ㆍ터보프롭/터보샤프트 특기 사항: 정격별 1단 터빈 로터 입구온도(TRIT)는 (e) = 해면고도 정지 표준일(Sea-Level Static, ISA) 조건에서 상수로 설정
 -연료유량·압축기 공력·토크 한계로 제한되는 경우를 제외하고 대기/마하 조건 전체에서 정수 유지되어야 함
ㆍ모델–시험 상관: 리그/HIL/비행 데이터와 상관분석(불확도 명시)</t>
    </r>
    <phoneticPr fontId="35" type="noConversion"/>
  </si>
  <si>
    <r>
      <t xml:space="preserve">ㆍ엔진을 정상 상태 여러 조건에서 해석/분석/시험/시연 수행 
ㆍRFP 및 요구도설정 기준 정상상태 추력·출력 등 정격 성능 수치가 요구값을 충족함을 확인
</t>
    </r>
    <r>
      <rPr>
        <sz val="3"/>
        <color rgb="FF980000"/>
        <rFont val="Pretendard SemiBold"/>
        <family val="3"/>
        <charset val="129"/>
      </rPr>
      <t>ㆍ검증된 모델링 툴을 사용하여 유체/추진해석, 체계모델링 수행하고 시뮬레이션 수행
ㆍ개발단계간에 지상/고도모사 시험/시연 수행
ㆍ산출된 각 수행업무의 결과분석보고서를 검토하고, 객관성/유효성/적절성 판단 
ㆍ정상상태오차 허용범위를 요구도로 산정 및 범위 이내의 성능 달성여부 파악</t>
    </r>
  </si>
  <si>
    <r>
      <t xml:space="preserve">ㆍ과도 성능 모델: 엔진의 현행 또는 평균 과도 성능 요구는 3.2.1.3의 조건에 따라, 과도 성능 컴퓨터 프로그램 덱 
   (a) = “&lt;프로그램명&gt;” (작성일: &lt;YYYY-MM-DD&gt;)**으로 모델링되어야함
</t>
    </r>
    <r>
      <rPr>
        <sz val="3"/>
        <color rgb="FF980000"/>
        <rFont val="Pretendard SemiBold"/>
        <family val="3"/>
        <charset val="129"/>
      </rPr>
      <t>-상용프로그램 사용 시 감항인증기준에 부합하는 프로그램을 사용하고 그것을 입증할 수 있어야 하고, 형상관리업무에 포함시켜야함</t>
    </r>
    <r>
      <rPr>
        <sz val="3"/>
        <color theme="1"/>
        <rFont val="Pretendard SemiBold"/>
        <family val="3"/>
        <charset val="129"/>
      </rPr>
      <t xml:space="preserve">
ㆍ가속/감속 시간 명시: 과도 성능 컴퓨터 프로그램에서 산출된 추력/출력 과도 시간은 3.2.2.7에 해당 형식대로 명시되어야함
ㆍ모델 범위: 3.2.1.3의 환경/고도/속도/전원 상태 조건 세트를 그대로 적용(Hot/High 포함)
ㆍ연계 규정: 3.2.2.7 표/항목에 Idle→Max, Max→Idle, 단계 가속/감속 시간을 수치로 기입(허용치/판정 포함)
ㆍ충돌 시 우선순위: 표와 성능 프로그램 간 불일치가 있을 경우,  성능 컴퓨터 프로그램을 우선으로 함
ㆍ모델–시험 상관: 리그/HIL/비행 데이터와 상관분석(불확도 명시)
ㆍ한계 위반 금지: 3.2.2.7 검증 시 스톨/플레임아웃/온도·속도·토크 한계 초과 없음 확인
ㆍ열화 고려: 신품/열화 엔진 모두에 대해 동일 절차로 과도 시간 산출 및 기입</t>
    </r>
  </si>
  <si>
    <r>
      <t xml:space="preserve">ㆍ엔진을 과도 상태 여러 조건에서 해석/분석/시험/시연 수행 
ㆍRFP 및 요구도설정 기준 과도상태 추력·출력 등 각종 정량적/정성적 성능이 요구값을 충족함을 확인
</t>
    </r>
    <r>
      <rPr>
        <sz val="3"/>
        <color rgb="FF980000"/>
        <rFont val="Pretendard SemiBold"/>
        <family val="3"/>
        <charset val="129"/>
      </rPr>
      <t>ㆍ검증된 모델링 툴을 사용하여 유체/추진해석, 체계모델링 수행하고 시뮬레이션 수행
ㆍ개발단계간에 지상/고도모사 시험/시연 수행
ㆍ산출된 각 수행업무의 결과분석보고서를 검토하고, 객관성/유효성/적절성 판단 
ㆍ과도응답분석을 위한 다양한 성능지표들을 검토하고 요구도로 산정 및 범위/경향성 성능 달성여부 파악</t>
    </r>
  </si>
  <si>
    <r>
      <t xml:space="preserve">ㆍ사양 성능 컴퓨터 프로그램은 SAE AS681에 의거 작성되어야함
ㆍ3.2.1.3의 조건 하에서 아래 (a)~(l) 개별/복합 영향을 모델링할 수 있어야 함(사업특성 및 엔진특성(연료.흡입,설치등)에 맞게 설정)
a. 연료 정압 저발열량(LHV): (a) BTU/lbm, 3.7.3.1의 연료 규정 준수
b. 연료 비중(SG): (b)
c. 표준/비표준 대기: (c)
d. 흡입 압력회수(Inlet Pressure Recovery): (d)
e. 배기 파이프·노즐/팬 덕트·팬 노즐/전·후방 프레임 손실: (e)
f. 고객 블리드 공기 추출(Customer Bleed): (f)
g. 고객 전력 추출(Customer Power Extraction): (g)
h. 엔진 제어계 사용(Engine Control System): (h)
i. 습도(Humidity): (i)
j. 터보샤프트/터보프롭용 출력축 토크 흡수기 특성(3.1.1.9): (j)
k. 차량(항공기) 비행 배기/왜곡 요구와 합치되는 서지여유·운전선: (k)
l. 흡입 왜곡(Inlet Distortion): (l)
</t>
    </r>
    <r>
      <rPr>
        <sz val="3"/>
        <color rgb="FF980000"/>
        <rFont val="Pretendard SemiBold"/>
        <family val="3"/>
        <charset val="129"/>
      </rPr>
      <t>ㆍ상용프로그램 사용 시 감항인증기준에 부합하는 프로그램을 사용하고 그것을 입증할 수 있어야 하고, 형상관리업무에 포함시켜야함
ㆍ상용프로그램 사용 시 위에 제시된 파라미터의 개별/복합 영향을 모델링할 수 있는지 입증 필요</t>
    </r>
  </si>
  <si>
    <r>
      <t xml:space="preserve">ㆍ엔진 성능 예측 컴퓨터 프로그램의 계산 결과를 분석하여 필요한 요구도 결과를 산출하는지 검증
</t>
    </r>
    <r>
      <rPr>
        <sz val="3"/>
        <color rgb="FF980000"/>
        <rFont val="Pretendard SemiBold"/>
        <family val="3"/>
        <charset val="129"/>
      </rPr>
      <t>ㆍ본 문서에서 요구되는 파라미터들이 반영되어 프로그램 구동이 되는지 확인
ㆍ검증된 모델링 툴을 사용하여 유체/추진해석, 체계모델링 수행하고 시뮬레이션 수행
ㆍ기준을 준수하는 개발용 소프트웨어를 활용하여 시뮬레이션 수행</t>
    </r>
  </si>
  <si>
    <r>
      <t xml:space="preserve">ㆍ일정 시간 운용 후의 엔진 추력 저하량 등을 해석/분석/내구시험으로 확인
ㆍ장기간 성능 유지 요구사항을 충족함을 검증
</t>
    </r>
    <r>
      <rPr>
        <sz val="3"/>
        <color rgb="FF980000"/>
        <rFont val="Pretendard SemiBold"/>
        <family val="3"/>
        <charset val="129"/>
      </rPr>
      <t>ㆍ사이클 시험관련 계획/절치/결과분석 보고자료 확보하고 객관성/유효성/적절성 판단
ㆍ필요 시 기준을 준수하는 개발용 소프트웨어 또는 검증된 모델링 툴을 사용하여 
   성능유지 관련 시뮬레이션 수행</t>
    </r>
  </si>
  <si>
    <r>
      <t xml:space="preserve">ㆍ엔진이 요구된 전운용 고도/속도 범위에서 작동 가능한지 확인 필요
ㆍ해석/분석자료 확인, 지상/고도모사 시험으로 확인
</t>
    </r>
    <r>
      <rPr>
        <sz val="3"/>
        <color rgb="FF980000"/>
        <rFont val="Pretendard SemiBold"/>
        <family val="3"/>
        <charset val="129"/>
      </rPr>
      <t>ㆍ필요 시 기준을 준수하는 개발용 소프트웨어 또는 검증된 모델링 툴을 사용하여 
   운용영역관련 입증 시뮬레이션 수행</t>
    </r>
  </si>
  <si>
    <r>
      <t xml:space="preserve">ㆍ엔진이 특별한 기동 자세나 환경 조건(경사, 중력가속 등)에서 정상 작동하는지 시험으로 확인
</t>
    </r>
    <r>
      <rPr>
        <sz val="3"/>
        <color rgb="FF980000"/>
        <rFont val="Pretendard SemiBold"/>
        <family val="3"/>
        <charset val="129"/>
      </rPr>
      <t>ㆍ필요 시 기준을 준수하는 개발용 소프트웨어 또는 검증된 모델링 툴을 사용하여 
   운용자세 및 조건 하의 연속작동, 정량정/정성적 요구도 달성여부 관련 시뮬레이션 수행</t>
    </r>
  </si>
  <si>
    <r>
      <t xml:space="preserve">ㆍ엔진의 시동 능력을 시험으로 검증하여 시동 시간, 조건 등이 요구사항을 충족하는지 확인
ㆍ지상에서 엔진을 시동하여 시험하고, 시동 성공율과 시간 등이 요구 조건에 부합하는지 확인
</t>
    </r>
    <r>
      <rPr>
        <sz val="3"/>
        <color rgb="FF980000"/>
        <rFont val="Pretendard SemiBold"/>
        <family val="3"/>
        <charset val="129"/>
      </rPr>
      <t xml:space="preserve">ㆍ필요 시 기준을 준수하는 개발용 소프트웨어 또는 검증된 모델링 툴을 사용하여 
   지상시동관련 입증 시뮬레이션 수행하고, 성능예측분석 수행
ㆍ개발간에 시동시스템을 요소기술시험으로 수행할 수 있다면, 부분적인 기능시험 관련 수행결과분석을
   통해 성능예측
</t>
    </r>
    <r>
      <rPr>
        <sz val="3"/>
        <color theme="1"/>
        <rFont val="Pretendard SemiBold"/>
        <family val="3"/>
        <charset val="129"/>
      </rPr>
      <t>. Figure 9a/9b 준비: 
-9a: 고도·온도별 시동시간 한계 표/곡선
-9b: 풍속/풍향(순풍·횡풍·난류) 엔벨로프.
. 핫 소크 시험
-챔버 또는 현장에서 Figure 5 최대 고온까지 엔진·라인(흡입 공기/연료/오일) 열평형 후 시동.
-(c) h 소크 + 시동, 셧다운 후 (e) min 리소크 + 재시동. 시동성공 기준(RPM/점화/자립, 시간≤9a) 판정.
. 콜드 소크 시험
-Figure 5 최저 저온에서 (h) h 소크. (f) 연료·(g) 오일 사용, 라인·탱크 온도 일치 확인
-시동시간, 배터리/스타터 성능, 베이퍼락/연료 점화 지연 無 확인
. 연속 시동 사이클
주어진 횟수 연속 시동, 각 사이클 간 시간 이하. 온도 상승/열화 모니터링.
. 풍조건 검증
- 9b 엔벨로프 내 풍속·방향 조건에서 시동 시험(흡입 왜류/역화·플레임아웃 無).
. 데이터 무결성
- 로그: 온도(흡입·연료·오일)·전압/전류·연료가압·오일압·RPM·EGT/ITT, 성공/실패 판정.
- 불일치 시 조치: 원인분석(연료성상, 제어 로직, 스타터 토크)→ 덱/절차/부품 보정.</t>
    </r>
  </si>
  <si>
    <r>
      <t xml:space="preserve">ㆍ고도모사시험 중 공중재시동이 가능한지 시험하여 요구 조건을 충족함을 확인
ㆍ공중재시동 관련 해석/분석자료 확인
</t>
    </r>
    <r>
      <rPr>
        <sz val="3"/>
        <color rgb="FF980000"/>
        <rFont val="Pretendard SemiBold"/>
        <family val="3"/>
        <charset val="129"/>
      </rPr>
      <t>ㆍ필요 시 기준을 준수하는 개발용 소프트웨어 또는 검증된 모델링 툴을 사용하여 
   고도모사조건 하의 시동성능 정량정/정성적 요구도 관련 달성여부 시뮬레이션 수행</t>
    </r>
  </si>
  <si>
    <r>
      <t xml:space="preserve">ㆍ최대 고도/온도 등 시험을 통해 엔진의 시동 한계 조건을 확인하고 요구 스펙 내에 있음을 검증
ㆍ고도모사시험 중 운용영역경계점(최고고도, 최저속도 등)하의 시험하여 요구 조건을 충족함을 확인
-시동시간이 한계 이내(미초과) 입증
ㆍ열조건 시험: 핫/콜드 소크 후 시동(연료/오일/흡입공기 온도 일치) 및 한계 초과 시 중단 로직동작 검증
ㆍ블리드/전력 인출 영향: 최대치 적용 상태에서 시동 성공/시간/온도 한계 검증
</t>
    </r>
    <r>
      <rPr>
        <sz val="3"/>
        <color rgb="FF980000"/>
        <rFont val="Pretendard SemiBold"/>
        <family val="3"/>
        <charset val="129"/>
      </rPr>
      <t>ㆍ필요 시 기준을 준수하는 개발용 소프트웨어 또는 검증된 모델링 툴을 사용하여 
   고도모사조건 하의 시동한계 정량정/정성적 요구도 관련 달성여부 시뮬레이션 수행</t>
    </r>
  </si>
  <si>
    <r>
      <t xml:space="preserve">ㆍ조종사가 특별한 숙련없이 시동할 수 있는지 엔진 시동 시범을 통해 절차의 간단명료함을 입증
</t>
    </r>
    <r>
      <rPr>
        <sz val="3"/>
        <color rgb="FF980000"/>
        <rFont val="Pretendard SemiBold"/>
        <family val="3"/>
        <charset val="129"/>
      </rPr>
      <t>ㆍ시동절차분석한 기술자료를 통한 입증
ㆍ필요 시 기준을 준수하는 개발용 소프트웨어 또는 검증된 모델링 툴을 사용하여 
   시동절차모사하고 이와 관련한 정량정/정성적 요구도 달성여부 시뮬레이션 수행</t>
    </r>
  </si>
  <si>
    <r>
      <t xml:space="preserve">ㆍ엔진 정지 신호 입력 시 연료공급 차단 등 시험을 통해 어떤 출력 상태에서도 안전하게 시동차단 입증
ㆍ시동차단절차분석한 기술자료를 통한 입증
</t>
    </r>
    <r>
      <rPr>
        <sz val="3"/>
        <color rgb="FF980000"/>
        <rFont val="Pretendard SemiBold"/>
        <family val="3"/>
        <charset val="129"/>
      </rPr>
      <t>ㆍ필요 시 기준을 준수하는 개발용 소프트웨어 또는 검증된 모델링 툴을 사용하여 
   시동차단모사하고 이와 관련한 정량정/정성적 요구도 달성여부 시뮬레이션 수행</t>
    </r>
    <r>
      <rPr>
        <sz val="3"/>
        <color theme="1"/>
        <rFont val="Pretendard SemiBold"/>
        <family val="3"/>
        <charset val="129"/>
      </rPr>
      <t xml:space="preserve">
-정지 시간/조건 시험: 지상/고도 대표점에서 T_shutdown, EGT 스파이크, 잔여 분사 측정
-쿨다운 검증: 아이들 일정시간\ 후 정지 vs 즉시 정지 열 과도 비교(온도 구배/크랙 검사)
-비상 차단: 전원 상실/화재 가정 하 Emergency cutoff 시험(재시동 가능 여부 포함)
-누설/드레인: 정지 후 연료·오일 누설, 드레인 경로 기능, 화재 위험 평가
-FADEC 로직: 자동 쿨다운·차단 순서·재시동 인터록·상태 피드백 로그 확인</t>
    </r>
  </si>
  <si>
    <r>
      <t xml:space="preserve">ㆍ엔진이 지상 및 공중 아이들 상태에서 요구되는 최소 추력/출력을 내는지 시험으로 확인
</t>
    </r>
    <r>
      <rPr>
        <sz val="3"/>
        <color rgb="FF980000"/>
        <rFont val="Pretendard SemiBold"/>
        <family val="3"/>
        <charset val="129"/>
      </rPr>
      <t>ㆍ필요 시 기준을 준수하는 개발용 소프트웨어 또는 검증된 모델링 툴을 사용하여 
   아이들추력/출력상황 모사하고 이와 관련한 정량정/정성적 요구도 달성여부 시뮬레이션 수행</t>
    </r>
    <r>
      <rPr>
        <sz val="3"/>
        <color theme="1"/>
        <rFont val="Pretendard SemiBold"/>
        <family val="3"/>
        <charset val="129"/>
      </rPr>
      <t xml:space="preserve">
ㆍ모델시뮬레이션-리그시험-지상/고도모사시험 상관으로 Table II 기입
-지상/비행 아이들 추력/출력, SFC, N(코어/팬)·오일압/온도, 안정성 기준(멈춤·맥동 금지)
-아이들→가속 응답 시간, 한계(온도·속도·진동) 미초과 조건 포함
ㆍ수단 명시(본문/ICD)
-FADEC 로직(아이들 모드 전환 조건, 연료 스케줄, IGV/VBV/블리드 포지션)
-전환 히스테리시스/지연(지상→비행 아이들, 환경/속도/Weight-on-Wheels 조건)
-기계적 수단(스톱/그라운드 아이들 캘리브레이션, 스로틀/PLA 범위, 센서·스위치 인터페이스)
ㆍ검증
-모델–리그–비행 상관으로 Table II 값 재현
-전환 중/아이들 유지 중 Red-line 미초과 확인, 조종성/지상 활주 속도 영향 평가
-ICD–사양–테이블 동기화(충돌 시 우선순위 규정)</t>
    </r>
  </si>
  <si>
    <r>
      <t xml:space="preserve">ㆍ엔진 출력축에 부하가 걸리지 않은 무부하 상태에서 엔진이 안정적으로 작동하는지 시험으로 검증
</t>
    </r>
    <r>
      <rPr>
        <sz val="3"/>
        <color rgb="FF980000"/>
        <rFont val="Pretendard SemiBold"/>
        <family val="3"/>
        <charset val="129"/>
      </rPr>
      <t>ㆍ필요 시 기준을 준수하는 개발용 소프트웨어 또는 검증된 모델링 툴을 사용하여 
   무부하조건상황모사하고 이와 관련한 정량정/정성적 요구도 달성여부 시뮬레이션 수행</t>
    </r>
    <r>
      <rPr>
        <sz val="3"/>
        <color theme="1"/>
        <rFont val="Pretendard SemiBold"/>
        <family val="3"/>
        <charset val="129"/>
      </rPr>
      <t xml:space="preserve">
-부하 안정성: T_out=0 상태에서 거버닝 RPM 유지, 한계(온도/속도/진동) 미초과 확인
-전이 시험(Load↔No-load): 급/완만 전이 모두에서 3.2.2.7 불일치 한계 이내, 서지/스톨/오버스피드없음
-덱 일치성: N_g@no-load(덱) ↔ 지상/고도 시험 상관, 고도 상한까지 성능/한계 충족
-토션 계 연계: 파워 흡수기 J, K_t, C_t(3.1.1.9)와 제어 로직이 무부하·전이 조건에서 오버스피드 방지 달성
-보호 로직: 무부하 감지 시 연료 스케줄 감쇠/리미터 동작, Fail-safe(센서 고장 시 과속 방지) 검증</t>
    </r>
  </si>
  <si>
    <r>
      <t xml:space="preserve">ㆍ엔진이 운용 범위 전역에서 공력/연소적으로 안전(서지/실속없음)한지 시험으로 확인
ㆍ운용범위 내의 안정성 요구를 검증
</t>
    </r>
    <r>
      <rPr>
        <sz val="3"/>
        <color rgb="FF980000"/>
        <rFont val="Pretendard SemiBold"/>
        <family val="3"/>
        <charset val="129"/>
      </rPr>
      <t>ㆍ필요 시 기준을 준수하는 개발용 소프트웨어 또는 검증된 모델링 툴을 사용하여 
   운용범위 내의 worst case 환경 하의 안정성 관련한 정량정/정성적 요구도 달성여부 시뮬레이션 수행</t>
    </r>
    <r>
      <rPr>
        <sz val="3"/>
        <color theme="1"/>
        <rFont val="Pretendard SemiBold"/>
        <family val="3"/>
        <charset val="129"/>
      </rPr>
      <t xml:space="preserve">
ㆍ정의/측정확인
-변동은 peak-to-peak 기준, 윈도우 길이/필터 대역(예: 0.1–10 Hz) 명시
-측정점: SLS/ISA, Hot/High, 고도/마하 코너 포인트(아이들, 중간, 최대 연속, 증강)
ㆍ정상상태 변동 시험
-각 파워 점에서 ≥60 s 유지, Thrust/Power RMS·P-P 계산 → (a)(b)(c)·(e) 충족 확인
-주요 이산 주파수(회전체 통과/기체 고유치 등) 사이 기간 ≥ (d) s 확인
ㆍ급가감속 내성
-최악 연소/제어 공차 포함 급가감속 프로파일에서 블로아웃/플레임아웃 無, 한계(red-line) 미초과
ㆍ블리드/전력 인출 영향
-최대 블리드/전력 인출 조건에서 변동치 재측정 → 수요 변조 불요 및 한계 유지 입증
ㆍ모델–시험 상관
-성능/제어 덱과 변동 스펙트럼(PSD) 상관, 불일치 시 원인(센서/제어/설치) 분석 및 보정
ㆍ보고/합격 기준
-각 조건별 P-P%, 절대 변동(lbf/kW), 주파수·기간(d), 사건 로그 첨부
-불합격 트리거: (a)~(e) 초과, 불안정 연소 지표, 증강 점화 지연/실패</t>
    </r>
  </si>
  <si>
    <r>
      <t xml:space="preserve">ㆍ엔진 추력/출력을 급변시킬 때 발생하는 과도 응답 특성을 시험
ㆍ과도 상태 요구사항(오버슈트/언더슈트 등) 충족을 확인
</t>
    </r>
    <r>
      <rPr>
        <sz val="3"/>
        <color rgb="FF980000"/>
        <rFont val="Pretendard SemiBold"/>
        <family val="3"/>
        <charset val="129"/>
      </rPr>
      <t xml:space="preserve">ㆍ필요 시 기준을 준수하는 개발용 소프트웨어 또는 검증된 모델링 툴을 사용하여 
   운용범위 내의 내부제어-외부제어 관련한 정량정/정성적 요구도 달성여부 시뮬레이션 수행
ㆍ시스템 식별을 통한 선형 모델 추출 또는 시뮬레이션 환경 하의 비선형 모델 구성
ㆍ제어법칙설계 및 시스템식별-비선형모델안정성 분석자료 확인 및 검증
ㆍ과도응답 관련 시간영역/주파수영역 성능-안정성지표 확보
ㆍ시뮬레이션 및 실험/시험/시연 간의 오버슈트, 언더슈트 상태 분석 및 요구도만족여부 판단
</t>
    </r>
    <r>
      <rPr>
        <sz val="3"/>
        <color theme="1"/>
        <rFont val="Pretendard SemiBold"/>
        <family val="3"/>
        <charset val="129"/>
      </rPr>
      <t>1) 정의/환경
-표준일/비표준일 정의, 설치 효과(흡입/배기/블리드/전력 인출/왜곡) 조합 매트릭스 수립
-프라이머리/백업 제어 모드별 기준 트랜지언트 프로파일(Idle↔Int↔Max/증강 포함) 정의
2) 계측/기준
-시간 표준: t₉₀(또는 t₉₅) = (d)% 도달 시간, t_total = 안정 도달 시간
-한계 감시: 트랜지언트 중 N/EGT/토크/진동 레드라인 미초과
3) 시험
-리그/HIL: 제어 로직(이득/리미터/피드포워드) 검증, 백업 모드 편차 (a) 이내 확인
-지상/고도 엔진 시험: 표준일·Hot/High·Cold에서 (b)% 이내 충족
-사인 요구 시험: p-p (e)% @ (f) Hz 입력 → 발산 無, 위상 ≤ (g)°, 피크 ≥ (h)% 확인
4) 문서화/형상관리
-Figure 11 / 표에 t₉₀, t_total 기입, 프라이머리–백업 편차, 설치 보정치 명시
-성능 덱(AS681)과 시험 결과 상관·개정 이력 관리
-엔진 제작사–항공기 제작사–Using Service가 프로그램별 합의로 각종 파라미터 최종 확정
-조건: SLS/ISA, ≤10k ft/0–150 KIAS, &gt;10k ft 대표점, 설치효과(블리드/전력 인출/노즐/왜곡) 없는/있는 케이스
-측정: 각 전이(무부하↔MC/I, Idle↔Max, MC/I↔Full Rev, 10/20/30/40/50% 구간 등)의 t₉₀/t_total 기록
-한계 준수: 과도 중 N/EGT/토크/진동 레드라인 미초과, 오버슈트/언더슈트는 별도 과도 변동 요구(±X%, Z s) 충족
-자유터빈: 아이들 경유 시퀀스가 일관됨을 입증(프로펠러 과속 방지 확인)
-자료: Idle &amp; 10/20/30/40/50% → MC/I &amp; MAX의 Power–time 곡선/표를 모델 사양에 첨부</t>
    </r>
  </si>
  <si>
    <r>
      <t xml:space="preserve">ㆍ엔진 부하 변화 시 출력 유지 편차(드룹) 정도를 시험으로 확인하여 안정적인 출력 제어 요구를 충족함을 검증
</t>
    </r>
    <r>
      <rPr>
        <sz val="3"/>
        <color rgb="FF980000"/>
        <rFont val="Pretendard SemiBold"/>
        <family val="3"/>
        <charset val="129"/>
      </rPr>
      <t>ㆍ필요 시 기준을 준수하는 개발용 소프트웨어 또는 검증된 모델링 툴을 사용하여 
   드룹상태 내부제어-외부제어 관련한 정량정/정성적 요구도 달성여부 시뮬레이션 수행</t>
    </r>
    <r>
      <rPr>
        <sz val="3"/>
        <color theme="1"/>
        <rFont val="Pretendard SemiBold"/>
        <family val="3"/>
        <charset val="129"/>
      </rPr>
      <t xml:space="preserve">
-가속/감속 프로파일(Idle→MC/Max, step/ramp)에서 Tpeak ≤ Tlim+△T, dT/dt ≤ R, 지속시간 ≤ Z s
-비정상일·설치 효과 적용(블리드/전력 인출/왜곡/노즐) 시에도 동일 기준 충족
-급감속시나리오: 안정 연소 유지(플레임아웃 無), 서지 여유 확보, 한계 미초과
-FADEC 로직: T4 trim/리미터 우선순위(온도&gt;속도&gt;토크), 오류·센서 결함 시 Fail-safe 동작 확인
</t>
    </r>
    <r>
      <rPr>
        <sz val="3"/>
        <color rgb="FF980000"/>
        <rFont val="Pretendard SemiBold"/>
        <family val="3"/>
        <charset val="129"/>
      </rPr>
      <t>-부하가 증가하더라도 정상상태오차, 과도응답상태변수 일정 오차범위 이내 존재함을 확인</t>
    </r>
    <r>
      <rPr>
        <sz val="3"/>
        <color theme="1"/>
        <rFont val="Pretendard SemiBold"/>
        <family val="3"/>
        <charset val="129"/>
      </rPr>
      <t xml:space="preserve">
ㆍ 모델–리그–비행 상관달성: 프로그램산출 vs 시험 데이터 일치, 불일치 시 보정/근거 문서화</t>
    </r>
  </si>
  <si>
    <r>
      <t xml:space="preserve">ㆍ엔진에 연료공급 없이 바람에 의해 회전(windmilling)될 때 각 회전계통이 무리없이 견디는지 시험하여 확인
</t>
    </r>
    <r>
      <rPr>
        <sz val="3"/>
        <color rgb="FF980000"/>
        <rFont val="Pretendard SemiBold"/>
        <family val="3"/>
        <charset val="129"/>
      </rPr>
      <t>ㆍ필요 시 기준을 준수하는 개발용 소프트웨어 또는 검증된 모델링 툴을 사용하여 
   윈드밀링상태 하의 엔진상태 관련한 정량정/정성적 요구도 달성여부 시뮬레이션 수행</t>
    </r>
    <r>
      <rPr>
        <sz val="3"/>
        <color theme="1"/>
        <rFont val="Pretendard SemiBold"/>
        <family val="3"/>
        <charset val="129"/>
      </rPr>
      <t xml:space="preserve">
ㆍ해석/모델
-성능프로그램에 N_wm(V,M,Alt)·Drag(V,M,Alt)·윤활 모델 반영, 설치 효과(인렛/노즐/왜곡) 포함
-토션계(파워 흡수기) J, K_t, C_t 와 제어 로직 결합 모델로 오버스피드 억제 시뮬레이션
ㆍ리그/지상 시험
-프로펠러 페더/베타 전환 시간 t_feather 시험, 항력 감소 검증
-엔진 오일 공급성(압력/유량/발포)·베어링/기어 온도 평가(저온/고온·고도 챔버)
ㆍ지상/고도모사 시험
-Drag 곡선 계측(피토/후류 추정/추력스탠드 상관), 대표 고도·속도 점에서 Figure WM-1 상한 충족
-지속 윈드밀링 시간 후 후 재시동(Figure 10) 및 정상 운용 확인
-단/다발 운용 시나리오(한쪽 엔진 윈드밀링, 다른 엔진 보상출력)에서 실속 여유 확인
ㆍ합격 판정
-Drag 한도/ N_wm 상한/윤활·온도 한계/재시동 시간 모두 충족
-손상·비정상 진동·금속칩 발생 없음(칩 센서/오일 분석)</t>
    </r>
  </si>
  <si>
    <r>
      <t xml:space="preserve">ㆍ엔진이 정상/과도 상태에서 요구되는 공기 흡입·배기 유량을 유지하는지 시험으로 측정하여 확인
</t>
    </r>
    <r>
      <rPr>
        <sz val="3"/>
        <color rgb="FF980000"/>
        <rFont val="Pretendard SemiBold"/>
        <family val="3"/>
        <charset val="129"/>
      </rPr>
      <t>ㆍ필요 시 기준을 준수하는 개발용 소프트웨어 또는 검증된 모델링 툴을 사용하여 
   정상/과도상태 하의 유동상태 관련한 정량정/정성적 요구도 달성여부 시뮬레이션 수행</t>
    </r>
    <r>
      <rPr>
        <sz val="3"/>
        <color theme="1"/>
        <rFont val="Pretendard SemiBold"/>
        <family val="3"/>
        <charset val="129"/>
      </rPr>
      <t xml:space="preserve">
ㆍ정의/상관
-성능·과도 **덱(AS681)**의 입력/가정/해상도 명시, 시험 조건과 일치
-정상/과도 대표점(SLS/Hot-High/Cold, 설치 영향 유무) 선정
ㆍ정상상태 시험
-각 대표점에서 ṁ_air,ss 측정 → ±(a)% 내인지 판정
-비표준 대기(ΔISA) 및 열화 엔진 케이스 포함
ㆍ과도 시험
-시나리오별 t₉₀/t_total 내 ṁ_air,tr 측정 → ±(b)% 준수, (c)% 이탈 금지
-동시 감시: 서지센서/압축기 맵 위치/진동(서지 접근 無), 흡입구 압력 회수/왜곡 계수
ㆍ흡입구–엔진 호환성
-왜곡(DC60/AC) 인가 상태에서 유량 한계 충족 및 서지/실속 무발생 입증
-블리드/전력 인출/안티아이스 조합 시에도 동일 기준 충족
ㆍ보고/형상관리
-시험–모델 잔차(%)와 불확도 제시, 한계 근접 시 보정 계획 수립/실천
-Table/Figure 개정 시 PLM 동기화, 표–덱–ICD 수치 일치
-예시수치 참고하여 협의 하에 수치 결정</t>
    </r>
  </si>
  <si>
    <r>
      <t>ㆍ흡입구에서의 공기유동 왜곡(압력</t>
    </r>
    <r>
      <rPr>
        <sz val="3"/>
        <color theme="1"/>
        <rFont val="Arial"/>
        <family val="2"/>
      </rPr>
      <t>・</t>
    </r>
    <r>
      <rPr>
        <sz val="3"/>
        <color theme="1"/>
        <rFont val="Pretendard SemiBold"/>
        <family val="3"/>
        <charset val="129"/>
      </rPr>
      <t>온도 분포의 비균일성)은 엔진 서지, 스톨 등을 유발할 수 있는 중요한 설계 인자
ㆍ본 요구는 엔진-기체 간 호환성을 위해 허용 가능한 흡입류 왜곡의 한계를 정의
-엔진이 해당 왜곡 조건에서도 서지</t>
    </r>
    <r>
      <rPr>
        <sz val="3"/>
        <color theme="1"/>
        <rFont val="Arial"/>
        <family val="2"/>
      </rPr>
      <t>・</t>
    </r>
    <r>
      <rPr>
        <sz val="3"/>
        <color theme="1"/>
        <rFont val="Pretendard SemiBold"/>
        <family val="3"/>
        <charset val="129"/>
      </rPr>
      <t>플레임아웃 없이 작동하도록 보장
-공력 설계: 인렛 압력회수·균일화 장치, 경계층 흡입/벌크헤드, 덕트 코어링으로 왜곡 완화
-제어 협조: IGV/VSV/VBV 스케줄, 안정화 블리드, 연료 스케줄 램프로 왜곡 흡수
-임무 이벤트: 총/로켓 배기가스·증기 유입 시 자동 연속점화/재점화 로직 연동(3.2.2.3.5 정합)
ㆍ설계요점
-계면 정의(AIP): 엔진–기체 공력 계면면(AIP)은 (a)에 정의된 위치·좌표계·기하로 함
-계측 그리드(반경/주각/레이크 수, 정온/정압/총온/총압 포트)와 표준화 샘플링 속도/필터는 부록 A에 명시
-정량 지표·방법론: 흡입 왜곡의 정의·평가·가공은 (b)에 따라 수행(예: SAE ARP1420의 총압 왜곡 DCθ, DC60, AC, 온도 왜곡 ΔT, 와류/스월 및 복합 왜곡)
-허용 한계: 엔진은 Figure 13 / Table ID-1에 제시된 정상·동적(주파수 f ≤ ___ Hz, P–P ≤ ___) 왜곡 한계 내에서 
                 서지·스톨·플레임아웃·한계초과(속도/온도/토크) 無로 운전
-임무·이벤트 반영: 기동, AB, 무장 발사(총·로켓 배기가스), 갑판 증기 등 임무상 비정상 흡입 이벤트의 왜곡 등가치를 산정하여 Figure 13에 포함
-확인·검증: 왜곡 스크린/그리드·플랩·가변 노즐 등을 이용한 지상 엔진 시험 및 비행/설치 시험으로 Table ID-1 충족을 입증한다(3.2.2.11 정합)
-모델 정합: 성능/제어 덱(3.2.1.1/1.2)과 왜곡 맵의 상관(서지 여유(SM), 운전선)은 시험 데이터와 ±___% 이내 오차로 일치해야함
-동작 요구: 왜곡 한계 내에서 블리드/IGV/VSV/VBV 협조 및 FADEC 보호 로직으로 안정 여유를 유지하고, 추력/출력 저하는 ≤ ___% 이내로 제한
(a) AIP 위치 예): 인렛 립 후방 x = ___ mm, 엔진 축 기준 R = ___, θ = 0° at top-dead-center.
(b) 방법론: SAE ARP1420 최신판 또는 당사 승인 동등 기준(정의·계측·후처리·정적/동적 왜곡)
Table ID-1 권장 항목: DC60max ≤ __, ACmax ≤ __, ΔTmax ≤ __ K, Swirl ≤ __ deg, Dynamic f ≤ __ Hz, P–P ≤ __, 
                  조건(Alt/M/ΔISA/AB/무장/블리드 조합).
Figure 13: 최악/임계 패턴(세그먼트, 쿠키바이트, 하프링, 스텝, 스월, 온도 링/스팟, 복합)을 필수+선택으로 표기</t>
    </r>
  </si>
  <si>
    <r>
      <t xml:space="preserve">ㆍ다양한 비행자세·조건에서 엔진 흡입공기의 유동 왜곡 허용치를 시험(흡입 왜류 시험)으로 확인
ㆍ요구 조건을 충족함을 검증
</t>
    </r>
    <r>
      <rPr>
        <sz val="3"/>
        <color rgb="FF980000"/>
        <rFont val="Pretendard SemiBold"/>
        <family val="3"/>
        <charset val="129"/>
      </rPr>
      <t>ㆍ필요 시 기준을 준수하는 개발용 소프트웨어 또는 검증된 모델링 툴을 사용하여 
   정상/과도상태 하의 흡입구 공기유동왜곡 관련한 정량정/정성적 요구도 달성여부 시뮬레이션 수행</t>
    </r>
    <r>
      <rPr>
        <sz val="3"/>
        <color theme="1"/>
        <rFont val="Pretendard SemiBold"/>
        <family val="3"/>
        <charset val="129"/>
      </rPr>
      <t xml:space="preserve">
-계측 준비: AIP 레이크/그리드 설치·교정, 정압·총압·총온·스월 센서 배치, DAQ 동기화
-지상 엔진 시험: 왜곡 스크린·블록/스텝/스월러 사용, 각 패턴×강도×주파수에서 무서지/무플레임아웃 확인
-비행/설치 시험: 기동/AB/무장 이벤트 재현, AIP 왜곡량 계측→Figure 13 한계 이하 입증
-서지 여유/운전선: 맵 기반 SM ≥ ___% 유지, 변동 시 제어 협조로 회복
-모델–시험 상관: 덱 대비 ΔDC/ΔAC/ΔT 및 추력 영향 오차 ≤ ±___%
-문서 동기화: Figure 13·Table ID-1·ICD 수치 일치, 개정 시 PLM 연동</t>
    </r>
  </si>
  <si>
    <r>
      <t xml:space="preserve">ㆍ엔진 입구 유동의 압력·온도 변화율 허용 한계를 시험으로 확인
ㆍ엔진이 해당 변화율에서 안정적으로 작동함을 검증
</t>
    </r>
    <r>
      <rPr>
        <sz val="3"/>
        <color rgb="FF980000"/>
        <rFont val="Pretendard SemiBold"/>
        <family val="3"/>
        <charset val="129"/>
      </rPr>
      <t>ㆍ필요 시 기준을 준수하는 개발용 소프트웨어 또는 검증된 모델링 툴을 사용하여 
   정상/과도상태 하의 압력/온도변화율 관련한 정량정/정성적 요구도 달성여부 시뮬레이션 수행</t>
    </r>
    <r>
      <rPr>
        <sz val="3"/>
        <color theme="1"/>
        <rFont val="Pretendard SemiBold"/>
        <family val="3"/>
        <charset val="129"/>
      </rPr>
      <t xml:space="preserve">
ㆍ해석(사전 상관)
-CFD/1-D 흡입 시스템 모델로 충격/가스 유입 케이스의 AIP 시계열(P(t), T(t)) 생성
-성능/제어 덱과 연동하여 서지 여유(SM)·운전선 이동, 연소 안정 민감도 확인
ㆍ지상/고도모사시험
-과압 발생기/플랩·블리드·가열기로 dP/dt, dT/dt 프로파일 재현(단독/복합, 반복)
-합격 기준: 무서지/무플레임아웃, 레드라인 미초과, 추력/출력 드룹/오버슈트 규격 만족, 정상 복귀 시간 충족
-반복/내구: 다회 이벤트 인가 시에도 성능/상태 열화 없음(칩·진동·온도 상승 추세 無)
-무장 발사/증강/기동 등 대표 이벤트 재현 → AIP dP/dt·dT/dt 계측, 지상 결과 상관
-폭발 충격 대응 프로그램은 지상 충격 시험(과압)과의 등가성 입증</t>
    </r>
  </si>
  <si>
    <r>
      <t>ㆍ압력/온도 급격 변화는 터빈엔진 배기가스, 로켓/포 발사 가스, 핵</t>
    </r>
    <r>
      <rPr>
        <sz val="3"/>
        <color theme="1"/>
        <rFont val="Arial"/>
        <family val="2"/>
      </rPr>
      <t>・</t>
    </r>
    <r>
      <rPr>
        <sz val="3"/>
        <color theme="1"/>
        <rFont val="Pretendard SemiBold"/>
        <family val="3"/>
        <charset val="129"/>
      </rPr>
      <t>재래 폭발 충격파 등으로 인해 발생
ㆍ과거 전투기에서 로켓포 발사 시 급격한 온도 상승으로 압축기 실속이 발생한 사례가 보고
ㆍ엔진이 명시된 최대 압력/온도 상승률을 견뎌야 하도록 요구하여, 극한 상황에서도 엔진 안정도를 확보</t>
    </r>
  </si>
  <si>
    <r>
      <t>ㆍ사양에는 엔진이 견딜 수 있는 압력</t>
    </r>
    <r>
      <rPr>
        <sz val="3"/>
        <color theme="1"/>
        <rFont val="Arial"/>
        <family val="2"/>
      </rPr>
      <t>・</t>
    </r>
    <r>
      <rPr>
        <sz val="3"/>
        <color theme="1"/>
        <rFont val="Pretendard SemiBold"/>
        <family val="3"/>
        <charset val="129"/>
      </rPr>
      <t>온도 변화율과 지속시간을 표로 제시 
-엔진 입구 압력 (a) kPa/sec의 변화율을 (b)초 지속, 온도 (c)℃/sec의 변화율을 (d)초 지속 견딜 것
ㆍ변화율 수치는 항공기 임무 분석을 통해 결정
-핵/재래 폭발로 인한 과압 충격이 압력 변화율을 좌우
-로켓/포 가스 흡입이 온도 변화율을 좌우</t>
    </r>
  </si>
  <si>
    <r>
      <t>ㆍ엔진이 운용 한계 내</t>
    </r>
    <r>
      <rPr>
        <sz val="3"/>
        <color theme="1"/>
        <rFont val="Arial"/>
        <family val="2"/>
      </rPr>
      <t>・</t>
    </r>
    <r>
      <rPr>
        <sz val="3"/>
        <color theme="1"/>
        <rFont val="Pretendard SemiBold"/>
        <family val="3"/>
        <charset val="129"/>
      </rPr>
      <t>외에서 일시적으로 스톨 등 상태에 빠지더라도 자동으로 신속히 정상 상태로 복귀할 수 있어야함 
ㆍ이는 단발 엔진기 등에서 엔진 정지가 치명적일 수 있으므로, 만일의 스톨 발생 시 조종사 개입 없이 엔진이 자체 복원되도록 설계하기 위함
ㆍ실제 운영상 과도한 운용으로 일시적 스톨을 경험한 사례가 있어, 엔진 자기복원 기능은 안전성과 신뢰성을 높이는 중요한 요소
ㆍ요구 해석 및 적용 방법
-원인 제거 후 엔진이 자동으로 안전한 정상상태로 복귀해야함 
-복귀 소요 시간은 해당 가속/시동 시간 합계보다 최대 일정시간 추가 이내여야 함</t>
    </r>
  </si>
  <si>
    <r>
      <rPr>
        <sz val="3"/>
        <color rgb="FF980000"/>
        <rFont val="Pretendard SemiBold"/>
        <family val="3"/>
        <charset val="129"/>
      </rPr>
      <t>ㆍ필요 시 기준을 준수하는 개발용 소프트웨어 또는 검증된 모델링 툴을 사용하여 
   엔진회복시나리오하의 정량정/정성적 요구도 달성여부 시뮬레이션 수행</t>
    </r>
    <r>
      <rPr>
        <sz val="3"/>
        <color theme="1"/>
        <rFont val="Pretendard SemiBold"/>
        <family val="3"/>
        <charset val="129"/>
      </rPr>
      <t xml:space="preserve">
ㆍ자동 복귀(Self-Recovery): 엔진이 일시 스톨/서지/플레임아웃 등 비정상 상태에 진입하더라도, 
   원인 제거 후(예: 왜곡/급변 압·온도 이벤트 종료, 연료·점화 정상화) 조종사 개입 없이 
   자동으로 정상상태(steady state)로 복귀해야함
ㆍ복귀 시간 한도: 복귀에 소요되는 총 시간 T_recover는, 해당 상태에서 요구되는 과도 가속 시간
    t_accel(3.2.2.7)과 시동 시간 t_start(3.2.2.3)의 합계에 ΔT ≤ ___ s만큼을 더한 값 이내여야함
ㆍ한계 준수: 복귀 과정 전·중·후에 엔진 한계(속도/온도/토크/진동)를 초과해서는 안 되며, 
   추력/출력 드룹·오버슈트는 과도 변동 요구(해당 항 참조)를 만족해야 한다.
ㆍ기능 무결성: 복귀 시 연속 점화/자동 재점화 로직, 연료·공기 제어(IGV/VSV/VBV/블리드)가
    협조 동작하여 서지 여유를 확보해야함
ㆍTailoring: 본 복구 시간 요구는 프로그램 판단 시 불요할 수 있으며, 그 경우 사양에서 제외하거나 
   완화(ΔT 상향 등) 명시할 수 있음</t>
    </r>
  </si>
  <si>
    <r>
      <rPr>
        <sz val="3"/>
        <color rgb="FF980000"/>
        <rFont val="Pretendard SemiBold"/>
        <family val="3"/>
        <charset val="129"/>
      </rPr>
      <t>ㆍ필요 시 기준을 준수하는 개발용 소프트웨어 또는 검증된 모델링 툴을 사용하여 
   가스경로하의 계측면 온도한계 관련 정량정/정성적 요구도 달성여부 시뮬레이션 수행</t>
    </r>
    <r>
      <rPr>
        <sz val="3"/>
        <color theme="1"/>
        <rFont val="Pretendard SemiBold"/>
        <family val="3"/>
        <charset val="129"/>
      </rPr>
      <t xml:space="preserve">
ㆍ엔진 표면의 최대 온도와 열방출량을 시험하여 항공기 구조와 주변 장비에 무해한 수준인지 검증
-최대 지속 가스온도(1단 터빈 로터 입구, MP-T4): T₄,cont ≤ __ °C.
-최대 과도 가스온도(시동/가속/재점화): T₄,trans ≤ __ °C / 지속 ≤ __ s.
-Measurement Plane: MP-T4 @ Station __, 센서 형식/정확도/필터/샘플링은 부록 T-A 참조.
-금속온도 한계(있을 경우): HPT vane metal T ≤ __ °C/ __ s, blade root T ≤ __ °C/ __ s.
-비상단시간 정격(옵션): T₄,emerg ≤ __ °C / __ s(누적 사용 제한 __ 사이클/비행).</t>
    </r>
  </si>
  <si>
    <r>
      <t>ㆍ엔진 내부 고온가스 온도는 엔진의 신뢰성, 수명, 성능에 직접적인 영향임
ㆍ과도한 온도로 인한 소재 열변형</t>
    </r>
    <r>
      <rPr>
        <sz val="3"/>
        <color theme="1"/>
        <rFont val="Arial"/>
        <family val="2"/>
      </rPr>
      <t>・</t>
    </r>
    <r>
      <rPr>
        <sz val="3"/>
        <color theme="1"/>
        <rFont val="Pretendard SemiBold"/>
        <family val="3"/>
        <charset val="129"/>
      </rPr>
      <t>손상을 방지
ㆍ측정 위치와 기준을 정해 개발</t>
    </r>
    <r>
      <rPr>
        <sz val="3"/>
        <color theme="1"/>
        <rFont val="Arial"/>
        <family val="2"/>
      </rPr>
      <t>・</t>
    </r>
    <r>
      <rPr>
        <sz val="3"/>
        <color theme="1"/>
        <rFont val="Pretendard SemiBold"/>
        <family val="3"/>
        <charset val="129"/>
      </rPr>
      <t>시험</t>
    </r>
    <r>
      <rPr>
        <sz val="3"/>
        <color theme="1"/>
        <rFont val="Arial"/>
        <family val="2"/>
      </rPr>
      <t>・</t>
    </r>
    <r>
      <rPr>
        <sz val="3"/>
        <color theme="1"/>
        <rFont val="Pretendard SemiBold"/>
        <family val="3"/>
        <charset val="129"/>
      </rPr>
      <t>운용 시 온도 모니터링을 일관성 있게 수행해야함</t>
    </r>
  </si>
  <si>
    <r>
      <rPr>
        <sz val="3"/>
        <color rgb="FF980000"/>
        <rFont val="Pretendard SemiBold"/>
        <family val="3"/>
        <charset val="129"/>
      </rPr>
      <t>ㆍ필요 시 기준을 준수하는 개발용 소프트웨어 또는 검증된 모델링 툴을 사용하여 
   표면온도 및 열방출 관련 정량정/정성적 요구도 달성여부 시뮬레이션 수행</t>
    </r>
    <r>
      <rPr>
        <sz val="3"/>
        <color theme="1"/>
        <rFont val="Pretendard SemiBold"/>
        <family val="3"/>
        <charset val="129"/>
      </rPr>
      <t xml:space="preserve">
ㆍ엔진표면온도 및 열방출상태를 센서로 확인하여 적정성 이내인지 확인
-Figure 14a: 운용점(예: SLS Max(HOT), High Alt Max, SLS Idle(HOT)… 등)별 표면 Tmax ≤ __ °C
-Figure 14b: 외장 표면 열방출율 Φ(Alt, M, Pwr) &amp; 복사율 ε(λ) 곡선 제시
-Table ST-1: 특별 냉각 필요 구성품 + 무냉각 허용시간(≤ __ min) + 위치/설치 유의사항
-화재 안전 고려: 연료/오일 누설 접촉 가능 표면은 T ≤ __ °C(근거: 위험 평가 보고서)
</t>
    </r>
    <r>
      <rPr>
        <sz val="3"/>
        <color rgb="FF980000"/>
        <rFont val="Pretendard SemiBold"/>
        <family val="3"/>
        <charset val="129"/>
      </rPr>
      <t>-열화상카메라 등 비접촉센서로도 충분히 측정 가능</t>
    </r>
  </si>
  <si>
    <r>
      <rPr>
        <sz val="3"/>
        <color rgb="FF980000"/>
        <rFont val="Pretendard SemiBold"/>
        <family val="3"/>
        <charset val="129"/>
      </rPr>
      <t>ㆍ필요 시 기준을 준수하는 개발용 소프트웨어 또는 검증된 모델링 툴을 사용하여 
   제어계/부품류 보관한 공간의 온도상황 관련 정량정/정성적 요구도 달성여부 시뮬레이션 수행</t>
    </r>
    <r>
      <rPr>
        <sz val="3"/>
        <color theme="1"/>
        <rFont val="Pretendard SemiBold"/>
        <family val="3"/>
        <charset val="129"/>
      </rPr>
      <t xml:space="preserve">
ㆍ엔진 제어계통 및 부수 장치 주위의 온도가 허용 한도 이내로 유지되는지 시험을 통해 확인
-Table V에 각 Controls/External Component별 주위 Tmax ≤ __ °C, 표면 Tmax ≤ __ °C, 
 무냉각 허용시간 ≤ __ min을 기재
-대표 열조건에서(상기 a~c) 규정 온도 이하 유지, 기능 이상/손상 없음
-항공기 단계에서 필요한 덕트/차열/유량은 ICD로 인터페이스</t>
    </r>
  </si>
  <si>
    <r>
      <t xml:space="preserve">ㆍ습도조건 하의 재료/구조/시스템구동 성능영향을 분석
ㆍ습도관련 공인인증시험 수행, 요건의 경우 항목 분석하여 요구도 도출
ㆍMIL-STD-810 및 관련 문헌 참고
</t>
    </r>
    <r>
      <rPr>
        <sz val="3"/>
        <color rgb="FF980000"/>
        <rFont val="Pretendard SemiBold"/>
        <family val="3"/>
        <charset val="129"/>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</si>
  <si>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r>
      <t xml:space="preserve">ㆍ곰팡이 조건 하의 재료/구조/시스템구동 성능영향을 분석
ㆍ곰팡이 관련 공인인증시험 수행, 요건의 경우 항목 분석하여 요구도 도출
ㆍMIL-STD-810 및 관련 문헌 참고
</t>
    </r>
    <r>
      <rPr>
        <sz val="3"/>
        <color rgb="FF980000"/>
        <rFont val="Pretendard SemiBold"/>
        <family val="3"/>
        <charset val="129"/>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</si>
  <si>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r>
      <t xml:space="preserve">ㆍ부식성대기 하의 재료/구조/시스템구동 성능영향을 분석
ㆍ부식성대기 관련 공인인증시험 수행, 요건의 경우 항목 분석하여 요구도 도출
ㆍMIL-STD-810 및 관련 문헌 참고
</t>
    </r>
    <r>
      <rPr>
        <sz val="3"/>
        <color rgb="FF980000"/>
        <rFont val="Pretendard SemiBold"/>
        <family val="3"/>
        <charset val="129"/>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</si>
  <si>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r>
      <t xml:space="preserve">ㆍ착빙상태 해석 및 착빙관련 하의 재료/구조/시스템구동 성능영향을 분석
ㆍ착빙관련 공인인증시험 수행, 요건의 경우 항목 분석하여 요구도 도출
ㆍMIL-STD-810 및 관련 문헌 참고
</t>
    </r>
    <r>
      <rPr>
        <sz val="3"/>
        <color rgb="FF980000"/>
        <rFont val="Pretendard SemiBold"/>
        <family val="3"/>
        <charset val="129"/>
      </rPr>
      <t>ㆍ유동해석시뮬레이션을 통해, 공기흐름/물방울입자-궤적/온도변화시뮬레이션-계산적용하여 대체제시
ㆍ또는, 엔진에 사용될 소형샘플 활용한 챔버 실험으로 대체</t>
    </r>
  </si>
  <si>
    <r>
      <t xml:space="preserve">ㆍ조류흡입 하의 재료/구조 성능영향을 분석
ㆍ조류흡입관련 공인인증시험 수행, 요건의 경우 항목 분석하여 요구도 도출
ㆍMIL-STD-810 및 관련 문헌 참고
</t>
    </r>
    <r>
      <rPr>
        <sz val="3"/>
        <color rgb="FF980000"/>
        <rFont val="Pretendard SemiBold"/>
        <family val="3"/>
        <charset val="129"/>
      </rPr>
      <t>ㆍ조류형태의 액체덩어리를 사용하여 엔진에 사용될 소형샘플 활용한 챔버 실험으로 대체
ㆍ또는, 입자유동해석시뮬레이션을 통해, 조류모사입자시뮬레이션-계산적용하여 대체제시</t>
    </r>
  </si>
  <si>
    <r>
      <t xml:space="preserve">ㆍFOD흡입 하의 재료/구조 성능영향을 분석
ㆍFOD흡입 관련 공인인증시험 수행, 요건의 경우 항목 분석하여 요구도 도출
ㆍMIL-STD-810 및 관련 문헌 참고
</t>
    </r>
    <r>
      <rPr>
        <sz val="3"/>
        <color rgb="FF980000"/>
        <rFont val="Pretendard SemiBold"/>
        <family val="3"/>
        <charset val="129"/>
      </rPr>
      <t>ㆍ엔진에 사용될 소형샘플 활용한 챔버 실험으로 대체
ㆍ또는, 입자유동해석시뮬레이션을 통해, FOD모사입자시뮬레이션-계산적용하여 대체제시</t>
    </r>
  </si>
  <si>
    <r>
      <t xml:space="preserve">ㆍ빙편흡입상태 하의 앤진 작동 성능영향을 분석(블레이드내구성 시뮬레이션 수행)
ㆍ빙편흡입 관련 공인인증시험 수행, 요건의 경우 항목 분석하여 요구도 도출
ㆍMIL-STD-810 및 관련 문헌 참고
</t>
    </r>
    <r>
      <rPr>
        <sz val="3"/>
        <color rgb="FF980000"/>
        <rFont val="Pretendard SemiBold"/>
        <family val="3"/>
        <charset val="129"/>
      </rPr>
      <t>ㆍ엔진에 사용될 소형샘플 활용한 챔버 실험으로 대체(팬블레이드 소량을 형상으로 배치, 고속으로 쇠구슬 충돌 등)
ㆍ또는, 입자유동해석시뮬레이션을 통해, 빙편모사입자시뮬레이션-계산적용하여 대체제시</t>
    </r>
  </si>
  <si>
    <r>
      <t xml:space="preserve">ㆍ모래먼지흡입상태 하의 앤진 작동 성능영향을 분석
ㆍ모래먼지흡입 관련 공인인증시험 수행, 요건의 경우 항목 분석하여 요구도 도출
ㆍMIL-STD-810 및 관련 문헌 참고
</t>
    </r>
    <r>
      <rPr>
        <sz val="3"/>
        <color rgb="FF980000"/>
        <rFont val="Pretendard SemiBold"/>
        <family val="3"/>
        <charset val="129"/>
      </rPr>
      <t>ㆍ유동해석시뮬레이션을 통해, 공기흐름/물방울입자-궤적/온도변화시뮬레이션-계산적용하여 대체제시
ㆍ또는, 엔진에 사용될 소형샘플 활용한 챔버 실험으로 대체</t>
    </r>
  </si>
  <si>
    <r>
      <t xml:space="preserve">ㆍ대기중액체흡입상태 하의 앤진 작동 성능영향을 분석
ㆍ대기중액체흡입 관련 공인인증시험 수행, 요건의 경우 항목 분석하여 요구도 도출
ㆍMIL-STD-810 및 관련 문헌 참고
</t>
    </r>
    <r>
      <rPr>
        <sz val="3"/>
        <color rgb="FF980000"/>
        <rFont val="Pretendard SemiBold"/>
        <family val="3"/>
        <charset val="129"/>
      </rPr>
      <t>ㆍ유동해석시뮬레이션을 통해, 공기흐름/물방울입자-궤적/온도변화시뮬레이션-계산적용하여 대체제시
ㆍ또는, 엔진에 사용될 소형샘플 활용한 챔버 실험으로 대체</t>
    </r>
  </si>
  <si>
    <r>
      <t xml:space="preserve">ㆍ증기흡입(가스혼합상태포함) 하의 앤진 작동 성능영향을 분석
ㆍ증기흡입(가스혼합상태포함) 관련 공인인증시험 수행, 요건의 경우 항목 분석하여 요구도 도출
ㆍMIL-STD-810 및 관련 문헌 참고
</t>
    </r>
    <r>
      <rPr>
        <sz val="3"/>
        <color rgb="FF980000"/>
        <rFont val="Pretendard SemiBold"/>
        <family val="3"/>
        <charset val="129"/>
      </rPr>
      <t>ㆍ유동해석시뮬레이션을 통해, 공기흐름/물방울입자-궤적/온도변화시뮬레이션-계산적용하여 대체제시
ㆍ또는, 엔진에 사용될 소형샘플 활용한 챔버 실험으로 대체
ㆍ무장가스상황을 모사한 혼합된 증기를 흡입하는 방식으로 수행(시제개발엔진상황고려)</t>
    </r>
  </si>
  <si>
    <r>
      <t xml:space="preserve">ㆍ내부시스템 작동 하의 타 시스템 영향상태 관련 성능영향을 분석
ㆍ내부시스템 작동 하의 타 시스템 전자기적 영향 공인인증시험 수행, 요건의 경우 항목 분석하여 요구도 도출
ㆍMIL-STD-810 및 관련 문헌 참고, 지상시험으로 수행
</t>
    </r>
    <r>
      <rPr>
        <sz val="3"/>
        <color rgb="FF980000"/>
        <rFont val="Pretendard SemiBold"/>
        <family val="3"/>
        <charset val="129"/>
      </rPr>
      <t>ㆍ엔진-FADEC-와이어하네스 전자기장 환경모사한 시뮬레이션으로 대체제시</t>
    </r>
  </si>
  <si>
    <r>
      <t xml:space="preserve">ㆍ내부시스템이 주변에 구성되는 전자기특성에 간섭 없는지 건전성 성능영향을 분석
ㆍ내부시스템의 전자기적 해석 관련 공인인증시험 수행, 요건의 경우 항목 분석하여 요구도 도출
ㆍMIL-STD-810 및 관련 문헌 참고, 엔진-항공기 통합상태로 해석 필요
</t>
    </r>
    <r>
      <rPr>
        <sz val="3"/>
        <color rgb="FF980000"/>
        <rFont val="Pretendard SemiBold"/>
        <family val="3"/>
        <charset val="129"/>
      </rPr>
      <t>ㆍ엔진-FADEC-와이어하네스 전자기장 환경모사한 시뮬레이션으로 대체제시</t>
    </r>
  </si>
  <si>
    <r>
      <t xml:space="preserve">ㆍ타시스템 간의 전자기적 양립성 관련 시스템 건전성 성능영향을 분석
ㆍ타시스템 간의 전자기적 적합성 관련 공인인증시험 수행, 요건의 경우 항목 분석하여 요구도 도출
ㆍMIL-STD-810 및 관련 문헌 참고, 엔진-항공기 통합상태로 해석 필요
</t>
    </r>
    <r>
      <rPr>
        <sz val="3"/>
        <color rgb="FF980000"/>
        <rFont val="Pretendard SemiBold"/>
        <family val="3"/>
        <charset val="129"/>
      </rPr>
      <t>ㆍ엔진-FADEC-와이어하네스 전자기장 환경모사한 시뮬레이션으로 대체제시</t>
    </r>
  </si>
  <si>
    <r>
      <t xml:space="preserve">ㆍ과도전류/전압조건 하의 시스템 차원의 건전성 성능영향을 분석
ㆍ과도전류/전압조건 공인인증시험 수행, 요건의 경우 항목 분석하여 요구도 도출
ㆍMIL-STD-810 및 관련 문헌 참고
</t>
    </r>
    <r>
      <rPr>
        <sz val="3"/>
        <color rgb="FF980000"/>
        <rFont val="Pretendard SemiBold"/>
        <family val="3"/>
        <charset val="129"/>
      </rPr>
      <t>ㆍ고전류발생기-구조물시편을 활용한 소형 챔버실험으로 대체(구조물표면손상, 구멍발생, 연료탱크불꽃손상확인)
ㆍ엔진-FADEC-와이어하네스 전자기장 환경모사와 서지발생기(강력한 전기펄스)로 상황주입한 
   시뮬레이션으로 대체제시</t>
    </r>
  </si>
  <si>
    <r>
      <t xml:space="preserve">ㆍ해석/분석: 엔진에 가해지는 외부 하중(비행 중 관성력 등)을 분석하여 구조 안전성이 요구조건을 만족함을 검증
-하중경로(FEA): 장착부/마운트/프레임의 응력·변형, 안전율 ≥ 목표 확인
-고장모드 분석(FMEA): 가속 유발 고장(볼트 풀림, 실 누설, 전자 단선·릴레이 오작동, 액추에이터 스틱션) 
  식별·대책 마련 필요
ㆍ정적/착륙 하중 시뮬레이션/실험
-한계/극한 하중 인가: 영구 변형 </t>
    </r>
    <r>
      <rPr>
        <sz val="3"/>
        <color theme="1"/>
        <rFont val="맑은 고딕"/>
        <family val="3"/>
        <charset val="129"/>
      </rPr>
      <t>無</t>
    </r>
    <r>
      <rPr>
        <sz val="3"/>
        <color theme="1"/>
        <rFont val="Pretendard SemiBold"/>
        <family val="3"/>
        <charset val="129"/>
      </rPr>
      <t xml:space="preserve">/파손 </t>
    </r>
    <r>
      <rPr>
        <sz val="3"/>
        <color theme="1"/>
        <rFont val="맑은 고딕"/>
        <family val="3"/>
        <charset val="129"/>
      </rPr>
      <t xml:space="preserve">無
</t>
    </r>
    <r>
      <rPr>
        <sz val="3"/>
        <color theme="1"/>
        <rFont val="Pretendard SemiBold"/>
        <family val="3"/>
        <charset val="129"/>
      </rPr>
      <t>-마운트·패스너 토크 유지, 변위/간섭 체크
ㆍ진동/충격 시험
-사인·랜덤·충격 환경 인가 중 기능 시험: 연료·오일·전기·제어 동작 정상
-시험 후 NDT/칩 센서/누설 검사, 체결 재점검
ㆍ기동 스펙트럼 검증
-스펙트럼 인가(가속 프로파일) → 누적 손상/피로 마진 평가(LCF/HCF)
-데이터 로깅: exceedance 0, 이상 이벤트 Root Cause 분석
ㆍ형상관리/문서화
-MIL-HDBK-1783 인용 조항·계수 명시, ICD 하중·스티프니스 일치 확인
-시험 보고서: 입력(스펙/스윕), 응답(g/응력/온도/진동), 합격기준, 잔여 수명 추정 포함
ㆍ기능/무결성 관련 정량적/정성적 기준 수립하고 확인
-상기 하중 전 구간에서 한계 초과(온도/속도/토크/진동) 없음, 누설/이탈/전기 단선/릴레이 오작동 없음
-시험 후 NDT(UT/ET/PT/VT)·체결 토크 점검, 영구 변형·균열·칩·실 손상 없음
ㆍ인터페이스: 마운트·패스너·하니스·액세서리는 ICD의 하중·스티프니스·허용 변위와 합치</t>
    </r>
    <phoneticPr fontId="35" type="noConversion"/>
  </si>
  <si>
    <r>
      <t xml:space="preserve">ㆍCreep: 고온 장시간 응력 하 영구 변형(성장) 및 응력-파단. 대상: HPT 노즐/블레이드/디스크, 링·케이스, 라이너/덕트 등 고온 영역
ㆍ정의: 설계 수명 동안 크립 변형률 ≤ ε_c,lim, 간극 변화 ≤ Δg_lim; 응력-파단 수명 여유 ≥ SF_c.
ㆍ검증: 재료 크립-파단 데이터(허용치) + 엔진 연장 운전 시험으로 시스템 차원의 성장/누설/간섭 </t>
    </r>
    <r>
      <rPr>
        <sz val="3"/>
        <color theme="1"/>
        <rFont val="맑은 고딕"/>
        <family val="3"/>
        <charset val="129"/>
      </rPr>
      <t>無</t>
    </r>
    <r>
      <rPr>
        <sz val="3"/>
        <color theme="1"/>
        <rFont val="Pretendard SemiBold"/>
        <family val="3"/>
        <charset val="129"/>
      </rPr>
      <t xml:space="preserve"> 입증</t>
    </r>
    <phoneticPr fontId="35" type="noConversion"/>
  </si>
  <si>
    <r>
      <t>ㆍ한계 하중( Limit ): 정상 운용 한계 내 발생 가능한 최대 하중으로, 구조/부품은 1.0×Limit에서 영구 변형(잔류 변형)·누설·기능상실 없이 거동필요
ㆍ최종 하중( Ultimate ): Ultimate = γ×Limit(통상 γ</t>
    </r>
    <r>
      <rPr>
        <sz val="3"/>
        <color theme="1"/>
        <rFont val="Cambria Math"/>
        <family val="3"/>
      </rPr>
      <t>≈</t>
    </r>
    <r>
      <rPr>
        <sz val="3"/>
        <color theme="1"/>
        <rFont val="Pretendard SemiBold"/>
        <family val="3"/>
        <charset val="129"/>
      </rPr>
      <t>1.5)로 정의되는 파단 한계 하중, 구조/부품은 γ×Limit에서도 파국적 파손(파열·좌굴·연속 균열 전파) 없이 안전 여유를 
   확보해야 한다(압력용기는 Proof/Burst 기준 별도 적용)
ㆍ검증 원칙: JSSG-2007A는 해석–시험 연계(ATV)로 강도를 입증하도록 요구, 열·기계·환경(온도/습도/부식) 결합 하중을 고려해 하중 정의·안전계수·합격기준을 
   사양에 수치로 명시한다(예: 마운트·케이스·회전체 케이스, HX 내압 사이클/Proof 가압)</t>
    </r>
    <phoneticPr fontId="35" type="noConversion"/>
  </si>
  <si>
    <r>
      <t xml:space="preserve">ㆍ해석(Analysis)
-하중정의: 비행·지상·기동 스펙트럼, 조합(가속+열+압력), worst-case 파라메트릭 탐색
-구조해석(FEA): 선형/비선형(접촉, 대변형), 재료 온도 의존과 공차/프리로드 반영
-한계/최종 판정: 1.0×Limit에서 σ/ε/좌굴 지수가 허용 내, γ×Limit에서 캐터스트로픽 모드 </t>
    </r>
    <r>
      <rPr>
        <sz val="3"/>
        <color theme="1"/>
        <rFont val="맑은 고딕"/>
        <family val="3"/>
        <charset val="129"/>
      </rPr>
      <t xml:space="preserve">無
</t>
    </r>
    <r>
      <rPr>
        <sz val="3"/>
        <color theme="1"/>
        <rFont val="Pretendard SemiBold"/>
        <family val="3"/>
        <charset val="129"/>
      </rPr>
      <t xml:space="preserve">-압력부품: Proof/Burst 계산(코드/수식), 열-압 결합, 사이클 수명 영향(저주기 피로·크리프) 검토
ㆍ시험(Test)
-정적 하중 시험: 1.0×Limit(영구 변형 </t>
    </r>
    <r>
      <rPr>
        <sz val="3"/>
        <color theme="1"/>
        <rFont val="맑은 고딕"/>
        <family val="3"/>
        <charset val="129"/>
      </rPr>
      <t>無</t>
    </r>
    <r>
      <rPr>
        <sz val="3"/>
        <color theme="1"/>
        <rFont val="Pretendard SemiBold"/>
        <family val="3"/>
        <charset val="129"/>
      </rPr>
      <t xml:space="preserve">), 이어서 γ×Limit(파손 </t>
    </r>
    <r>
      <rPr>
        <sz val="3"/>
        <color theme="1"/>
        <rFont val="맑은 고딕"/>
        <family val="3"/>
        <charset val="129"/>
      </rPr>
      <t>無</t>
    </r>
    <r>
      <rPr>
        <sz val="3"/>
        <color theme="1"/>
        <rFont val="Pretendard SemiBold"/>
        <family val="3"/>
        <charset val="129"/>
      </rPr>
      <t xml:space="preserve">). 변위/균열 NDT 확인
-내압 시험(압력용기/HX)
-사이클 시험: 최대 ΔP 및 온도 사이클 재현(누설·셋 확인)
-Proof 가압: 각 유로 작업압×κ로 2분×1–2회 유지 → 누설 </t>
    </r>
    <r>
      <rPr>
        <sz val="3"/>
        <color theme="1"/>
        <rFont val="맑은 고딕"/>
        <family val="3"/>
        <charset val="129"/>
      </rPr>
      <t xml:space="preserve">無
</t>
    </r>
    <r>
      <rPr>
        <sz val="3"/>
        <color theme="1"/>
        <rFont val="Pretendard SemiBold"/>
        <family val="3"/>
        <charset val="129"/>
      </rPr>
      <t>-환경 결합: HOT/HIGH/습열/부식 환경 혹은 가열 상태에서 하중/압력 재현
-데이터 무결성: 하중·압력·온도·변위·누설량 로깅, 합격 기준표 대비 판정
ㆍ문서/형상관리
-시험 절차/보고서: 셋업, 보정, 안전계수, 합격기준(변형/누설/균열) 명시
-비적합 처리(RCCA): 원인분석→수정설계/공정→국부/전구 재시험 기준 사전 정의
-추적성: 시편/부품 S/N, 열처리/제조 이력, 수치해석 입력/버전 관리</t>
    </r>
    <phoneticPr fontId="35" type="noConversion"/>
  </si>
  <si>
    <r>
      <t xml:space="preserve">ㆍ열교환기(연료-오일 HX) 등은 유량/압력/온도 사이클 + 내압 시험으로 누설·영구 변형 </t>
    </r>
    <r>
      <rPr>
        <sz val="3"/>
        <color theme="1"/>
        <rFont val="맑은 고딕"/>
        <family val="3"/>
        <charset val="129"/>
      </rPr>
      <t>無</t>
    </r>
    <r>
      <rPr>
        <sz val="3"/>
        <color theme="1"/>
        <rFont val="Pretendard SemiBold"/>
        <family val="3"/>
        <charset val="129"/>
      </rPr>
      <t xml:space="preserve"> 확인이 유효
ㆍ최대 압력차 조건 재현 및 작업압력×1.5 가압(2분×1–2회) 같은 절차가 강도 신뢰성 향상에 기여
ㆍ구조 검증은 사전 해석 + 목적시험의 병행이 효과적
ㆍ이후 사업에서도 증거하중/내압 검증 관행을 지속 채택하고 있음</t>
    </r>
    <phoneticPr fontId="35" type="noConversion"/>
  </si>
  <si>
    <r>
      <t xml:space="preserve">ㆍ회전체는 서비스(한계) 및 최종(안전율 적용) 조건에서의 탄성/열/동적 처짐을 고려하여 케이스·정익·시일과의 최소 간극을 유지해야함
ㆍ원심팽창·열팽창·축/경사 이동·불평형을 포함한 최대 상대 변위를 산정
-그 값이 허용 간극 ≥ 규정 최소치를 만족함을 해석–시험 상관으로 입증해야함
ㆍ검증은 모델(FEA/로터다이내믹스)–부품/엔진 시험–설치 상관의 ATV 체계로 수행
-접촉/손상·간섭 </t>
    </r>
    <r>
      <rPr>
        <sz val="3"/>
        <color theme="1"/>
        <rFont val="맑은 고딕"/>
        <family val="3"/>
        <charset val="129"/>
      </rPr>
      <t>無</t>
    </r>
    <r>
      <rPr>
        <sz val="3"/>
        <color theme="1"/>
        <rFont val="Pretendard SemiBold"/>
        <family val="3"/>
        <charset val="129"/>
      </rPr>
      <t xml:space="preserve">가 합격 기준으로 활용
ㆍ요구(Definition): “엔진은 비행·지상 엔벨로프 전 영역 및 최악 열조건에서 블레이드 팁/디스크가 실·셔라우드 이외의 정적부품과 접촉하지 않아야 하며,
   최소 보장 간극 ≥ C_min(표/도 참조)**를 유지해야함
ㆍ검증(Verification): 열-구조/로터동역학 해석으로 최대 상대처짐을 예측하고, 엔진 셀 시험(X-ray, 팁타이밍, 간극센서)으로 실측치와 상관하여 접촉 </t>
    </r>
    <r>
      <rPr>
        <sz val="3"/>
        <color theme="1"/>
        <rFont val="맑은 고딕"/>
        <family val="3"/>
        <charset val="129"/>
      </rPr>
      <t>無</t>
    </r>
    <r>
      <rPr>
        <sz val="3"/>
        <color theme="1"/>
        <rFont val="Pretendard SemiBold"/>
        <family val="3"/>
        <charset val="129"/>
      </rPr>
      <t xml:space="preserve">·
   간극 ≥ C_min을 입증(필요 시 overspeed(e.g. 122% 목표)에서 여유를 확인) </t>
    </r>
    <phoneticPr fontId="35" type="noConversion"/>
  </si>
  <si>
    <r>
      <t xml:space="preserve">ㆍ터빈/압축기 블레이드 및 원반의 운용 시 처짐량을 해석하고, 시험 계측 결과와 비교하여 요구 기준 이내임을 검증
-Ansys 활용한 고성능 전산구조해석 결과 등을 해석결과로 활용
ㆍ해석(Analysis)
-로터다이내믹스/열-구조 FEA: 원심 팽창, 열팽창, 축/경사 이동(tilt), 런아웃, 불평형, 케이스 성장, 
 실 열변형을 포함해 최대 상대 변위(팁-케이스/베인) 산정. Limit/Ultimate(강도 절 §3.4.1.6 연동) 및 최악 열조건을 케이스에 반영
-최소 간극 기준: “실/셔라우드 외 접촉 금지”를 기본 합격 조건으로 하고, 프로그램별 최소 보장 간극(minimum positive clearance) 
 값을 수치화(속도/온도/하중 맵) 
-회피 설계: 공진 회피(운전선–모드 간 이격), 블레이드 강성/질량 재배분, 케이스 클리어런스 제어(ACC) 전략 등 
 설계 수단을 모델에 반영. (MIL-HDBK-1783 참조) 
ㆍ시험(Tests)
-엔진 셀 시험(고속/고온): 표준/비표준일 및 최악 열조건에서 속도 스윕/스텝을 수행, 접촉/스치기 </t>
    </r>
    <r>
      <rPr>
        <sz val="3"/>
        <color theme="1"/>
        <rFont val="맑은 고딕"/>
        <family val="3"/>
        <charset val="129"/>
      </rPr>
      <t>無</t>
    </r>
    <r>
      <rPr>
        <sz val="3"/>
        <color theme="1"/>
        <rFont val="Pretendard SemiBold"/>
        <family val="3"/>
        <charset val="129"/>
      </rPr>
      <t xml:space="preserve">와 시일 유효성 확인
-X-ray/고속카메라/팁타이밍/간극 센서(정전용량/광학)**로 실측 처짐/클리어런스 계측
-특수 계측: X-ray로 운전 중 간극 유지 사례를 부록이 언급(lessons learned). 필요 시 overspeed 점검(e.g. 122% 목표*로 구조·간극 여유 확인
ㆍ상관(Correlation) 및 수락
-모델-시험 상관: 팁/디스크 변위, 간극 최소값, 시일 접촉 여부를 ±(프로그램 합의)% 이내로 상관. 접촉/손상 없음이 1차 합격
ㆍ판정
-limit 하중/속도에서 영구 변형 없음(사후 NDI)
-최악 열·기동 하중에서도 비의도 접촉 </t>
    </r>
    <r>
      <rPr>
        <sz val="3"/>
        <color theme="1"/>
        <rFont val="맑은 고딕"/>
        <family val="3"/>
        <charset val="129"/>
      </rPr>
      <t xml:space="preserve">無
</t>
    </r>
    <r>
      <rPr>
        <sz val="3"/>
        <color theme="1"/>
        <rFont val="Pretendard SemiBold"/>
        <family val="3"/>
        <charset val="129"/>
      </rPr>
      <t>-필요 시 Ultimate/overspeed 조건 점검(안전계수 연동)</t>
    </r>
    <phoneticPr fontId="35" type="noConversion"/>
  </si>
  <si>
    <r>
      <t xml:space="preserve">ㆍ팬/터빈 블레이드 이탈(파단) 상황을 시뮬레이션 및 구성품 시험(블레이드 탈락 시험)으로 모사하여 엔진 손상 범위가 허용 수준임을 검증
ㆍ해석(Analysis)
-파편 에너지/궤적 해석: 이탈 블레이드 질량·속도·발사각에 대한 운동에너지(½mV²) 산정 → 케이스 흡수능(두께, 밴드링/권선, 라이너)과 비교
-언밸런스 동특성 해석: 잔류 로터의 불평형력·축 틸트로 인한 베어링 하중·지지구조 응력과 한계/파손 여유 평가
-열-구조 연성 FEA: 고온 운전에서의 케이스 성장/시일 간극 변화와 충돌 위험성 확인
-시스템 위험 평가: 연료/유압 라우팅·전장·제어에 대한 2차 피해 경로(secondary damage paths) 차단 설계 검토
ㆍ시험(Tests)
-Blade-off(이탈) 시험(엔진 셀 또는 스핀피트): 회전 중 실 블레이드 분리 또는 가스건 투발체로 케이스 충돌 모사
-합격기준: 엔진 경계 외부 비산 0, 화재/연료·오일 누설 0, 주 구조 파국적 파손 0, 정지 가능
-언밸런스 내구 시험: 이탈 등가 불평형을 로터에 부여하고 일정 시간 운전 → 베어링·브래킷·마운트 건전성 확인, 진동/토크/온도 한계 미초과
-후속 NDI/Teardown: 케이스·지지부·배관·하니스 균열/좌굴/마모/누설 확인(PT/ET/UT/VT)
-대체 방호(선택): 케이스 관통 허용 철학 시, 에어프레임 차폐 구조에 충격 시험으로 관통/리바운드/연료·전장 영향 </t>
    </r>
    <r>
      <rPr>
        <sz val="3"/>
        <color theme="1"/>
        <rFont val="맑은 고딕"/>
        <family val="3"/>
        <charset val="129"/>
      </rPr>
      <t>無</t>
    </r>
    <r>
      <rPr>
        <sz val="3"/>
        <color theme="1"/>
        <rFont val="Pretendard SemiBold"/>
        <family val="3"/>
        <charset val="129"/>
      </rPr>
      <t xml:space="preserve"> 입증
ㆍ상관(Correlation), 수락(Compliance)
-모델–시험 상관: 케이스 변형·충격 흔적·가속도/응답 스펙트럼을 해석 예측과 ±(합의치)% 이내 일치
-안전 여유 확인: 언밸런스 하 베어링/지지구조의 응력·온도·변위가 허용치 이내, 정지 시퀀스 작동 보장
-문서화/형상관리: Containment/Blade-out Test Report, RCCA(비적합 시), 재시험 기준을 제출·승인</t>
    </r>
    <phoneticPr fontId="35" type="noConversion"/>
  </si>
  <si>
    <r>
      <t xml:space="preserve">ㆍ엔진 설계 한계 이상의 과속도/과온도 상황을 시험(오버스피드 스핀테스트 등)하여 보호장치 동작 등 안전성을 검증
ㆍ해석(Analysis)
-회전체 구조: 오버스피드 조건(N = x%·Δt)에서 응력·주파수·좌굴/컨테인먼트 여유를 FEA/로터다이내믹스로 평가
(디스크/블레이드, 허용 응력·수명 마진 ≥ 1.0)
-열-구조/재료: 과온(T = y℃·Δt) 시 열응력·크립/산화·열변형 검토(허용 변형률·간극·시일 무손상)
-시스템/제어: FADEC 리미터 우선순위(온도&gt;속도&gt;토크), 컷백/차단, Fault-Tree로 Fail-safe 경로 확인
ㆍ시험(Tests)
-오버스피드 구조시험
  -스핀피트(Spin-pit) 또는 엔진 셀에서 N = x%·Δt 가혹조건 인가 → 케이스/디스크/블레이드 무손상, 컨테인먼트 요구와 충돌 없음
  -시험 후 NDI(PT/ET/UT/VT)·측정으로 균열·잔류변형 </t>
    </r>
    <r>
      <rPr>
        <sz val="3"/>
        <color theme="1"/>
        <rFont val="맑은 고딕"/>
        <family val="3"/>
        <charset val="129"/>
      </rPr>
      <t>無</t>
    </r>
    <r>
      <rPr>
        <sz val="3"/>
        <color theme="1"/>
        <rFont val="Pretendard SemiBold"/>
        <family val="3"/>
        <charset val="129"/>
      </rPr>
      <t xml:space="preserve"> 확인
-과온 시험
  -엔진 셀에서 EGT/T4 = y℃·Δt 프로파일 인가(가속/재가속 포함) → 한계(속도/진동/토크) 미초과, 열손상 </t>
    </r>
    <r>
      <rPr>
        <sz val="3"/>
        <color theme="1"/>
        <rFont val="맑은 고딕"/>
        <family val="3"/>
        <charset val="129"/>
      </rPr>
      <t xml:space="preserve">無
</t>
    </r>
    <r>
      <rPr>
        <sz val="3"/>
        <color theme="1"/>
        <rFont val="Pretendard SemiBold"/>
        <family val="3"/>
        <charset val="129"/>
      </rPr>
      <t xml:space="preserve">  -고온 후 성능/시동·재점화 회복 및 간극/시일 기능 확인
-제어 보호 시험
  -Fault injection(HIL/셀)**로 센서/액추에이터 오류 시나리오 주입 → 리미터/차단 발동, 허용 초과 범위 내로 사건 제한, 안전 정지 또는 복구 입증
-컷백 후 회복: 자동 복귀 시간, 성능 영향(추력 저하 %) 사양 충족
ㆍ상관/수락 기준(Compliance)
-모델–시험 상관: 응력/온도/진동/변형의 예측–계측 오차 ≤ ±(합의치)%
-무손상/계속사용: 규정 초과 이벤트 후 NDI 이상 </t>
    </r>
    <r>
      <rPr>
        <sz val="3"/>
        <color theme="1"/>
        <rFont val="맑은 고딕"/>
        <family val="3"/>
        <charset val="129"/>
      </rPr>
      <t>無</t>
    </r>
    <r>
      <rPr>
        <sz val="3"/>
        <color theme="1"/>
        <rFont val="Pretendard SemiBold"/>
        <family val="3"/>
        <charset val="129"/>
      </rPr>
      <t>, 성능·시동·진동 정상, 정비조치(필요 시) 기준 충족
-문서화: Overspeed/Overtemp Test Report, RCCA(비적합 시), 재시험 기준 제출</t>
    </r>
    <phoneticPr fontId="35" type="noConversion"/>
  </si>
  <si>
    <r>
      <t>ㆍMIL-HDBK-1783 기준으로 최대 허용 과속·과온 수치와 지속시간을 사양에 수치로 명시
   (e.g. N1/N2 ≤ x%·t</t>
    </r>
    <r>
      <rPr>
        <sz val="3"/>
        <color theme="1"/>
        <rFont val="Cambria Math"/>
        <family val="3"/>
      </rPr>
      <t>≤</t>
    </r>
    <r>
      <rPr>
        <sz val="3"/>
        <color theme="1"/>
        <rFont val="Pretendard SemiBold"/>
        <family val="3"/>
        <charset val="129"/>
      </rPr>
      <t xml:space="preserve">Δt, EGT </t>
    </r>
    <r>
      <rPr>
        <sz val="3"/>
        <color theme="1"/>
        <rFont val="Cambria Math"/>
        <family val="3"/>
      </rPr>
      <t>≤</t>
    </r>
    <r>
      <rPr>
        <sz val="3"/>
        <color theme="1"/>
        <rFont val="Pretendard SemiBold"/>
        <family val="3"/>
        <charset val="129"/>
      </rPr>
      <t xml:space="preserve"> y</t>
    </r>
    <r>
      <rPr>
        <sz val="3"/>
        <color theme="1"/>
        <rFont val="Segoe UI Symbol"/>
        <family val="3"/>
      </rPr>
      <t>℃</t>
    </r>
    <r>
      <rPr>
        <sz val="3"/>
        <color theme="1"/>
        <rFont val="Pretendard SemiBold"/>
        <family val="3"/>
        <charset val="129"/>
      </rPr>
      <t>·t</t>
    </r>
    <r>
      <rPr>
        <sz val="3"/>
        <color theme="1"/>
        <rFont val="Cambria Math"/>
        <family val="3"/>
      </rPr>
      <t>≤</t>
    </r>
    <r>
      <rPr>
        <sz val="3"/>
        <color theme="1"/>
        <rFont val="Pretendard SemiBold"/>
        <family val="3"/>
        <charset val="129"/>
      </rPr>
      <t>Δt)
ㆍFADEC에 오버스피드/오버템프 리미터·컷백·차단 로직을 포함
ㆍ초과 발생 시 성능 영향·복구 절차를 규정
ㆍ허용 범위 산정 시 재료 내열/크립·피로, 열-기계 구속(간극·시일), 열충격을 반영</t>
    </r>
    <phoneticPr fontId="35" type="noConversion"/>
  </si>
  <si>
    <r>
      <t xml:space="preserve">ㆍ원반(디스크)의 파열 한계 속도를 시험(파열시험)으로 확인하여 최소 파열속도가 요구 조건 이상임을 검증
ㆍ해석(Analysis)
-회전 응력 FEA + 열–구조 연성: 속도별 원주·반경 응력, 보어/스ロ트 hotspot, 온도 구배 반영 → σallow/Fracture margin </t>
    </r>
    <r>
      <rPr>
        <sz val="3"/>
        <color theme="1"/>
        <rFont val="Cambria Math"/>
        <family val="3"/>
      </rPr>
      <t>≥</t>
    </r>
    <r>
      <rPr>
        <sz val="3"/>
        <color theme="1"/>
        <rFont val="Pretendard SemiBold"/>
        <family val="3"/>
        <charset val="129"/>
      </rPr>
      <t xml:space="preserve"> 1.0
-손상허용/균열전파: 초기 결함(a₀) 가정, da/dN–ΔK/K_IC/J_IC로 임계속도 &lt; 요구 파열속도 확인(결함 민감도 수행)
-확률/공정 변동: 재료 로트·가공 편차, 표면 손상, 잔류응력 불확실도 포함 확률적 마진 산정
ㆍ시험(Tests)
-스핀 피트(Spin Test): 대표 디스크(실물/등가체)로 온도 조건 재현 후 속도 램프 → **규정 비율(XX%)**까지 무파열 입증
-계측: 변형/진동/균열음향(AE)/보어 스트레인; 속도 유지 시간(hold) 규정
-합격: 파열/균열 진행 </t>
    </r>
    <r>
      <rPr>
        <sz val="3"/>
        <color theme="1"/>
        <rFont val="맑은 고딕"/>
        <family val="3"/>
        <charset val="129"/>
      </rPr>
      <t>無</t>
    </r>
    <r>
      <rPr>
        <sz val="3"/>
        <color theme="1"/>
        <rFont val="Pretendard SemiBold"/>
        <family val="3"/>
        <charset val="129"/>
      </rPr>
      <t xml:space="preserve">, 변형 허용치 이내, 시험 후 NDI(PT/ET/UT) 이상 </t>
    </r>
    <r>
      <rPr>
        <sz val="3"/>
        <color theme="1"/>
        <rFont val="맑은 고딕"/>
        <family val="3"/>
        <charset val="129"/>
      </rPr>
      <t xml:space="preserve">無
</t>
    </r>
    <r>
      <rPr>
        <sz val="3"/>
        <color theme="1"/>
        <rFont val="Pretendard SemiBold"/>
        <family val="3"/>
        <charset val="129"/>
      </rPr>
      <t xml:space="preserve">-엔진 과속 한정 시험(선택): 셀에서 제어 보호(리미터/컷백) 검증 + 과속 예방 기능 입증(구조 파손 시험과 분리 수행)
ㆍ상관·수락 기준
-해석–시험 속도/응력/변형 ±(합의치)% 이내 상관, Disk burst speed ≥ Spec 비율(XX%)
-파손 대책(봉압/차폐) 요구 충돌 없음(케이스 손상·관통 </t>
    </r>
    <r>
      <rPr>
        <sz val="3"/>
        <color theme="1"/>
        <rFont val="맑은 고딕"/>
        <family val="3"/>
        <charset val="129"/>
      </rPr>
      <t>無</t>
    </r>
    <r>
      <rPr>
        <sz val="3"/>
        <color theme="1"/>
        <rFont val="Pretendard SemiBold"/>
        <family val="3"/>
        <charset val="129"/>
      </rPr>
      <t>)
-품질/공정 등가성: 공급자/열처리 변경 시 등가성 시험으로 파열속도 마진 유지 입증</t>
    </r>
    <phoneticPr fontId="35" type="noConversion"/>
  </si>
  <si>
    <r>
      <t xml:space="preserve">ㆍENSIP 철학: 최악 위치·방향의 초기결함을 가정해도 안전 수명을 확보해야함
ㆍ제작 후/정비 후 허용 결함 크기를 명확히 규정해 설계·점검 기준을 일치
ㆍ목표는 초기결함 존재하더라도 운용 중 파손 </t>
    </r>
    <r>
      <rPr>
        <sz val="3"/>
        <color theme="1"/>
        <rFont val="맑은 고딕"/>
        <family val="3"/>
        <charset val="129"/>
      </rPr>
      <t>無</t>
    </r>
    <phoneticPr fontId="35" type="noConversion"/>
  </si>
  <si>
    <r>
      <t xml:space="preserve">ㆍ초기결함 → 임계크기 성장 시간/사이클 ≥ X로 규정, 검사 주기 ≤ ½X 등 보수 기준
ㆍ점검 기법/위치/주기를 표로 정리, 검출 실패 시 다음 검사 전 파손 </t>
    </r>
    <r>
      <rPr>
        <sz val="3"/>
        <color theme="1"/>
        <rFont val="맑은 고딕"/>
        <family val="3"/>
        <charset val="129"/>
      </rPr>
      <t>無</t>
    </r>
    <r>
      <rPr>
        <sz val="3"/>
        <color theme="1"/>
        <rFont val="Pretendard SemiBold"/>
        <family val="3"/>
        <charset val="129"/>
      </rPr>
      <t xml:space="preserve"> 해석 입증
ㆍ임무·혼합 변화 반영해 수명 예측 갱신 의무화</t>
    </r>
    <phoneticPr fontId="35" type="noConversion"/>
  </si>
  <si>
    <r>
      <t xml:space="preserve">ㆍ엔진은 운용 엔벨로프 전 구간에서 유해 진동/비정상 동적 응답 </t>
    </r>
    <r>
      <rPr>
        <sz val="3"/>
        <color theme="1"/>
        <rFont val="맑은 고딕"/>
        <family val="3"/>
        <charset val="129"/>
      </rPr>
      <t>無</t>
    </r>
    <r>
      <rPr>
        <sz val="3"/>
        <color theme="1"/>
        <rFont val="Pretendard SemiBold"/>
        <family val="3"/>
        <charset val="129"/>
      </rPr>
      <t xml:space="preserve">를 만족하고, 공진·플러터를 회피/관리해야함
-엔진 및 장착 부품은 운용 엔벨로프 전 범위에서 진동 RMS ≤ X g, p-p ≤ Y μm, 피로 균열/러빙 </t>
    </r>
    <r>
      <rPr>
        <sz val="3"/>
        <color theme="1"/>
        <rFont val="맑은 고딕"/>
        <family val="3"/>
        <charset val="129"/>
      </rPr>
      <t>無</t>
    </r>
    <r>
      <rPr>
        <sz val="3"/>
        <color theme="1"/>
        <rFont val="Pretendard SemiBold"/>
        <family val="3"/>
        <charset val="129"/>
      </rPr>
      <t xml:space="preserve">를 만족
-주요 회전체 공진 주파수는 정상 운용 RPM의 ±Y%와 불일치하며, 기어 메시에 따른 응답은 Z dB 이하
ㆍ회전체·장착 부품의 허용 진동치와 공진 회피 기준, 메시/고조파/교차 가진 고려 항목을 사양에 정량으로 명시
ㆍ검증은 해석–시험–상관(ATV) 체계로 수행하며, 설치 효과(인렛/배기/프레임/마운트)가 반영되어야함
ㆍ진동요인 확인 필요
-로터 샤프트나 베어링 지지의 비대칭 강성(asymmetric stiffness)
-샤프트 등의 내부 마찰 (internal friction)
-공기역학적 흡입/배기 흐름에 의한 자극 (aerodynamic excitation)
-로터 내부에 갇힌 유체의 거동 (fluids in rotor shafts)
-로터와 고정물 간의 접촉 마찰 (rubbing friction)
-동일 엔진 내 다른 회전체의 불평형 영향 (cross-excitation from other rotors)
-기어의 이맞물림 진동 (gear mesh frequency excitation)
</t>
    </r>
    <phoneticPr fontId="35" type="noConversion"/>
  </si>
  <si>
    <r>
      <t xml:space="preserve">ㆍ해석(Analysis)
-Campbell Diagram &amp; 로터다이내믹스: 불평형/비대칭 강성/지지 조건으로 모드-운전선 교차 여부 확인, 모드 분리(Δf) 확보
-플러터/공력-구조 연성: 블레이드/베인에 대해 Unsteady CFD + CSD 또는 p-k/유체탄성 해석으로 안정 여유(Flutter margin) 제시
-전달경로/응답 해석: 엔진-프레임-마운트-배관/하니스 다물체/FE 모델로 주파수 응답 함수(FRF), 핫스팟 응력 도출
-기어동역학: 메시 주파수/측대역(±n×shaft) 응답, 치형/백래시/오차의 가진 영향 평가
ㆍ시험(Tests)
-엔진 진동 조사(Vibration Survey): SLS/Hot-High/Cold 및 대표 설치 조건에서 속도 스윕/스텝 수행, 가속도·변위·응력 게이지 계측
-부품/서브어셈블리 모달 시험: 배관·하니스·브래킷·장착품의 고유치/모드 형상 식별 → 설계 해석과 모드 상관
-플러터/고속 회전 시험: 팬/압축기/터빈 구간 고속/고온 환경에서 응답 증폭·불안정 </t>
    </r>
    <r>
      <rPr>
        <sz val="3"/>
        <color theme="1"/>
        <rFont val="맑은 고딕"/>
        <family val="3"/>
        <charset val="129"/>
      </rPr>
      <t>無</t>
    </r>
    <r>
      <rPr>
        <sz val="3"/>
        <color theme="1"/>
        <rFont val="Pretendard SemiBold"/>
        <family val="3"/>
        <charset val="129"/>
      </rPr>
      <t xml:space="preserve"> 확인(조건부 음향 가진 포함)
-기어 진동 시험: 통상 **정상 운용속도의 130%**까지 스윕해 메시/공진 여유 확인(진동·소음·치형응력 모니터)
-설치 진동 시험: 엔진 장착 대에서 프레임·마운트 전달과 교차 가진 확인, 배관/하니스 클램프 검증
ㆍ상관/수락 기준(Compliance)
-허용치 충족: 전 구간 RMS/peak-to-peak ≤ Spec, 피로손상 지수(DI) ≤ 1.0, 러빙/접촉 </t>
    </r>
    <r>
      <rPr>
        <sz val="3"/>
        <color theme="1"/>
        <rFont val="맑은 고딕"/>
        <family val="3"/>
        <charset val="129"/>
      </rPr>
      <t xml:space="preserve">無
</t>
    </r>
    <r>
      <rPr>
        <sz val="3"/>
        <color theme="1"/>
        <rFont val="Pretendard SemiBold"/>
        <family val="3"/>
        <charset val="129"/>
      </rPr>
      <t>-모델–시험 상관: 모드 주파수·감쇠·응답 레벨 오차 ≤ ±(프로그램 합의치)%
-이상 시 조치: 원인분석(RCCA) → 모드 조정(질량/강성), 감쇠/클램프 최적화, 제어/운전선 조정 → 재시험
ㆍ모니터링/운용(Ops)
-VMS(진동 모니터링 시스템) 통합: 밸런싱 상태, 기어 메시, 베어링 이상 진동 경보/보존 로직, 트렌드 기반 CBM/EHM 연계
-운용 한계: 특정 RPM 밴드 회피(avoid band) 지정 가능, 정비 후 밸런스/클램프 재검증 절차 명시</t>
    </r>
    <phoneticPr fontId="35" type="noConversion"/>
  </si>
  <si>
    <r>
      <t xml:space="preserve">ㆍ진동 허용 기준을 수치로 명시
  (e.g. X g 이상 진동으로 피로 균열 </t>
    </r>
    <r>
      <rPr>
        <sz val="3"/>
        <color theme="1"/>
        <rFont val="맑은 고딕"/>
        <family val="3"/>
        <charset val="129"/>
      </rPr>
      <t>無</t>
    </r>
    <r>
      <rPr>
        <sz val="3"/>
        <color theme="1"/>
        <rFont val="Pretendard SemiBold"/>
        <family val="3"/>
        <charset val="129"/>
      </rPr>
      <t>, 주요 로터 공진 주파수는 정상 운용 RPM의 ±Y%와 불일치)
ㆍCampbell Diagram 기반 회전체 공진 분석, 필요 시 플러터 해석/시험 및 진동 모니터링 시스템(VMS) 요구
ㆍ배관·하니스 클램프 간격·모드 분리, 기어 메시 주파수 영향, **교차 가진(cross-excitation)**까지 포함해 설계 검토</t>
    </r>
    <phoneticPr fontId="35" type="noConversion"/>
  </si>
  <si>
    <r>
      <t xml:space="preserve">ㆍ해석(Analysis)
-등가 손상 모델링: Kf=____에 대응하는 노치/덴트/스크래치 형상(깊이·반경·길이)을 정의, FEA로 국부 응력·변형·좌굴/피로 여유 평가
-하중/열 경계조건: 해당 부위의 공력·열복사·진동·장착 하중 포함(정상·과도·기동 케이스)
-기준 충족성: 손상 후에도 강도/피로/열 변형 기준 및 성능·안전 요구(예: 표면 온도/열방출, 진동 한계, 기밀) 미초과
ㆍ시험(Tests)
-충돌 시험(선택 조합):
-조류 충돌: 표준 조류(질량·속도)로 외피 타격 → 균열·관통·기능 저하 </t>
    </r>
    <r>
      <rPr>
        <sz val="3"/>
        <color theme="1"/>
        <rFont val="맑은 고딕"/>
        <family val="3"/>
        <charset val="129"/>
      </rPr>
      <t>無</t>
    </r>
    <r>
      <rPr>
        <sz val="3"/>
        <color theme="1"/>
        <rFont val="Pretendard SemiBold"/>
        <family val="3"/>
        <charset val="129"/>
      </rPr>
      <t xml:space="preserve">, 변형 허용치 이내
-빙우/얼음-우박/잔해 충돌: 등가 빙탄/우박/파편(속도·에너지) 시험 → 누설·변형·고정물 간섭 </t>
    </r>
    <r>
      <rPr>
        <sz val="3"/>
        <color theme="1"/>
        <rFont val="맑은 고딕"/>
        <family val="3"/>
        <charset val="129"/>
      </rPr>
      <t xml:space="preserve">無
</t>
    </r>
    <r>
      <rPr>
        <sz val="3"/>
        <color theme="1"/>
        <rFont val="Pretendard SemiBold"/>
        <family val="3"/>
        <charset val="129"/>
      </rPr>
      <t xml:space="preserve">-진동/열 환경 동시 부가: 손상 후 열-기계 진동을 인가하여 피로/벌지/러빙이 악화되지 않음을 확인
-수락 기준: 수리 없이 사양(성능·진동·열·기밀) 충족, NDI(PT/ET/UT/VT) 이상 </t>
    </r>
    <r>
      <rPr>
        <sz val="3"/>
        <color theme="1"/>
        <rFont val="맑은 고딕"/>
        <family val="3"/>
        <charset val="129"/>
      </rPr>
      <t>無</t>
    </r>
    <r>
      <rPr>
        <sz val="3"/>
        <color theme="1"/>
        <rFont val="Pretendard SemiBold"/>
        <family val="3"/>
        <charset val="129"/>
      </rPr>
      <t>, 기능 시험(구동/편향/시일) 정상
ㆍ상관/문서화
-모델–시험 상관: 응력/변형/손상 영역 일치(±허용 오차), 손상 지도와 허용치 표 갱신
-형상관리: 손상 정의(Kf, 치수), 재료/표면처리/보강 변경 시 등가성 시험으로 재확인
-보고서: FOD Damage Tolerance Report(해석 입력·시험 결과·합격 판정·RCCA 포함) 제출</t>
    </r>
    <phoneticPr fontId="35" type="noConversion"/>
  </si>
  <si>
    <r>
      <t xml:space="preserve">ㆍ엔진은 X개 모듈(팬/압축기/연소/터빈/기어박스 등)로 구성 및 모듈 R&amp;R 시간 ≤ Y h 명시
ㆍ인터페이스 표준화(연결·커넥터·핀·씰)로 특수공구 </t>
    </r>
    <r>
      <rPr>
        <sz val="3"/>
        <color theme="1"/>
        <rFont val="맑은 고딕"/>
        <family val="3"/>
        <charset val="129"/>
      </rPr>
      <t>無</t>
    </r>
    <r>
      <rPr>
        <sz val="3"/>
        <color theme="1"/>
        <rFont val="Pretendard SemiBold"/>
        <family val="3"/>
        <charset val="129"/>
      </rPr>
      <t>/최소 교체 가능 요구
ㆍ구성 식별(CI)과 정렬/토크/시일 규격 표준을 ICD/작업카드로 규정</t>
    </r>
    <phoneticPr fontId="35" type="noConversion"/>
  </si>
  <si>
    <r>
      <t xml:space="preserve">ㆍ해석(Analysis)
-열/유동 해석(CFD+전달): 인렛·스피너·부품 표면 열유속/표면 온도·착빙율 예측 → 유빙 무해화 기준 충족성 평가
-성능 영향 분석: Anti-ice ON/OFF 시 추력·연료유량(SFC)·응답 변화가 허용치 이내인지 계산.
-안전 로직/의존성 분석: Fail-safe(히팅 상실 시 모드/한계), 항공기 인렛 가열 의존 시 ICD 요구·상정 고장 시나리오 정량화.
ㆍ시험(Tests)
-빙풍동/착빙 챔버 시험: 규정 온도/습도/액적 크기/LWC/속도 조건에서 Anti-ice/De-ice 성능 검증(유빙 축적 </t>
    </r>
    <r>
      <rPr>
        <sz val="3"/>
        <color theme="1"/>
        <rFont val="맑은 고딕"/>
        <family val="3"/>
        <charset val="129"/>
      </rPr>
      <t>無</t>
    </r>
    <r>
      <rPr>
        <sz val="3"/>
        <color theme="1"/>
        <rFont val="Pretendard SemiBold"/>
        <family val="3"/>
        <charset val="129"/>
      </rPr>
      <t xml:space="preserve">/완전 방출)
-엔진 셀 시험(Hot-Soak/ON-OFF 전환): 작동·종료 시 성능 저하·진동·온도 한계 미초과, 규정 시간 내 성능 회복 확인
-고장 모드 시험: 히터 단선/밸브 고착 등 Fault-injection으로 Fail-safe 전환·경보·RTB 운용 가능성 입증
-IPS/배출 검증: 입자분리장치·도관의 얼음 축적/막힘/재결빙 </t>
    </r>
    <r>
      <rPr>
        <sz val="3"/>
        <color theme="1"/>
        <rFont val="맑은 고딕"/>
        <family val="3"/>
        <charset val="129"/>
      </rPr>
      <t>無</t>
    </r>
    <r>
      <rPr>
        <sz val="3"/>
        <color theme="1"/>
        <rFont val="Pretendard SemiBold"/>
        <family val="3"/>
        <charset val="129"/>
      </rPr>
      <t xml:space="preserve"> 확인, 드레인/배출 기능 시험
ㆍ상관·수락 기준
-해석–시험 상관: 표면 온도/착빙 패턴/성능 변화 ±(합의치)% 이내 일치
-합격 판정: 지정 착빙 조건에서 유해 축적 0, 작동/종료 후 성능 허용치 이내, 고장 시 안전 모드 작동 및 조종사 인지/기록 확인
-문서화: Anti-Ice/De-Ice 검증 보고서(조건·계측·RCCA 포함), ICD(항공기 의존 항목), 정비 점검/진단 절차</t>
    </r>
    <phoneticPr fontId="35" type="noConversion"/>
  </si>
  <si>
    <r>
      <t xml:space="preserve">ㆍ지정 착빙 조건(e.g. MIL-STD-210/DO-160 등급)에서 유해한 얼음 축적 </t>
    </r>
    <r>
      <rPr>
        <sz val="3"/>
        <color theme="1"/>
        <rFont val="맑은 고딕"/>
        <family val="3"/>
        <charset val="129"/>
      </rPr>
      <t>無</t>
    </r>
    <r>
      <rPr>
        <sz val="3"/>
        <color theme="1"/>
        <rFont val="Pretendard SemiBold"/>
        <family val="3"/>
        <charset val="129"/>
      </rPr>
      <t xml:space="preserve">를 보장(엔진·IPS 포함)
ㆍ작동 중 성능·조종성 영향은 허용 한계 내, 종료 후 규정 시간 내 성능 회복; 구조/열 손상 금지
ㆍ상태 표시(ANTI-ICE ON), Fail-safe 로직(히팅 정지 시 안전 모드/대체 가열 경로) 및 
   소결빙 허용 시 완전 방출 가능 명시 필요 </t>
    </r>
    <phoneticPr fontId="35" type="noConversion"/>
  </si>
  <si>
    <r>
      <t xml:space="preserve">ㆍ해석 
-요구–모델 추적(Requirement Modeling)
  -RTM(요구–검증 매트릭스): 기능/보호/전환/인터페이스/성능 요구를 모델·시험 항목으로 1:1 매핑, Ansys SCADE 구현결과 제시
  -ICD 일치성 검토: 항공기–엔진 인터페이스(버스/전원/신호/타이밍/파티션) 요구와 제어 설계 입력(Scaling/Range/Latency) 일치 확인
-제어계 합성/안정성·강인성
  -플랜트-제어 통합 모델(열/유동 1D+회전·연소 동특성 + 제어 SW I/O), Ansys SCADE 구현결과에 해당 부분 명시적으로 표현
  -정상/과도(급가속·급감속·재시동)에서 추력/속도/온도/압력/토크 응답이 사양 충족하는지 확인
  -강인성 분석: 파라미터 불확실성(±%)·센서 바이어스/지연·행동 평균화 → μ–analysis/Bode로 위상/이득 여유 산출, bandwidth 확인
  -보호 로직 정량화: 과온/과압/과속/스톨 방지, 시동 보호(Hung/Hot/No-light cut) → 트립 포인트·디레이·우선순위 정의
-Fault Tolerance &amp; 안전성 해석
  -FTA/FMEA(하드웨어)·SW-FMEA/FTA: 센서/액추에이터/CPU/전원 공통모드 포함, Single Point Failure 없음 확인
  -채널 전환 로직 분석(주↔예비/대기→활성): 전이 동안 추력 급락/급상승 없음, 제어 한계 보호 유지
  -DAL/안전목표: 기능별 안전목표(예: Overspeed cut ≤ (b) ms, 과온 제한 오버슛 ≤ Y°C·Z s)를 도출
-타이밍/성능 자원 분석
  -WCET/스케줄 분석: 프레임 주기 내 과업 완결, CPU ≤ 70%, RAM/ROM 여유 ≥ 20%, 주요 태스크 Deadline miss 0
  -버스/전원 품질: 1553B/ARINC 등 버스 Latency/Jitter 예측, 전원 Transient에서 리셋/Fail-operational 동작 검토
ㆍ시험 Test
-SIL/HIL(조기) – 알고리즘·로직 검증
  -SIL(Software-in-the-Loop): 보호/한계/상태전이/시동 절차·에러 핸들링 로직 기능시험(유닛/통합)
  -HIL(Hardware-in-the-Loop): 실제 ECU/IO에 Fault Injection: 센서 단선/단락·Rate spike·Stuck, 액추에이터 불응·포화, 버스 Drop, 전원 Dip/Surge
  -확인 항목: 보호 로직 발동 시간, 채널 전환 t_switchover ≤ (a) s, 한계 미초과, 로그·경보·Fail-safe
-엔진 셀 시험 – 정상/과도/보호
  -정상·과도 응답: Idle↔Max 지속/과도, 스로틀 램프·스텝, 비정상(풍차 재시동·급가속)
  -보호 기능 데모: 과온/과압/과속/스톨 위험 시나리오 유도(안전 범위 내) → 컷백/차단 발동과 한계 미초과 확인
  -채널 전환 시험: 강제 주 채널 Drop → 자동 예비 전환 ≤ (a) s, 응답 편차 ≤ Spec, 추력 급락 금지
-환경·EMI/EMC·전원·진동/충격
  -환경: MIL-STD-810 온도/습도/진동/충격
  -EMI/EMC: MIL-STD-461/464(버스·입출력·접지 격리), 데이터 파티셔닝(모니터 vs 제어) 교차영향 </t>
    </r>
    <r>
      <rPr>
        <sz val="3"/>
        <color theme="1"/>
        <rFont val="맑은 고딕"/>
        <family val="3"/>
        <charset val="129"/>
      </rPr>
      <t xml:space="preserve">無
</t>
    </r>
    <r>
      <rPr>
        <sz val="3"/>
        <color theme="1"/>
        <rFont val="Pretendard SemiBold"/>
        <family val="3"/>
        <charset val="129"/>
      </rPr>
      <t xml:space="preserve">  -전원: Drop/Spike/Noise에서 Fail-operational/Fall-back 동작 검증(재부팅/복구 시간 포함)
ㆍ장착시험 – 조종성·통합
-장착(항공기) 시험: 데이터버스 통신량/지연, 파티션 격리, 엔진모니터와 제어 간 상호영향 </t>
    </r>
    <r>
      <rPr>
        <sz val="3"/>
        <color theme="1"/>
        <rFont val="맑은 고딕"/>
        <family val="3"/>
        <charset val="129"/>
      </rPr>
      <t xml:space="preserve">無
</t>
    </r>
    <r>
      <rPr>
        <sz val="3"/>
        <color theme="1"/>
        <rFont val="Pretendard SemiBold"/>
        <family val="3"/>
        <charset val="129"/>
      </rPr>
      <t>-비상 모드: 주제어 상실/히터 상실 등 고장 시나리오에서 비상모드 활성화 및 재시동모드 동작여부 확인 필요</t>
    </r>
    <phoneticPr fontId="35" type="noConversion"/>
  </si>
  <si>
    <t>ㆍ해석: 채널 전환 논리, 상태 전이 안정성(하이브리드 시스템 분석)
ㆍ시험: HIL/셀에서 주 채널 Drop-out 시 자동 전환 시간·출력 편차·한계 준수 확인, 비행 RTB 시나리오
ㆍ수락: 전환 ≤ (a)s, 아이들 이하 급락 없음, 경보·로그 정상</t>
    <phoneticPr fontId="35" type="noConversion"/>
  </si>
  <si>
    <t>ㆍ모든 주 회전체 N_lim ≤ (a)% 설정, 검출 후 (b) ms 이내 연료 컷백/차단·바이패스 등 보호 작동
ㆍ직접측정 센서(광학/자기)·이중/삼중 센서로 신뢰도 확보, 오탐 방지 로직 포함
ㆍ보호 후 안전 정지 또는 복구 절차 명시</t>
    <phoneticPr fontId="35" type="noConversion"/>
  </si>
  <si>
    <t>ㆍ연료계통은 엔진 연속 운전의 기반으로, 다종 연료 호환·오염 허용·공급압 변동에 견뎌야함
ㆍ군용 운용 특성상 다연료·비상연료 사용 가능성이 높아 호환성·내오염성이 핵심
ㆍ연료계통 고장은 즉시 엔진 정지/성능 저하로 이어지므로 높은 신뢰성이 요구</t>
    <phoneticPr fontId="35" type="noConversion"/>
  </si>
  <si>
    <t>ㆍ연료 호환/오염/공급 조건을 **표(규격·허용범위)**로 규정하고, 필터 바이패스·펌프 자흡·맥동/기포 한계를 명시
ㆍAnti-ice/De-ice·IPS 연계, 방빙·저온 점성 변화·윤활성 저하에서도 시동/가속/재시동이 가능하도록 설계
ㆍICD에 항공기 연료계 인터페이스(압·온·유량·오염등급·드레인/벤트)를 고정하고, 제약/복구 절차를 명시</t>
    <phoneticPr fontId="35" type="noConversion"/>
  </si>
  <si>
    <t>ㆍ다연료 사용 시 추력 편차 → 연료 감지·자동 보정/최저 열량 기준 맵으로 해결
ㆍ오염/모래 먼지로 필터 막힘 → 필터 면적/바이패스 로직과 출력 제한 도입
ㆍ무펌프/고온고도에서 기포·흡입 문제 → 자흡·NPSH 시험과 부스터펌프 채택으로 개선</t>
    <phoneticPr fontId="35" type="noConversion"/>
  </si>
  <si>
    <r>
      <t xml:space="preserve">ㆍ분석: 연료 물성(밀도·점도·증기압·발열량) 기반 성능·시동 모델, NPSH/기포·맥동 해석, 필터 바이패스/압손 해석
ㆍ시험: 주/보조/비상 연료별 시동/재시동/가속 셀 시험, 저온/고온 점성·윤활 시험, 오염(입자·수분) 등급별 내성 시험
ㆍ공급 시나리오: 부스트펌프 유/무, 흡입/중력 급유, 압력 램프·맥동·기포 유발 시험, 자흡 높이 검증
ㆍ내구/신뢰성: 장시간 운전·필터 바이패스 운전·펌프 자흡/건식 보호·윤활성 저하(예: WSD 0.8 mm) 시험
ㆍ수락: 성능(추력·응답) 편차 ≤ 허용, 고장 </t>
    </r>
    <r>
      <rPr>
        <sz val="3"/>
        <color theme="1"/>
        <rFont val="맑은 고딕"/>
        <family val="3"/>
        <charset val="129"/>
      </rPr>
      <t>無</t>
    </r>
    <r>
      <rPr>
        <sz val="3"/>
        <color theme="1"/>
        <rFont val="Pretendard SemiBold"/>
        <family val="3"/>
        <charset val="129"/>
      </rPr>
      <t xml:space="preserve">, 누설 </t>
    </r>
    <r>
      <rPr>
        <sz val="3"/>
        <color theme="1"/>
        <rFont val="맑은 고딕"/>
        <family val="3"/>
        <charset val="129"/>
      </rPr>
      <t>無</t>
    </r>
    <r>
      <rPr>
        <sz val="3"/>
        <color theme="1"/>
        <rFont val="Pretendard SemiBold"/>
        <family val="3"/>
        <charset val="129"/>
      </rPr>
      <t>, 엔진 한계 미초과, 정지 시 안전 복구·세척 후 정상 회복
ㆍ상관성 정보를 제시하여 검사받는 형태, 추후 지상시험 시 주연료 기반 엔진성능 검증으로 수행(시제개발엔진 특성상 다양한 연료기반 성능시험은 불가)</t>
    </r>
    <phoneticPr fontId="35" type="noConversion"/>
  </si>
  <si>
    <t>ㆍ비상연료 사용 조건(온도/고도/부하·시간, 예: ≥ 6 h @ 중간출력)과 성능 최소치를 명시
ㆍ사용 후 세척·필터 교환·특정 부품 점검 등 후속 정비 절차 요구
ㆍSW/제어는 비상연료 사용 시 자동 보정·출력 제한·경보 제공</t>
    <phoneticPr fontId="35" type="noConversion"/>
  </si>
  <si>
    <t>ㆍ오염은 정비/저장/이송·환기·재질 열화 등으로 유입되며, 장기 연속사용·단기간 고오염 모두 고려
ㆍ육군 설문으로 Table XXVa 타당성이 지지되었고, 지상 회전익+자흡은 더 높은 오염허용(XXVc) 필요
ㆍ항공기 탱크 이너팅 물질(할론, 질소, 폼) 존재하더라도 규격 충족 능력 요구
ㆍ주요정의
-엔진은 Table XXVa 수준의 오염연료로도 규격 요구를 충족해야함
-필터가 완전 바이패스인 상태에서 Table XXVb 수준의 오염연료 (a) L/gal를 소모하면서도 요구 충족
-지상 운용 회전익/자흡(석션) 연료계 엔진은 필터 미바이패스 상태에서 Table XXVc 수준 오염연료로 규격 요구 충족
-목적: 바이패스 발생 후에도 귀환 가능(get-home) 능력 보장
ㆍDirty fuel: Table XXV 계열로 정의된 오염(입자/수분/미생물 등) 수준의 연료
ㆍFilter in full bypass: 차압 초과로 필터링 기능 상실·바이패스 경로로 유동(바이패스 상태 운전 요구)
ㆍXXVa/XXVb/XXVc: 설계·시험에 사용하는 표준 오염 수준(항공기 인터페이스 데이터 미정일 때 기준)</t>
    <phoneticPr fontId="35" type="noConversion"/>
  </si>
  <si>
    <t>ㆍA(Analysis): Table XXV 분포/질량유량을 입력으로 필터 용량·차압상승·유로 간극을 계산하고 바이패스/미바이패스 시 임무연료량 소모 
   시나리오에서 귀환성을 해석
ㆍD/T (Demo/Test): 탱크 하류 주입으로 고형오염 비재순환 조건 구현
-XXVa/XXVb(바이패스)·XXVc(미바이패스) 케이스를 엔진·컴포넌트 시험으로 입증(필터 서비스 이벤트 포함). 
ㆍ상관(Trace): 오염 시험은 연료필터 요구(2.8: 용량·바이패스·경고) 및 외부/자흡 유입조건(2.2/2.3), 과증기 복구(2.4) 
   시험 결과와 연계해 한 캠페인에서 임무 시나리오-귀환성까지 연동 검증(미션화 테스트 권장).</t>
    <phoneticPr fontId="35" type="noConversion"/>
  </si>
  <si>
    <t>ㆍ외부 보조압: 항공기 측 부스터/가압계로 엔진 유입부에 제공되는 압력·조건(온도·압력·V/L 포함)
ㆍV/L(증기/액 체적비): 유입부의 기화 상태 지표로, 이상적으로 0(무기화)가 목표
ㆍ유입 인터페이스 특성: 온도(그림5 기준 최저/핫소크), TVP 대비 최소압, 최대 게이지압, 서지 허용치
ㆍTVP(True Vapor Pressure): 해당 온도에서의 연료 진증기압—최소 유입압은 TVP+(c)로 지정
ㆍ서지(Surge): 항공기/엔진 이벤트로 유입부에 단시간 과도압 발생—허용치 (f)(g)(h)로 규정
ㆍ핫소크(Hot Soak): 기체·엔진 열적 정상상태에서 허용할 유입 연료 최고온도 (b) 설정
ㆍ외부 보조압(부스터/가압)이 존재하는 조건에서, 엔진 유입구에 규정 유량·압력·온도를 공급하고 시동/증력(있다면)까지 충족
ㆍ정상 운전 범위: 연료온도 (a)°C(최저) ~ (b)°C(최대), 압력 TVP+(c) kPa(psi) 최소 ~ (d) kPa(psig) 최대, V/L=(e) 조건
ㆍ압력 서지 수용: 항공기 유발 서지 ≤ (f) kPa(psig), dP/dt ≤ (g) kPa(psi)/s, 엔진 유발 서지 ≤ (h) kPa(psi).
(a) Min fuel temp (°C/°F): ____ / ____ | 점도 기준(3.7.3.1.1): ______
(b) Max hot-soak temp (°C/°F): ____ / ____ | 코킹/열관리 한계: ______
(c) Min ΔP above TVP (kPa/psi): / | (d) Max inlet pressure (kPa/psig): /
(e) V/L design value: ____(권장 0) | (f) Max aircraft surge (kPa/psig): /
(g) Max surge rate (kPa(psi)/s): / | (h) Max engine-induced surge (kPa/psi): /</t>
    <phoneticPr fontId="35" type="noConversion"/>
  </si>
  <si>
    <t xml:space="preserve">ㆍI/A(문서/해석): ICD/Spec에 (a)~(h) 값을 명시하고, TVP-점도-온도 상관해석으로 V/L=0 달성성 및 서지 구조여유 증빙
-분석: TVP 맵·점도-온도 커브→V/L=0 달성 가능성, 서지/Proof 여유 계산(유입부 구조 포함)
ㆍD/T(시연/시험): 컴포넌트(펌프·밸브·필터) + 엔진(저/고온, 대체/비상연료, 고도/내구) 시험을 캠페인화하여 정상/과도 전 범위 입증
-컴포넌트 시험: 펌프 고도/캐비테이션·서지 인가·필터 차압/바이패스·밸브 진동/열사이클
-엔진 시험: 저/고온, 대체/비상연료, 내구·고도에서 (a)~(h) 스윕→시동/가속/아이들/증력 안정성 및 이상유무 기록
ㆍ상관성(Trace): 외부보조압 조건(본 항) 결과를 과도 증기(2.4), 자흡(2.3), 필터(2.8) 시험 데이터와 한 리포트 패키지로 묶어 경계일관성 확인
</t>
    <phoneticPr fontId="35" type="noConversion"/>
  </si>
  <si>
    <t>ㆍ(a) 최저온도는 **그림5(해수면 한랭)**에서, (b) 최대온도는 연료 열싱크 활용이 가능하도록 상향 지정
ㆍ(c)(d)(e)(f)(g)(h)는 **계약자(엔진/항공기)**가 시스템 능력·제한을 근거로 제시하되, (e)=0 지향
ㆍ서지 설계치는 시동·비상정지 이벤트까지 고려, 유입부 구조 건전성(Proof/Ultimate) 연계 검토</t>
    <phoneticPr fontId="35" type="noConversion"/>
  </si>
  <si>
    <t>ㆍ과거 15 psia 이상 고정 최소압 요구는 과대형 부스터/중량 증가를 초래—TVP+여유(e.g. 5 psi)가 현실적
ㆍ고온연료 허용(e.g.93 °C)**로 램에어 쿨러 삭제 → 대규모 LCC 절감 사례(단, 149–177 °C에서는 안정성/코킹 우려)
ㆍ고압 운용은 펌프 샤프트 씰 누설·오설계를 유발할 수 있어, 설계자 간 사전 합의·시험 상한 관리가 필수</t>
    <phoneticPr fontId="35" type="noConversion"/>
  </si>
  <si>
    <r>
      <t>ㆍDry lift(건조 흡상): 탱크~펌프 수직 흡상 높이(프라이밍·캐비테이션 한계와 직접 연계)
ㆍSoak-back: 일정 시간 운전 후 정지·열적 축적 상태에서 지연 재시동을 요구하는 조건
ㆍLine restriction: 탱크압·유입압·V/L 상태를 재현하기 위해 유입 전단에 부여하는 제한·오리피스
ㆍ자흡(석션) 시스템: 부스터/가압 없이 펌프 자흡으로 급유하는 구성(저고도/회전익에서 선호, 내탄성·누유 안전성↑)
ㆍTVP 기준 최소압: 일반적으로 TVP + 1 psi 이상을 요구해 비등/베이퍼록 억제
ㆍV/L 상한: 자흡계는 V/L ≤ 1.0을 기본 상한으로 설계·검증(기포 대량·분리상 시나리오 포함)
ㆍ외부 보조압 없이도 시동/증력(해당 시) 포함, 엔진 유입부에서 규정 유량·압력·온도를 공급해야 함
ㆍ유입 조건: 연료온도 (a)°C(그림5 최저) 또는 (b) cSt 중 더 가혹한 값 ~ (c)°C(핫소크), 압력 TVP+ (d) 최소 ~ (e) 최대, V/L=0 ~ (f)
ㆍ터보샤프트: 기포만 300 mm → 액체만 300 mm(유입 단면 동일) 교번 유입을 연속 수용, 필요 시 공기흡입량 (g) 규정
(a) Min fuel temp [°C/°F]: ____ / ____ | (b) Viscosity at (a) [cSt]: ____
(c) Max hot-soak temp [°C/°F]: ____ / ____
(d) Min inlet ΔP above TVP: ____ kPa (____ psi) | (e) Max inlet pressure: ____ kPa (____ psig)
(f) V/L upper bound: ____ (</t>
    </r>
    <r>
      <rPr>
        <sz val="3"/>
        <color theme="1"/>
        <rFont val="Cambria Math"/>
        <family val="3"/>
      </rPr>
      <t>≥</t>
    </r>
    <r>
      <rPr>
        <sz val="3"/>
        <color theme="1"/>
        <rFont val="Pretendard SemiBold"/>
        <family val="3"/>
        <charset val="129"/>
      </rPr>
      <t>1.0 권고) | (g) Air ingestion requirement: ______________________
Dry lift requirement: ______ m | Test fuels: (□JP-4 □JP-8) | ARP492 절차 적용: (□예 □아니오)</t>
    </r>
    <phoneticPr fontId="35" type="noConversion"/>
  </si>
  <si>
    <t>ㆍI/A: ICD/Spec에 (a)~(g) 수치와 TVP–점도–온도–V/L 상관표를 명기, NPSH 여유·드라이리프트 경계 해석 포함
-해석+벤치: TVP/점도/온도-압력 맵핑, 캐비테이션/NPSH 여유, V/L 스윕(0→(f)) 상관 해석
ㆍD/T: Suction/Altitude/Cavitation 3종 시험을 하나의 캠페인으로 연계하고, 지상·1.2 km·3.0 km 등 제시한 기준에서 시험 수행
-소크백→재시동
-V/L 스윕, 300 mm 버블/액 교번을 표준 시퀀스로 시연
-Fuel System Suction Test: 그림5 한랭/고온·지상~3 km 조건, 소크백(30 min 운전→15/30 min 재시동) 포함 시연
-Fuel Pump Altitude/Cavitation Test: ARP492 절차 기반, JP-4/JP-8, 탱크압/유입온도/라인 제한 부여, 드라이리프트·대버블 내성 확인 후 분해검사
ㆍ상관성: 결과를 프라이밍(2.5), 과도증기(2.4), 필터(2.8), 오염연료(2.1) 데이터와 상호참조
-경계 일관성/귀환성(operability margin)을 문서화</t>
    <phoneticPr fontId="35" type="noConversion"/>
  </si>
  <si>
    <t>ㆍ자흡 설계라도 최대 고도·온도·외력 조건에서 시동/연속 운전이 가능해야 안전과 임무를 보장
ㆍTVP+여유와 V/L 상한을 명확히 해야 캐비테이션·베이퍼록·플레임아웃을 체계적으로 예방
ㆍ회전익·저고도 임무는 충돌·피탄·누유 위험을 고려해 석션 구성이 선호되므로 별도 요구·시험 필요</t>
    <phoneticPr fontId="35" type="noConversion"/>
  </si>
  <si>
    <t>ㆍ(a) 최저온도는 그림5 해수면 한랭, (b) 점도는 (a) 온도 기준 cSt 값, (c) 최대온도는 핫소크로 설정
ㆍ(d) 최소압은 TVP+1 psi, (e) 최대압은 ≥50 psig 권고, (f) V/L≥1.0까지 허용 상한 지정
ㆍ(g) 필요시 공기흡입량을 정량화(유입 단면·라인 길이·펌프 NPSHR와 연동)하고 시험 포인트에 반영</t>
    <phoneticPr fontId="35" type="noConversion"/>
  </si>
  <si>
    <t>ㆍ다수 육군 석션 시스템에서 기포·배치·급유 구성 문제로 플레임아웃/운용성 저하가 반복됨
ㆍ단순히 “고 V/L”만이 아니라 액·기 분리상(대버블) 자체를 처리하는 설계·시험이 핵심
ㆍ대버블 처리·드라이리프트 여유를 반영한 설계는 현장 문제를 유의미하게 감소시킴</t>
    <phoneticPr fontId="35" type="noConversion"/>
  </si>
  <si>
    <t xml:space="preserve">ㆍVapor relief(벤트): 과증기를 신속 배출하여 펌프 유효유입압과 V/L을 정상화하는 장치·루프
ㆍVapor lock: 펌프/라인에 증기체가 머물러 유효 유량·압력이 확보되지 않는 상태
(V/L 임계값은 프로그램별로 채움값이지만, JP-5/JP-8/JP-4 기준 1.0 권고)
ㆍHot-soak 복구: 열적 정상상태 후 재시동 가능성을 검증하는 운용/시험 조건
ㆍV/L: 유입부의 증기/액 체적비(연료 기화·공기혼입의 지표)로, 목표는 0(무기화)
ㆍ정상화 조건: §2.2(외부보조압) 또는 §2.3(자흡)에서 규정한 온도·압력·V/L 범위
ㆍ과증기 상태: §2.2/§2.3의 V/L 상한 초과; 이때는 공급 의무 면제되나 복구성이 요구됨
임계 V/L: ______ (권장 1.0)
복구 허용시간: 시동 시 ___ s 이내 / 안정 운전 확보 ___ s 이내
벤팅 용량/전략: ______ / (프라이밍 단계 연동 여부 □예 □아니오)
고도 시나리오: 최대 ___ ft, 부스터 고장 □포함 / 강하율 ___ ft/min
연계 경계 확인: §2.2§2.3§2.5,§2.1/§2.8 </t>
    <phoneticPr fontId="35" type="noConversion"/>
  </si>
  <si>
    <t>ㆍI/A: ICD/Spec에 임계 V/L·복구 시퀀스·벤팅 로직 명시, §2.2/§2.3과 경계 일치성 분석
-시험항목·임계 V/L·복구 허용시간·벤팅 용량·고도 프로파일을 절차서와 열유동 해석으로 근거화
ㆍD/T: 시험설비로 과증기 유발(V/L&gt;임계) → 정상화 → 즉시 시동/운전을 반복 시연(고도·온도 조건 포함)
-벤치/엔진 시험으로 과증기→정상화→재시동 반복 시연(각 포인트 최소 2회 이상, 실패 데이터 포함)
ㆍ상관성: 결과를 프라이밍(§2.5), 자흡(§2.3), 외부보조압(§2.2), 필터/오염(§2.1·§2.8) 데이터와 하나의 캠페인 리포트로 연계.
-연료계통의 관련항목들 시험 데이터와 교차검증하여 경계·운용한계의 일관성 확보</t>
    <phoneticPr fontId="35" type="noConversion"/>
  </si>
  <si>
    <t>ㆍ과도 기화·공기혼입으로 일시 운전불능이 가능하므로 복구 즉시의 정상 시동성이 안전에 핵심
ㆍ연료를 열싱크로 쓰는 체계는 상시 가압 없이는 배관/열교환기에서 기화·증기체류 위험
ㆍ실제 운용에서 부스터 고장·고고도가 복합되면 V/L 급증 → 복구성 요구가 반드시 필요
ㆍ분석만으로는 베이퍼록 발생·해소 동특성을 충분히 재현하기 어려움 → 실시험 필수
ㆍ열관리·라인 체류 증기의 분포는 배관/치수/조합에 민감 → 실장형 시험이 신뢰도 높음
ㆍ재시동성은 조종사 관점의 운용 안전 한계와 직결 → 시험 관찰값으로 객관화</t>
    <phoneticPr fontId="35" type="noConversion"/>
  </si>
  <si>
    <t>ㆍV/L=1.0(JP-5/8/4) 권고치를 §2.2/§2.3의 V/L 상한과 일관되게 설정
ㆍ프라이밍 단계에 벤팅 루프/밸브를 필수 반영(과증기 배출 경로 확보)
ㆍ“과증기→정상화→재시동” 시퀀스가 운용매뉴얼·시험절차·ICD에 동일하게 반영되도록 관리
ㆍ과증기 유발→정상화→재시동을 한 사이클로 정의하고 최소 N회 반복(e.g.: ≥10회)
ㆍ고도 프로파일(예: 30,000 ft 근방 서지/부스터 고장)과 하강 중 벤팅 조건을 포함
ㆍ데이터: 유입압/온도/V/L, 시동 시간, 가속/아이들 안정성, 벤팅 개도, 실패 시 원인·조치 기록</t>
    <phoneticPr fontId="35" type="noConversion"/>
  </si>
  <si>
    <t>ㆍ과도 V/L은 린아웃(연소 희박화)으로 이어져 훈련기 등에서 플레임아웃 사례 다수
ㆍ섹션 §2.2/§2.3의 V/L 상한과 본 조항의 임계값이 불일치하면 복구 실패·재시동 지연 가능
ㆍ프라임-리라이어블(Prime-Reliable) 부스터 설계·운용을 두면 고고도 베이퍼록 취약도가 현저히 감소
ㆍ벤팅 용량 부족 또는 V/L 임계 불일치가 재시동 지연의 주원인 → 경계 일치화가 핵심
ㆍ과도 높은 유입압 설계는 구조·중량↑, 너무 낮으면 V/L=0 달성 실패 → 최적화 필요
ㆍ오염·결빙 상태에서 과증기 시험을 병행하면 실환경 근접성↑(필터 차압/바이패스 연계)</t>
    <phoneticPr fontId="35" type="noConversion"/>
  </si>
  <si>
    <t>ㆍSelf-priming: 라인에 공기/증기가 있어도 외부 보조 없이 펌프가 회로를 충전해 시동 가능한 성능
ㆍDry lift: 탱크-펌프 간 수직 흡상 높이(자흡/캐비테이션 여유 및 배관 붕괴 위험과 직접 연계)
ㆍRVP/절대 유입압: 주어진 온도에서의 연료 비등 경향/펌프 입구의 절대압—자흡 한계·베이퍼록과 상관
ㆍ펌프는 self-priming이어야 하며, dry-lift (a) m를 최소 유입 절대압 (b) kPa에서 달성
-즉, 드라이리프트 (a) m를 최소 펌프 유입 절대압 (b) kPa에서 달성
ㆍ연료는 §3.7.3.1 범위 내, RVP ≤ (c) kPa, 연료온도 ≤ (d) °C에서 자흡·시동 가능
-즉, 사용 연료(§3.7.3.1)의 RVP ≤ (c) kPa, 연료온도 ≤ (d) °C 조건에서 자흡·시동 가능해야함
ㆍ대수직거리·고배치 등 특수 배치는 초기 외부 프라임 허용 가능(중력급유로 충분하면 면제 가능)
-즉, 대형 수직거리·고배치 시 초기 외부 프라임 허용 가능(군요구 관행)
-단, 중력급유(충분한 헤드)면 면제 가능
(a) Dry lift: ______ m (고정익 최소 0.3 m, 터보샤프트 권장 0.46 m)
(b) Min absolute inlet pressure: ______ kPa (예: 30.4 kPa)
(c) Max RVP: ______ kPa (예: 21 kPa)
(d) Max fuel temperature: ______ °C (예: 43 °C)
벤팅 경로/용량: __________________ / 프라임-리라이어블(부스터) 사용 □예 □아니오
면제 조건(중력급유·비상연료 제외 등): __________________</t>
    <phoneticPr fontId="35" type="noConversion"/>
  </si>
  <si>
    <t>ㆍI/A: (a)~(d) 경계로 NPSH 가용/요구, TVP/RVP-온도 맵, 라인 콜랩스·프라임 시간 해석서/ICD에 치환
-드라이리프트 한계선과 프라임 시간 산정, 중력급유 면제 근거 문서화
ㆍD/T: Altitude + Cavitation 시험 내 프라임 시퀀스 삽입(공기혼입→프라임→시동/재시동 반복), RVP·온도 스윕 포함
-터보샤프트는 0.46 m 조건 포함.
ㆍ상관성: 결과를 §2.3(석션), §2.4(과증기/벤트), §2.1/§2.8(오염/필터 차압) 데이터와 묶어 복구성·귀환성을 단일 리포트로 입증</t>
    <phoneticPr fontId="35" type="noConversion"/>
  </si>
  <si>
    <t>ㆍ부스터 상실·공기혼입·고도/온도 변화 상황에서도 시동·재시동·연속공급을 확보해야 안전/임무 연속성 보장
ㆍTVP/RVP–온도–압력 관계를 고려한 현실적 경계가 자흡 실패·베이퍼록·캐비테이션을 예방
ㆍ회전익/저고도 운용에서 석션 경향이 강하므로, 프라임 성능을 별도 요구로 명확화할 필요</t>
    <phoneticPr fontId="35" type="noConversion"/>
  </si>
  <si>
    <t>ㆍ(a) 탱크–펌프 수직거리를 설계 최소 요구로 채택(고정익 ≥0.3 m, 터보샤프트 권고 0.46 m)
ㆍ(b)-(d) 값은 엔진/항공기 통합 해석으로 산출: NPSH 여유, 라인 콜랩스 방지, 프라임 시간 한계 포함
ㆍ공기/증기 체류가 우려되면 벤트(증기 배출) 루프를 프라이밍 단계에 연동하고, 중력급유 면제 조건을 명시</t>
    <phoneticPr fontId="35" type="noConversion"/>
  </si>
  <si>
    <t>ㆍ현장 문제의 다수는 대버블(분리상)·프라임 실패·부스터 고장 후 증기체류에서 발생 → 벤팅/라인 설계로 해소
ㆍ값 고정(보수적 과대 설계)보다 TVP+여유 기반 수치가 펌프·라인 중량/복잡도를 억제하면서 신뢰성 확보
ㆍAltitude/Cavitation 시험에 프라임을 통합 시연하면 캠페인 수 축소·경계 일관성 검증에 유리</t>
    <phoneticPr fontId="35" type="noConversion"/>
  </si>
  <si>
    <t>ㆍ엔진은 ASTM D5001 BOCLE WSD = 0.75~0.90 mm 수준의 저윤활 연료에서도 정상 운전 가능해야함
-군 규격 연료는 일반적으로 WSD &lt; 0.42 mm 수준이나, 상용/대체 연료는 최대 0.90 mm까지 악화 가능
-정제도 상승·합성 원료 확대 등으로 저윤활 연료 사용 빈도 증가 추세를 전제로 요구 설정
-시험 WSD 목표: _____ mm (권장 0.75~0.90) | 시험 연료: 열화 JP-5 / 기타(_____)
ㆍ대상은 윤활 첨가제 미함유 상용 연료까지 포함(군 규격 연료 대비 윤활성 열화 상황 고려)
-펌프·밸브·레귤레이터 등 자윤활(Self-lubricated) 구성품의 기능/내구 성능을 만족할 것
ㆍFuel lubricity: 연료 자체가 운동 부품(펌프/밸브/레귤레이터)을 윤활·마모 억제하는 능력
ㆍBOCLE WSD: 볼-온-실린더 시험에서의 마모흔 지름(mm) — 수치가 작을수록 윤활성 우수
-BOCLE WSD는 연료 윤활 성능의 정량 지표(값이 클수록 윤활성 나쁨)
-Degraded fuel: 목표 WSD 달성을 위해 의도적으로 윤활성을 저감한 시험용 연료
-내구 시간: ≥100 h | 스로틀 싸이클: ≥50 cph | 시험 표준: SAE ARP 1797 / ASTM D5001
-수락 기준: 성능 유지율 ≥_____%, 누설 ≤_____, 분해검사 마모 등급 ≤_____, 재가공/교체 없음</t>
    <phoneticPr fontId="35" type="noConversion"/>
  </si>
  <si>
    <t>ㆍI/A: 목표 WSD(0.75~0.90 mm)-&gt; 부품별 설계 한계/NPSH/윤활 경계 상관 해석, 수명 모델/정비주기 근거 문서화
ㆍD/T: ARP 1797 시설에서 100 h(≥) 내구 + 50 cph 가혹화, 전/후 성능·효율·누설 비교 + 분해검사로 마모 모드 확인.
-구성품 내구 시험(≥100 h) + 필요 시 스로틀 50 cph 가혹화, BOCLE 기준 저윤활 연료(예: 열화 JP-5) 사용.
-SAE ARP 1797 셋업 가이드 준수, 수락 시험(전/후)으로 성능 열화 확증·정량화
-엔진/컴포넌트 시험을 임무 싸이클 기반으로 구성하여 실제 운용 부하/온도 변동을 반영
ㆍ상관성: 결과를 연료오염(§2.1), 필터(§2.8) 차압/바이패스, 프라이밍/캐비테이션(§2.5/§2.3) 데이터와 연계해 실환경 경계로 치환</t>
    <phoneticPr fontId="35" type="noConversion"/>
  </si>
  <si>
    <t>ㆍ정제 고도↑·대체 연료 확대로 윤활 저하가 빈발 → 펌프/제어계 마모·스턱·누설 리스크 관리 필요
ㆍ저윤활 조건에서의 기초 기능/내구 확보는 임무 지속성과 정비 비용(LCC) 저감에 직결
ㆍ과거 프로그램에서 0.75~0.90 mm가 현실적 최악값으로 확인되어, 현 실무 한계를 전제로 요구 수립</t>
    <phoneticPr fontId="35" type="noConversion"/>
  </si>
  <si>
    <t>ㆍ검증 연료는 ASTM D5001 목표 WSD를 연료 열화/첨가제 배제로 달성(예: 열화 JP-5)
ㆍ온도·점도 프로파일을 시험에 포함(윤활성과 점도는 상관)하고, 임무 싸이클로 가혹화(50 cph 등)
ㆍ전/후 분해 검사와 치수/거칠기/누설·효율 비교로 마모 모드(스크래칭, 스코어링, 스틱션) 확인</t>
    <phoneticPr fontId="35" type="noConversion"/>
  </si>
  <si>
    <t>ㆍ저윤활 연료로 연료조절기/펌프 고장 사례 다수 → 방청제(부식 억제제) 첨가 시 윤활성이 유의미하게 개선
ㆍ유압기계식(하이드로-메카니컬) 제어계가 특히 취약, 열화 연료 장기 운전 시 밸브 응답 지연/히스테리시스 증가
ㆍ가혹 내구(≥100 h, 50 cph)를 통해 마모·성능 저하 초기 징후를 조기에 포착 가능(예지정비 지표로 활용)
ㆍ오염/수분이 동반되면 저윤활 마모가 가속되므로, 윤활성 시험에 입자/수분 관리를 병행하는 것이 효과적임
ㆍ과도 유입압/고온(열관리) 조건은 씰/저널 마모를 증폭 → 윤활성 시험과 온도·압력 경계 시험을 결합 권장
ㆍ과증기/벤팅 시퀀스(§2.4) 후 재시동 과정에서 저윤활 조건이 겹치면 펌프 응답 저하 → 복구성 시험과 동시 검증이 바람직</t>
    <phoneticPr fontId="35" type="noConversion"/>
  </si>
  <si>
    <r>
      <t xml:space="preserve">ㆍWater-saturated fuel: 지정 온도·압력에서 용해 가능한 최대 수분을 포함한 연료(현장값은 사용성/경험 기반 설정)
-수분 포화 연료(최대 ____)를 최악의 유입 압력/온도 조건에서 공급해도 엔진이 규격 요구(시동/가속/아이들/안정운전)를 충족
-Free water: 연료 중 비용해 수분(ARP 1401 기준량 예시: 0.75 cc/gal)으로 결빙/차압 상승의 주요 원인
ㆍFSII 적용이 불확실/미달되는 운용 환경을 고려하여, FSII 미첨가 상태에서도 운용 가능하도록 요구
-FSII(anti-icing additive) 미사용 조건까지 포함해 필터/스크린 결빙으로 인한 성능저하·바이패스·플레임아웃이 없어야 함
ㆍFSII (Fuel System Icing Inhibitor): 연료 내 수분 결빙을 억제하는 첨가제(현장 첨가/혼합)
ㆍAnti-icing heat exchanger: 필터/연료제어 상류에서 연료를 가열해 결빙 억제하는 열교환기(공기 냉각 조건 명세 필요)
-필요 시 해빙(anti-icing) 장치를 포함하되, 장치 작동이 연료계·엔진 운전에 부정적 영향을 주지 않아야 함
ㆍ시험 가이드는 SAE ARP 1401 참조(시험 온도는 −18 °C 대체 가능) 및 과거 현장 경험을 반영해 값 산정
-최대 수분 함량: ______ (예: ARP 1401 기준 포화 + free water 0.75 cc/gal)
-시험 유입 온도: −18 °C, 규격 최저온도(____ °C) | 연료: □ JP-5 □ JP-8 (FSII 미함유)
-해빙 시스템: □ 적용(유형: ______, 공기 요구: ______, 조종사 표시/경고: □YES/□NO) □ 미적용(운용 제한: ______)
-성능 기준: 정상/천이 성능 저하 없음, 차압/바이패스 </t>
    </r>
    <r>
      <rPr>
        <sz val="3"/>
        <color theme="1"/>
        <rFont val="맑은 고딕"/>
        <family val="3"/>
        <charset val="129"/>
      </rPr>
      <t>無</t>
    </r>
    <r>
      <rPr>
        <sz val="3"/>
        <color theme="1"/>
        <rFont val="Pretendard SemiBold"/>
        <family val="3"/>
        <charset val="129"/>
      </rPr>
      <t xml:space="preserve">, 재시동 성공, 시험 후 점검 이상 </t>
    </r>
    <r>
      <rPr>
        <sz val="3"/>
        <color theme="1"/>
        <rFont val="맑은 고딕"/>
        <family val="3"/>
        <charset val="129"/>
      </rPr>
      <t>無</t>
    </r>
    <phoneticPr fontId="35" type="noConversion"/>
  </si>
  <si>
    <t xml:space="preserve">ㆍI/A: 최대 수분값·온도/압력 경계·FSII 정책·해빙장치 인터페이스(형상/기능/표시/경고)를 ICD/Spec에 치환
-결빙-차압-바이패스 상관 해석 포함
ㆍD/T: 수분 포화 연료 시험(−18 °C 및 규격 최저온도, FSII 미함유, 임무시간 이상), 해빙장치 ON/OFF 비교
-정상/천이/재시동 성능·차압·바이패스 유무 계측
-엔진 시험: −18 °C 및 규격의 최저 유입온도에서 수분 포화 연료(e.g.27 °C 포화 + free water 0.75 cc/gal)로 
  AMT/임무시간+공중급유 1회 또는 ≥3 h 운전
-FSII 미함유 JP-5/JP-8 사용, 각 온도 포인트에서 정상성능·천이성능 저하/상실이 없음(재시동 포함)으로 판정
-해빙장치 작동 시험 병행(조종석 경고·작동표시 인터페이스 확인), 시험 전후 성능 비교/기록
ㆍ상관성: 결과를 오염(§2.1)·필터(§2.8)·과증기(§2.4)·프라이밍(§2.5)·자흡/외부보조(§2.3/§2.2) 데이터와 
한 캠페인 리포트로 연결해 경계 일관성·귀환성 확보
</t>
    <phoneticPr fontId="35" type="noConversion"/>
  </si>
  <si>
    <t>ㆍ필터/스크린 결빙은 급작스런 연료 차압 상승→바이패스→연료공급 불안을 유발하므로 안전 위해 방지 필수
ㆍFSII 미준수/불확실 연료 공급 현실과 혹한 운용을 고려해, 수분 포화 한계에서도 운용 가능하도록 요구
ㆍ연료를 열싱크로 활용하는 시스템은 저온에서 수분 관리 실패 시 광범위한 결빙 문제로 확산될 수 있음</t>
    <phoneticPr fontId="35" type="noConversion"/>
  </si>
  <si>
    <t>ㆍ최대 수분값은 사용성/과거 경험으로 정하고, ARP 1401 절차·샘플 준비 기준을 준수(필요 시 −18 °C 대체)
ㆍ연료 해빙 시스템(연료-공기 HX 등)은 필터·연료제어 상류에 설치, 조종사 수동선택·작동표시/경고 제공
ㆍFSII 현장 첨가 또는 운용 제한(얼음 형성 영역 회피)도 대안으로 테일러링 가능</t>
    <phoneticPr fontId="35" type="noConversion"/>
  </si>
  <si>
    <t>ㆍFSII를 상시 사용하는 육군 헬기는 현장에서 연료 결빙 문제 거의 없음(해빙 히터 요구도 낮음)
ㆍFSII는 미생물 오염 저감의 부수 효과가 있음(탱크 위생/정비성 향상)
ㆍ(검증 LL 보완) −3.2~1.2 °C의 정밀 온도 제어 장시간 시험은 비현실적
- −1~−10 °C 구간 영향 유사 → 실용적 온도 포인트 선정 권장
-0 °C 이상 포화+유리수 시험으로 free water 영향도 확인 필요</t>
    <phoneticPr fontId="35" type="noConversion"/>
  </si>
  <si>
    <t>ㆍ엔진은 규격 요구 달성을 위해 필요한 수준의 연료 여과를 제공해야 하며, 필터는 (a) 개로 구성되고 매질 이행(media migration) 없음을 보장
ㆍ필터 엘리먼트의 여과 등급은 Table XXVa 오염 조건에서 Table XXVI에 부합, 바이패스(압력 릴리프) 내장 및 워시-스루(세척 유출) 방지
-Wash-through 금지: 바이패스 개방 중 엘리먼트에 붙은 이물이 하류로 쓸려나가지 않도록 설계(하우징·시트·유로 포함)
-Cleanable/Non-cleanable: 엘리먼트 정비성 속성(세척 재사용 vs 교체형)을 요구문에 명시하여 LCC/정비주기 관리
ㆍ임박/실제 바이패스 (b) 표시(원격, 시각, 또는 둘 다)를 제공하고, 표시는 필터 분해/점검 시까지 유지·거짓 작동(§2.2 서지 범위) 금지, 무유출 탈거 가능
-Impending/Actual bypass: 엘리먼트 차압 임계치 근접/초과 상태를 의미하며, 정비·운용 의사결정 신호
-Dirty fuel(표준 오염): 설계·시험 사이징 시 사용하는 표 XXV 계열 오염 프로파일
-Filter capacity: 임박 바이패스부터 완전 바이패스까지 허용 오염량/유량·시간—정비주기와 직결
-False activation: 정상 운용(§2.2 서지 한계 내)에서 임박/실제 표시가 오작동하지 않도록 하는 설계 요건
(a) 필터 수량/형식: ______ (□Cleanable □Non-cleanable, 메시/등급: ______)
(b) 표시: □Visual(팝아웃, 내부 수동 리셋) □Remote(EMS/HUMS) □Both
Table XXVI: 임박/완전 바이패스 차압(/), 용량(임박→바이패스 동안 연료·시간/임무 횟수), 거짓 작동 기준(서지 범위 내 0건)
무유출 탈거/볼 밸브: □Yes □No | Wash-through 방지 구조: ______
사이징 입력: Dirty fuel(XXV__), 최대 연료 소모 임무(), 점도/온도 범위(/______)</t>
    <phoneticPr fontId="35" type="noConversion"/>
  </si>
  <si>
    <t>ㆍI/A: 필터 재질 호환성·등급·용량·바이패스 차압·표시 로직을 도면/ICD/Spec·Table XXVI로 치환
-Dirty fuel+최대 임무 연료량 기반 사이징 해석 포함
ㆍD/T: 컴포넌트 미션화 시험으로 등급/용량/바이패스/표시 기능 시연, 엔진 내구 시험 중 정비성(무유출 탈거·리셋 절차) 데모 및 거짓 작동 부재 입증
ㆍ상관성: 결과를 오염(§2.1)·수분결빙(§2.7)·과증기(§2.4)·자흡/보조압(§2.3/§2.2) 시험 데이터와 연계
-차압 여유·바이패스 로직·귀환성을 한 캠페인 리포트로 정합</t>
    <phoneticPr fontId="35" type="noConversion"/>
  </si>
  <si>
    <t>ㆍ오염 연료 환경에서도 연소 안정·제어성 유지에는 적정 여과가 필수(펌프·노즐·서보 보호)ㆍ
ㆍ바이패스 기능은 과차압 시 시스템 손상 방지를 위한 안전장치이나, 오염 유출 금지 설계가 병행되어야 함
ㆍ가시/원격 경고는 현장 정비와 조종사 인지에 핵심이며, 거짓 작동 방지는 신뢰도와 불필요한 정비를 줄임</t>
    <phoneticPr fontId="35" type="noConversion"/>
  </si>
  <si>
    <t>ㆍ(a) Cleanable 여부를 요구문에 넣고, 매질·메시·점도·용량·정비주기(제거 간격)를 Table XXVI로 구체화.
ㆍ(b) 표시는 visual/remote/visual+remote 중 선택(팝아웃 버튼은 내부 수동 리셋 권장)
-전자식은 정비 플래그 유지 로직 명시
ㆍImpending→Bypass까지의 용량(capacity)은 전투 임무 2회 이상 완료 가능하도록 산정
-가장 연료를 많이 쓰는 임무를 기준으로 명시</t>
    <phoneticPr fontId="35" type="noConversion"/>
  </si>
  <si>
    <t>ㆍ수평 배치 스트레이너 정비 시 립에 모인 오염이 후단 제어기에 유입→수리 빈발; 수직 재배치로 오염 유출 최소화
ㆍ중복 임박 경고는 시스템 설계에 따라 불필요할 수 있으며, 건전성 모니터링(HUMS/EMS) 연동이 대체 가능
ㆍ필터 재질 비호환/용량 과소는 교환주기 단축·차압 급등·바이패스 빈발로 이어짐 
→ 초기 사이징에 Dirty fuel+임무 연료량을 반영</t>
    <phoneticPr fontId="35" type="noConversion"/>
  </si>
  <si>
    <r>
      <t xml:space="preserve">ㆍ최대/최소 연료유량을 프로그램 문서에 명시해야 함(우선 ICD, 부재 시 규격 Table IV, 가능하면 둘 다)
-Fuel flow limit: 엔진이 요구/허용하는 연료유량의 상·하한(조건부 수치)
-최소 유량: 고고도 flight idle 등 운용 한계를 정의하는 핵심 값(아이들 안정성과 직결)
-항공기-엔진 간 연료유량 인터페이스로 파이프/튜브 사이징과 제어 로직 경계의 근거
-ICD 우선: 실체계 통합 문서가 우선 원본이며, 필요 시 규격 표 IV에 동일 수치를 중복 기재해 접근성 확보
ㆍ이 한계치는 최대출력/아이들/가속 등 엔진 성능 경계와 연료계 설계치(배관·펌프·밸브) 산정의 기준선으로 사용
-제어계 공차·환경 조건을 고려하여 운용 가능 범위로 표현하고, 시험/분석 결과와 구성관리 일치 유지.
-Table IV: ICD 없을 시 연료공급한계를 규격 본문 내 표준화해 제공하는 표 양식
-기재 위치: □ ICD 섹션 ___ □ 규격 Table IV □ 둘 다
-최대 유량: ____ kg/h (조건: P_in ____ kPa, T_fuel ____ °C, 연료 ___)
-최소 유량: ____ kg/h (조건: 고도 ____ ft, 아이들 상태, 연료 ___)
-판정 허용오차: ±____ % | 시험 포인트: 지상/_____ ft, −~+ °C, </t>
    </r>
    <r>
      <rPr>
        <sz val="3"/>
        <color theme="1"/>
        <rFont val="Segoe UI Symbol"/>
        <family val="3"/>
      </rPr>
      <t>□</t>
    </r>
    <r>
      <rPr>
        <sz val="3"/>
        <color theme="1"/>
        <rFont val="Pretendard SemiBold"/>
        <family val="3"/>
        <charset val="129"/>
      </rPr>
      <t xml:space="preserve"> JP-5 </t>
    </r>
    <r>
      <rPr>
        <sz val="3"/>
        <color theme="1"/>
        <rFont val="Segoe UI Symbol"/>
        <family val="3"/>
      </rPr>
      <t>□</t>
    </r>
    <r>
      <rPr>
        <sz val="3"/>
        <color theme="1"/>
        <rFont val="Pretendard SemiBold"/>
        <family val="3"/>
        <charset val="129"/>
      </rPr>
      <t xml:space="preserve"> JP-8 </t>
    </r>
    <r>
      <rPr>
        <sz val="3"/>
        <color theme="1"/>
        <rFont val="Segoe UI Symbol"/>
        <family val="3"/>
      </rPr>
      <t>□</t>
    </r>
    <r>
      <rPr>
        <sz val="3"/>
        <color theme="1"/>
        <rFont val="Pretendard SemiBold"/>
        <family val="3"/>
        <charset val="129"/>
      </rPr>
      <t xml:space="preserve"> 기타(____)
-연계 검증: §2.2 </t>
    </r>
    <r>
      <rPr>
        <sz val="3"/>
        <color theme="1"/>
        <rFont val="Segoe UI Symbol"/>
        <family val="3"/>
      </rPr>
      <t>□</t>
    </r>
    <r>
      <rPr>
        <sz val="3"/>
        <color theme="1"/>
        <rFont val="Pretendard SemiBold"/>
        <family val="3"/>
        <charset val="129"/>
      </rPr>
      <t xml:space="preserve"> §2.3 </t>
    </r>
    <r>
      <rPr>
        <sz val="3"/>
        <color theme="1"/>
        <rFont val="Segoe UI Symbol"/>
        <family val="3"/>
      </rPr>
      <t>□</t>
    </r>
    <r>
      <rPr>
        <sz val="3"/>
        <color theme="1"/>
        <rFont val="Pretendard SemiBold"/>
        <family val="3"/>
        <charset val="129"/>
      </rPr>
      <t xml:space="preserve"> §2.4 </t>
    </r>
    <r>
      <rPr>
        <sz val="3"/>
        <color theme="1"/>
        <rFont val="Segoe UI Symbol"/>
        <family val="3"/>
      </rPr>
      <t>□</t>
    </r>
    <r>
      <rPr>
        <sz val="3"/>
        <color theme="1"/>
        <rFont val="Pretendard SemiBold"/>
        <family val="3"/>
        <charset val="129"/>
      </rPr>
      <t xml:space="preserve"> §2.8 </t>
    </r>
    <r>
      <rPr>
        <sz val="3"/>
        <color theme="1"/>
        <rFont val="Segoe UI Symbol"/>
        <family val="3"/>
      </rPr>
      <t>□</t>
    </r>
    <r>
      <rPr>
        <sz val="3"/>
        <color theme="1"/>
        <rFont val="Pretendard SemiBold"/>
        <family val="3"/>
        <charset val="129"/>
      </rPr>
      <t xml:space="preserve"> §2.1/§2.7 </t>
    </r>
    <r>
      <rPr>
        <sz val="3"/>
        <color theme="1"/>
        <rFont val="Segoe UI Symbol"/>
        <family val="3"/>
      </rPr>
      <t>□</t>
    </r>
    <phoneticPr fontId="35" type="noConversion"/>
  </si>
  <si>
    <t>ㆍI/A: 유량 한계를 ICD/표 IV에 수치+조건(압력·온도·연료)로 기재, 펌프/노즐/밸브 용량·제어 맵과 정합 해석
-해석(펌프 맵/노즐/제어로직)으로 후보 범위 설정→컴포넌트/엔진 시험으로 상·하한 입증
-극한·천이 포함: 저/고온, 고도, 가속/감속·재시동 등 대표 운용 사건에서 유량 한계 준수 여부 시뮬레이션 및 계측
ㆍD/T: 컴포넌트(펌프·밸브·필터) 및 엔진 시험에서 최대/최소 유량과 천이 응답 입증(고도·온도·대체연료 포함)
-공차 반영: 엔진·제어계 최악 공차를 적용해 시험 결과를 보수 조정 후 한계 확정
ㆍ상관성: 결과를 외부보조압(§2.2)·자흡(§2.3)·과증기(§2.4)·필터(§2.8)·오염/수분(§2.1/§2.7) 데이터와 교차 검증해 경계 일관성 확보</t>
    <phoneticPr fontId="35" type="noConversion"/>
  </si>
  <si>
    <t>ㆍ한계치는 ICD+규격 표 IV 동시 기재를 권장(추적성·가시성 향상), 수치 옆에 조건(압력/온도/연료) 병기
ㆍ운용 케이스 매트릭스(지상/고도, 저/고온, 대체·비상연료)별 한계 동일성을 확인·표기
ㆍ제어계 허용 오차·응답 지연을 반영해 시험 판정 기준(±%)을 사전에 규정</t>
    <phoneticPr fontId="35" type="noConversion"/>
  </si>
  <si>
    <t>ㆍ유량 한계가 불명확하면 항공기 측이 과대 설계하거나, 반대로 가속성능/아이들 안정성 문제 발생
ㆍ한계를 ICD와 규격에 중복 기재하면 프로그램 말기의 변경·해석 오적용을 예방
ㆍ최대 유량만 관리하면 아이들/저유량 영역에서 제어계 헌팅·실화 위험발생가능
ㆍ최소 유량도 동등 비중으로 관리해야함</t>
    <phoneticPr fontId="35" type="noConversion"/>
  </si>
  <si>
    <r>
      <t xml:space="preserve">ㆍ지정된 컴프레서 속도 도달 후, 엔진 전원은 무중단(uninterruptible) 으로 공급되어야 함(공급 주체: 엔진 또는 항공기, 명시)
-Primary/Alternate power source: 엔진 내부 발전/조정기 또는 항공기 전원(지상전원 포함)으로, ICD에 인터페이스·품질 규정
-Uninterruptible: 절체·버스 스위칭·기동/지상 운용 중에도 FADEC/점화/센서 전원이 끊기지 않는 상태
-Uninterruptible power: 절체/과도 중 출력 품질과 공급 지속이 보장되는 전원(리셋·글리치 </t>
    </r>
    <r>
      <rPr>
        <sz val="3"/>
        <color theme="1"/>
        <rFont val="맑은 고딕"/>
        <family val="3"/>
        <charset val="129"/>
      </rPr>
      <t>無</t>
    </r>
    <r>
      <rPr>
        <sz val="3"/>
        <color theme="1"/>
        <rFont val="Pretendard SemiBold"/>
        <family val="3"/>
        <charset val="129"/>
      </rPr>
      <t>)
ㆍ엔진 전기계통은 (b) 표시/경보를 제공하고, 항공기 외부전원을 주/보조 전원으로 수용 가능해야 함(명시)
-Power indications: (b) 경보/표시(예: BUS FAIL, EXT PWR AVAIL, TRANSFER IN PROGRESS)와 유지 로직
ㆍ주→보조(또는 보조→주) 절체 시 엔진 운전에 중단/천이 이상이 없어야 함(점화·제어·액세서리 포함)
-대체전원 표준: MIL-STD-704(또는 동등 상업표준)을 항공기 제공 전원 품질 지침으로 사용
-Transfer: 주↔보조 절체 과정의 시간·동기·서지를 포함한 절차/성능
-시험 포인트: 버스 스위칭(지상/비행), 시동·정지, 과도 부하, 저/고온·고도, 과/저전압·서지, 외부전원 연결/해제
ㆍ관리항목
-Primary / Alternate: □ Engine-supplied □ Air-vehicle-supplied (둘 다일 경우 공통자원 최소화 원칙 명시)
-Compressor speed threshold: ______ %Nc 이상 시 무중단 전원 보장
-External power standard: □ MIL-STD-704 □ 기타(____) | 절체시간 ≤ _____ ms | 리플 ≤ _____ %
-(b) Indications: □ Remote(EMS/HUMS) □ Visual □ Both | 알람 유지/리셋 로직: __________</t>
    </r>
    <phoneticPr fontId="35" type="noConversion"/>
  </si>
  <si>
    <t>ㆍI/A: 전원 품질(전압/주파수/리플/THD), 절체시간, 서지/언더·오버볼티지 한계를 ICD/안전해석으로 근거화
-전원 품질(전압/주파수/리플/서지) 모델링 → 절체 무중단 시나리오 시뮬레이션 등으로 분석제시
ㆍD/T: 실제 외부전원 장비로 자동 수용·절체 데모(ECU 무리셋, 알람 정상, 로깅 확인)
-시뮬레이션/분석결과를 엔진 시험으로 검증
-엔진 가변 RPM 및 버스 스위칭/지상전원 연결 시험에서 무중단·품질·알람을 계측(저/고온·고도 포함)
-버스 스위칭/지상전원 연결/기동·정지 이벤트에서 전원 끊김·FADEC 리셋·오경보 0을 계측 확인
ㆍ시험 결과는 엔진·제어계 최악 공차 반영해 보수 조정 후 ICD/규격 수치로 확정</t>
    <phoneticPr fontId="35" type="noConversion"/>
  </si>
  <si>
    <t>ㆍ엔진 제어·점화·헬스모니터는 순간 전원 저하에도 민감 → 무중단 전원으로 신뢰성/생존성 확보
ㆍ엔진발전 고장/피탄 등 비정상 시 항공기 전원이 대체 공급해야 임무 지속/안전 착륙 가능
ㆍ미감시 전원 특성은 기기 오동작·과열·수명 저하로 연결 → 전원 품질 관리가 필수</t>
    <phoneticPr fontId="35" type="noConversion"/>
  </si>
  <si>
    <t>ㆍ주/보조 전원 주체, 컴프레서 속도, 전원 품질 수치(V, Hz, 리플 %, 과도 복귀 ms)를 ICD에 명시
ㆍ항공기 전원 사용 시 단일고장점 제거, 공통자원 최소화, 역류/동기/절체 로직을 규정(버스 스플릿 권장)
ㆍ엔진 자체가 주/보조를 제공한다면 인터페이스 전원 정의 생략 가능하나, 항공기 제공 시는 필수로 명시</t>
    <phoneticPr fontId="35" type="noConversion"/>
  </si>
  <si>
    <t>ㆍ전원 입력 중단으로 헬스모니터 거짓 고장 플래그 다발 → 절체 무중단·전원 품질 감시 필요
ㆍ시동/지상 운용 버스 스위칭 시 FADEC 오류 발생 사례 → 절체 시퀀스/서지 보호 수치화
ㆍ전원 품질 미규정(언더/오버볼티지)으로 예측불가 동작 → 한계/알람·컷백을 명문화</t>
    <phoneticPr fontId="35" type="noConversion"/>
  </si>
  <si>
    <t>ㆍ엔진 제너레이터(요구 시)는 엔진 전 전기부하를 만족하는 전력을 공급할 것
-Full electrical load: 엔진·임무 장비가 요구하는 연속/피크 부하의 규정 합(부하 프로파일 포함)
-IS/G(Starter/Generator): 시동기+발전 기능 통합 장치(전원·토크·냉각 인터페이스 명시 필요)
-정격/피크 출력, 허용 전압·주파수 범위, 리플/THD, 과도복귀 시간: 전원 품질 인터페이스 항목
-부하 클래스: 필수(안전/제어)·중요(임무)·일반 부하로 등급화하여 분배 우선순위 정의
ㆍ최대 허용 정상상태 엔진속도의 일정 수준(%)에서 전정격 부하 연속 운전 전후 성능 열화 없음
-최대 허용 정상상태/과도 속도: 엔진 규격에서 정의된 연속/과도 운전 한계(Nc 기준)
-Performance degradation 없음: 전압/주파수/리플/온도·효율/절연 등 규격치 이탈 없음
-조정기/분배모듈: 과전/저전·과전류·단락·부하차단(LS) 기능을 포함하는 전원 관리 장치
ㆍ오버스피드(무부하) 후 성능 열화 없음을 보여야 하고, 최대 과도 회전자 속도에서 기계 파손 시 하우징 완전 격납(Containment)상태여야함
-오버스피드(3.4.1.6.5): 규정된 과속 조건에서 무부하로 무손상 요구
-Containment: 로터 파손 발생 시 파편·2차 손상이 제너레이터 하우징 내에 완전히 억류될 것
ㆍ관리항목
-연속 부하 속도 한계(%): ______ | 부하 시험 시간 (a) h: ______
-오버스피드 조건(3.4.1.6.5) 무부하: □ 충족 계획 수립 | 최대 과도 속도 격납: □ Yes
-IS/G 사용: □ Yes(전력/토크/냉각 ICD 섹션 __) □ No
-판정 기준: 전압/주파수/리플/효율/온도/절연 규격 유지, 파손 완전 격납, 손상/예고 징후 Zero</t>
    <phoneticPr fontId="35" type="noConversion"/>
  </si>
  <si>
    <t>ㆍI/A: 전열·전자기·회전자 강도·비틀림/임펄스 해석으로 속도·부하·온도 여유 산정, ICD/Spec 정합
-부하/열/여유 해석, 전원 품질 계산, 단일고장 영향(FMEA)과 ICD 정합 검토
ㆍD: 아이들↔과도 전 영역 부하 전환/과도 데모, 자동 부하분배·보호(과전/저전·단락) 로직 시연
-오버스피드 시험(무부하): 규정 과속 후 기계·전기 손상/징후 없음 확인
-부하뱅크로 연속/피크·돌입·기동 과도를 시연, 자동부하차단/복귀 로직 데모
ㆍT: 오버스피드(무부하), 정격부하 연속 (a) h @ _____ % 속도 &amp; 최고부품온도, 격납(의도 파손) 3종 시험 + 사후 분해검사
-부하 시험: 전정격 부하로 _____ % 속도, (a) h 운전 + 최대 부품 제한온도 노출 후 이상 없음
-격납 시험: 최대 과도 속도에서 의도적 로터 실패 유도 → 파손 전량 하우징 내 격납 확인
-엔진 가변 RPM 시험에서 전압/주파수·리플·과도복귀 계측(저온/고온/고도 포함)</t>
    <phoneticPr fontId="35" type="noConversion"/>
  </si>
  <si>
    <t>ㆍ엔진 전 운전 영역에서 전원 공급 확보는 제어·점화·센서·임무장비 연속성/안전성의 전제
ㆍ과도·오버스피드에서도 전원상실·성능열화가 없어야 제어계 안정·재시동 가능성 보장
ㆍ기계 파손 파편 격납은 연료·오일·제어 라인 손상을 차단해 치명적 고장을 예방</t>
    <phoneticPr fontId="35" type="noConversion"/>
  </si>
  <si>
    <t>ㆍ빈칸 속도(%)는 엔진 최대 과도 속도와 호환되도록 설정(오버스피드 여유 포함)
ㆍ최저 아이들 속도→최대 과도 속도 전 범위에서 전정격 부하 공급 가능을 명문화
ㆍ통합 시동/제너레이터(IS/G) 채택 시, 전원 요구·인터페이스는 ICD에 상세 기재</t>
    <phoneticPr fontId="35" type="noConversion"/>
  </si>
  <si>
    <t>ㆍ일부 프로그램(예: Engine P/aircraft Z)에서 본 요구가 완화/면제 협상 사례 존재 → 위험평가·보상통제 필수
ㆍ다른 사례는 115% → 125~135%로 속도 요구 상향·Containment 삭제
ㆍ반면 어떤 사양은 설계 파열속도=과도 최대의 190%, 시험 200% 무고장까지 검증
ㆍ결론: 속도·격납 요구는 임무·위험·무게·비용 트레이드로 테일러링하되, 단일고장 안전성을 유지
ㆍ순간 전원 품질 저하가 헬스모니터/ECU 오경보·리셋 유발 → 리플·과도 기준을 별도 항목으로 규격화 필요
ㆍ피크 부하 미모델링으로 과열·조정기 디레이트 발생 → 임무 부하 시나리오 기반 사이징이 핵심
ㆍ이중화 없이 단일 발전기 의존 시 가용도 저하 → 발전원 중복·교차부하 분배 전략 유효</t>
    <phoneticPr fontId="35" type="noConversion"/>
  </si>
  <si>
    <r>
      <t xml:space="preserve">ㆍ엔진은 항공기 발전 전원·외부(지상) 전원·혼합 구성 중 (a)로 정의된 대체전원을 자동 수용해야 함
-Alternate power: 엔진 내부전원 실패/중단 시 사용되는 항공기/지상 전원(품질·연결·절체 로직은 ICD에 명시)
-호환성 원칙: 엔진 요구와 항공기 전원 설계를 초기 단계에 상호 조정하여 단일고장점과 공통자원 사용을 최소화
-Automatic acceptance: 전원 상실/저하 감지 시 사용자 개입 없이 대체전원으로 절체·안정화
ㆍ전원 과도/중단 특성 (b) 내에서는 성능·운용성 열화가 없어야 하며(시동·가속·감속 포함), 절체는 무중단이어야 함
-(b) 전원 과도/중단: 허용 가능한 전압·주파수 변동, 리플·서지, 중단 시간/깊이(MIL-STD-704 등으로 수치화)
-Power transient: 전압/주파수 편차, 리플/서지, 중단 시간(Amplitude/Duration*로 기술되는 전원 과도 현상
-Compatibility: 엔진 전원 요구(형태·용량·품질·연속성)와 항공기 공급원의 규격 일치 및 절체·격리 로직 정합
ㆍ대체전원 사용 중에도 모든 회전자 속도 범위에서 안전 운용 및 공중시동이 가능해야 함
-시동/지상정비/비정상 상황에서 외부전원을 안전·자동으로 수용해야 운용성/정비성이 향상
-내부 발전과의 병렬/절체 과정에서 역류·서지·동기불량을 방지하여 장비 보호 필요
-외부전원 품질 편차가 제어기/센서에 영향을 주지 않도록 격리·조정이 요구됨
ㆍ관리항목
(a) 대체전원 정의: □ ICD §___ </t>
    </r>
    <r>
      <rPr>
        <sz val="3"/>
        <color theme="1"/>
        <rFont val="Segoe UI Symbol"/>
        <family val="3"/>
      </rPr>
      <t>□</t>
    </r>
    <r>
      <rPr>
        <sz val="3"/>
        <color theme="1"/>
        <rFont val="Pretendard SemiBold"/>
        <family val="3"/>
        <charset val="129"/>
      </rPr>
      <t xml:space="preserve"> 규격 본문(여기 명시)
(b) 허용 과도/중단: 전압 ___%/주파수 ___%/리플 ≤ ___%/서지 ≤ ___ V, 중단 ≤ ___ ms(프로파일: ___)
대체전원 형태: □ Aircraft AC ____V/____Hz □ DC ____V □ Ground ____ | 절체시간 ≤ ____ ms
기능 상실(대체전원 시): □ 없음 □ 점화 제한 □ 보조 기능 ___ (ICD에 명시)
시험 포인트: 가속/감속 임계, 아이들/증력, 블리드/파워 추출, 외부전원 ON/OFF, 버스 스위칭(반복 N회)</t>
    </r>
    <phoneticPr fontId="35" type="noConversion"/>
  </si>
  <si>
    <t>ㆍI/A: (a)(b) 파라미터를 ICD/Spec에 수치화(전압·주파수·리플·중단·절체시간), 단일고장 분석·전원 품질 해석 포함.
ㆍD: 실제 항공기/지상 전원 장비로 자동 수용·절체·복귀 시퀀스 데모(알람·로그·기능 상실 항목 확인).
-정격 추력(또는 MCP) 안정화 후 전원 차단→대체전원 자동 절체, 가속·감속 임계 시점 차단/절체 검증
ㆍT: 가속/감속 임계 시점, 아이들/최대 증력, 고객 블리드·파워 추출 상태에서 전원 차단→절체 반복 시험(무한정 열화·한계 초과 없음).
-분석·시연·시험 병행: 전원 품질 모델링 → 절체 시나리오 데모 → 엔진 시험으로 무중단·무열화 입증.
-아이들/최대 증력에서 외부전원 상실 영향 확인
-엔진 OFF 상태에서 외부전원으로 시동→가속→아이들→정지까지 한 사이클 평가</t>
    <phoneticPr fontId="35" type="noConversion"/>
  </si>
  <si>
    <t>ㆍ엔진 전원 상실·발전기 커넥터 고장 등에서도 비행 안전성(여분성) 확보를 위해 대체전원이 필수ㆍ
ㆍ전원 과도·중단 특성이 명확히 정의되어야 항공기 전원 설계와 완전 호환 가능
ㆍ대체전원 하에서도 공중시동/전 영역 운용 가능해야 임무 지속성과 생존성이 보장
ㆍ시동/지상정비/비정상 상황에서 외부전원을 안전·자동으로 수용해야 운용성/정비성이 향상
ㆍ내부 발전과의 병렬/절체 과정에서 역류·서지·동기불량을 방지하여 장비 보호 필요
ㆍ외부전원 품질 편차가 제어기/센서에 영향을 주지 않도록 격리·조정이 요구됨</t>
    <phoneticPr fontId="35" type="noConversion"/>
  </si>
  <si>
    <t>ㆍ(a) 대체전원 인터페이스·품질·절체 로직은 ICD 우선, ICD 미보유 시 규격 본문에 명시
ㆍ(b) 허용 과도/중단은 MIL-STD-704(또는 동등 상용표준)을 기준으로 테일러링해 수치·시험 파라미터로 기입
ㆍ프로그램 초기부터 엔진 요구(전력형태·용량·품질)와 항공기 전원 설계를 합치
ㆍ단일고장점 제거·버스 분리 원칙 적용
ㆍ“외부전원 입력 (a)V/(b)Hz/(c)kW, 허용 리플/과도, 절체시간 ≤ (d) ms, 역류방지/동기제어 명시”
ㆍ지상전원 연결 시 내부발전 출력 자동 디레이트 또는 절연, 절체 우선순위·페일세이프 정의
ㆍ커넥터 규격·핀배열·차단기 정격·역류방지 다이오드/컨택터 조건을 ICD에 표준화</t>
    <phoneticPr fontId="35" type="noConversion"/>
  </si>
  <si>
    <t>ㆍ발전기 커넥터 만성 문제로 증력 이상/스톨 사례 → 대체전원이 있었으면 회피 가능
ㆍ일부 사양(Engine C1)은 외부전원 사용 시 일부 제어 기능·점화 불가를 명시 → 기능 상실 항목을 사전에 정의·공지 필요
ㆍ인듀어런스 시험 중 대체전원 절체 능력을 함께 검증하면, 운용 대표 이벤트에서의 신뢰성을 조기에 확인 가능
ㆍ외부전원 과도서지가 ECU 리셋 유발 사례 → 절체/서지 보호 수치화가 필수
ㆍ병렬 운전 미동기화로 조정기 손상 → 절체 시퀀스/인터록 로직 강화 필요
ㆍ접지 기준 불일치로 루프 형성·노이즈 증가 → 외부전원 접지/본딩 기준을 엔진측과 일치화</t>
    <phoneticPr fontId="35" type="noConversion"/>
  </si>
  <si>
    <r>
      <t xml:space="preserve">ㆍ전기 커넥터 규격은 본 규격에, 엔진–항공기 인터페이스 커넥터는 (ICD/규격 표)에 명시
-위치·핀배열·키잉·접지/차폐·차단기 연계 등은 ICD에 표준화(없으면 규격 본문)
ㆍ그림5 해수면 한랭 온도에서 케이블/도체를 정비 절차로 굴곡·취급해도 손상이 없어야 하고, 커넥터 표준 절차로 체결/탈거 가능해야함
-Sea-level cold temp of Fig.5: 케이블/커넥터 정비 가능 여부를 가늠하는 최저 환경 기준
ㆍ자물림(self-locking), 스쿠프프루프(scoop-proof), 비상호호환, 유체/염무/모래/진동 환경에 적합해야함
-MIL-DTL-38999 Series III/IV 또는 동등 상용 규격(셀프락·스쿠프프루프) 사용
-Self-locking, scoop-proof: 진동/블라인드 매팅에서도 풀림·핀 훼손 방지 구조
-Non-interchangeability: 키잉/코딩/핀배열 차별로 오접속 자체가 물리적으로 불가능하도록 설계
-성장성/정비성: 향후 용도를 위한 여분 핀/심선 확보, 현장 수리 가능 설계(수리 부품·툴 명시).
ㆍ부품 규격 지침
-인터페이스 커넥터 기재 위치: □ ICD §___ </t>
    </r>
    <r>
      <rPr>
        <sz val="3"/>
        <color theme="1"/>
        <rFont val="Segoe UI Symbol"/>
        <family val="3"/>
      </rPr>
      <t>□</t>
    </r>
    <r>
      <rPr>
        <sz val="3"/>
        <color theme="1"/>
        <rFont val="Pretendard SemiBold"/>
        <family val="3"/>
        <charset val="129"/>
      </rPr>
      <t xml:space="preserve"> 규격 본문
-커넥터 규격: □ MIL-DTL-38999 SIII/IV □ 동등상용(___) | Self-locking/ Scoop-proof □Yes
-키잉/코딩: Type ___ / 색상 ___ / 라벨 규칙 ___ | 여분 핀/심선: 커넥터당 ___%
-환경 등급: 온도 ___ °C / 진동 ___ g / 염무 ___ h / 유체(___) / 모래/먼지 □포함
-정비성: 최소 굴곡반경 ___ mm, 클램프 간격 ___ mm, 서비스 루프 □Yes, 탈거 시간 ≤ ___ min
-시험 포인트: 저온 굴곡, 삽입/인출력, 염무/침수, 모래·유체, 진동·열사이클, 절연/내전압, 오접속 방지, 접촉저항</t>
    </r>
    <phoneticPr fontId="35" type="noConversion"/>
  </si>
  <si>
    <t>ㆍI/A: ICD/도면에 규격·키잉·핀맵·차폐·접지·클램프/루팅·여분 핀 명시, 환경/정비 해석(굴곡·열·진동·유체)
-와이어링 다이어그램·파트리스트·경로/클램프 설계 검토
ㆍD: 저온 정비 시연(탈거/재장착·무손상), 오접속 불가 데모, 침수 후 기능 확인
-저온 굴곡·삽입/인출력·침수/염무/모래·진동·열사이클·절연/연속성/내전압 시험
-규정 저온에서 실제 엔진 장착 상태로 탈거/재장착 시간·무손상 입증, 서비스 루프 접근성 확인
-장착 데모(탈착 시간/접근성), 침수/오염 후 기능 확인, 커넥터 삽입/인출력 측정
ㆍT: 염무/모래/유체 노출, 진동/열사이클, 저온 굴곡, 절연저항/내전압, 접촉저항·삽입/인출력 시험 + 수분 침투 시험.
-키잉/색인/코딩으로 오접속 불가 확인, 수분 침투(IP/heli-seal) 시험 합격
-진동/열사이클/습윤·염무/유체 노출·절연저항/내전압 시험, 전기연속성·접촉저항 계측
ㆍICD기반 분석 수행 및 제작사측에서 제공하는 관련자료 제시 후 컴포넌트시험을 통해 항목별 검사</t>
    <phoneticPr fontId="35" type="noConversion"/>
  </si>
  <si>
    <t>ㆍ기능/환경/내구/정비성 요구를 명확화해 엔진·항공기 통합 시 신뢰성·수명을 보장
ㆍ근접 위치의 물리적으로 유사한 커넥터 혼선은 시스템 불능을 유발 → 비상호호환 설계가 안전 필수
ㆍ한랭·진동·유체 등에 노출되는 엔진 베이 환경에서 절연 열화/단락/수분 침투를 예방해야함
ㆍ고온/진동/연료·오일 환경에서 전기적 연속성·절연 성능을 유지해야 제어 신뢰성 확보
ㆍ정비 시 신속·무손상 탈착·재결합이 가능해야 가동률·안전성 향상
ㆍ커넥터/케이블 규격 표준화는 호환성·품질 보증의 기반</t>
    <phoneticPr fontId="35" type="noConversion"/>
  </si>
  <si>
    <t>ㆍ커넥터 수 최소화(e.g.터보샤프트 과거 3점), 셀프락·스쿠프프루프·키잉/색인 채택, 여분 핀/심선 확보
ㆍ차폐 360° 종단·전원/신호 분리·스타 접지 원칙, 방수/배수 경로와 백쉘·스트레인릴리프 설계 반영
ㆍ케이블 온도/유체/진동 등급 적합 소재 선정, 최소 굴곡반경·클램프 간격·열원 회피·정비 접근성 반영
ㆍ온도·진동 등급에 맞는 도체/절연/차폐 선택, 굴곡·클램프·스트레인릴리프 설계 반영
ㆍ커넥터 규격(핀 수/코딩/키잉/씰링), 색인/표식·토크·삽입/인출력, 방수/방폭 등급 명시
ㆍ루팅은 열원/마찰부 회피, 최소 굴곡반경·클리어런스 확보, 정비 접근성(패널·서비스 루프) 반영</t>
    <phoneticPr fontId="35" type="noConversion"/>
  </si>
  <si>
    <t>ㆍ동일형상 커넥터 혼선으로 오접속 발생 → 키잉·색상·라벨·코딩 의무화로 해소
ㆍ저온 취성화로 절연 균열·쇼트 사례 → 저온 굴곡 등급/재질 변경·열사이클 검증 강화
ㆍ수분 침투로 하네스 결함·이중 엔진 셧다운 사례 → 씰/포팅 최소·배수홀/헬리코일 씰·실장 방향 개선
ㆍ배선 루팅 불량으로 피복 마모·단락 발생 → 하네스 고정/클램프 간격 기준 강화
ㆍ커넥터 오삽입·핀 휨으로 간헐 접촉 → 키잉/색상/표식 체계와 핀 보호 캡 도입
ㆍ진동·열 사이클로 쉴드 접지 불량 → 360° 쉴드 터미네이션·인장해석 재규격화</t>
    <phoneticPr fontId="35" type="noConversion"/>
  </si>
  <si>
    <t>ㆍ엔진–항공기 인터페이스에서 항공기 구조체를 전원/신호 리턴 경로로 사용 금지
-Return conductor: 전원·신호가 구조체 외 도체로 귀환하는 경로(핀·하네스·리턴 버스 포함)
-Ground isolation: 전원·신호 접지를 구조체로 공유하지 않고 전용 리턴선으로만 폐회로 구성
-대상:엔진 전기계통, 인터페이스 커넥터/하네스, 시험 스탠드(지상/고도모사) 포함
ㆍ파워 리턴과 신호 리턴은 전용 도체로 분리·귀환하며, 구조체와 직접/암묵 경로 형성 금지
-파워/신호/구조 간 DC 절연 ≥ 1 MΩ(테일러링 가능), AC/EMI도 설계로 분리
ㆍ정격 운용 전 범위에서 지락·루프·공용 임피던스로 인한 기능 저하가 없어야 함.
-Ground loop: 다중 귀환 경로로 생기는 폐루프 전류(EMI·오차·가열 유발)
-Isolation resistance: 파워/신호/구조 간 정지상태 절연 값(기본 목표 1 MΩ@DC)
ㆍ관리지침
-DC 절연 목표: ≥ __ MΩ (파워–신호, 신호–구조, 파워–구조 각각)
-리턴 토폴로지: □ 전용 리턴선 □ 스타 포인트 위치(____) □ 구조체 리턴 금지
-차폐 종단: □ 단점(측: 엔진/항공기/스탠드) □ 양단(예외 근거: ____)
-검증 포인트: 메거 @ ___V, 루프 전류 주입 ___mA/___kHz, 전도/방사 EMI, 습윤/저온 누설 테스트
-문서화: ICD §, E3 Control Plan §, 하네스 도면/핀맵/접지표준 Rev.___</t>
    <phoneticPr fontId="35" type="noConversion"/>
  </si>
  <si>
    <t>ㆍI/A: ICD/하네스 도면에 리턴 분리·스타 포인트·차폐 종단 명시, 루프·공용 임피던스 해석 포함
-리턴 토폴로지(스타/단일 귀환점), 구조체 비사용, 차폐 종단 방식 확인
ㆍD: 실제 장착 상태에서 커넥터/하네스 체결 데모, 시험 스탠드와의 절연 마운트/리턴 버스 시연
ㆍT: 절연 측정(≥1 MΩ), 루프 임피던스/전류 주입 시험, 전도/방사 EMI 시험(스탠드 접속/분리 조건 비교)
-메거로 DC 절연(≥1 MΩ), 저항/연속성, 루프 임피던스·리턴 분리 측정
-전도/방사 결합 취약 지점에 대해 루프 전류 부재·공용 임피던스 영향 무검출 확인</t>
    <phoneticPr fontId="35" type="noConversion"/>
  </si>
  <si>
    <t>ㆍ구조체 리턴 사용은 그라운드 루프·EM 결합·공용 임피던스를 유발해 제어·센서 오동작 위험
ㆍ정전기/낙뢰·서지 전류가 직렬 경로로 타 부품을 통과하지 않게 독립 리턴 확보가 필수
ㆍ지상/고도모사 환경도 스탠드·계측 장비 간 루프 형성 위험이 높아 아이솔레이션 규정이 필요</t>
    <phoneticPr fontId="35" type="noConversion"/>
  </si>
  <si>
    <t>ㆍ파워 GND–신호 GND 분리, 엔진 측 **단일 접점(스타 포인트)**에서만 합류(필요 시)
ㆍ차폐는 한쪽 단점 접지(보통 항공기측/EMS측), 전원·신호 리턴선 전용 핀을 커넥터에 할당
ㆍ시험 스탠드/고도챔버와는 절연 바·절연 마운트로 분리, 점검용 번갈이 접속(quick-break) 절차 정의</t>
    <phoneticPr fontId="35" type="noConversion"/>
  </si>
  <si>
    <t>ㆍ구조체 리턴 혼용으로 센서 노이즈·FADEC 플래그 다발 → 전용 리턴선·스타 접지로 해소
ㆍ저온·습윤 시험에서 누설로 루프 전류 발생 → 절연 등급/씰링·배수·건조 절차 보강
ㆍ지상 시험에서 계측기 공용 접지로 루프 형성 → 절연 트랜스/디퍼런셜 계측으로 해결</t>
    <phoneticPr fontId="35" type="noConversion"/>
  </si>
  <si>
    <t>ㆍ포팅 컴파운드는 원칙적으로 금지하며, Using Service가 명시적으로 승인한 경우에만 사용
-Potting: 전자부품·권선·접속부를 수지로 충전·고정해 습기/진동/부식으로부터 보호하는 공정
-적용 범위: 엔진 장착 전기/전자 모듈(센서, 구동기, 권선기계 등)·커넥션부의 국부 적용 중심
-Removable potting: 지정 용제·열로 비파괴적 제거가 가능한 포팅(재포팅 절차 포함)
-Non-removable potting: 제거 시 기판/리드 손상 가능성이 높은 영구 포팅(지양 대상)
ㆍ승인 시 재료·적용 위치/범위·두께·경화조건·해체/재포팅 절차를 규격에 구체 서술
-포팅 사용 부품은 **환경(온도/진동/유체)**에서 성능 열화·절연 저하·부식 유발 금지
-승인 정보: 재질 호환성(연료/오일/세정제), 전기특성(절연/유전/누설), **정비성(탈포팅 가능)**을 ICD/Spec에 반영.
-Compatibility set: 연료/오일/세정제/습기와의 화학·물리·전기 호환성 요구 파라미터 묶음.
ㆍ관리항목
-사용 승인 범위: □ 불허(기본) □ 허용(부품/위치: ___, 재료: ___, 두께: ___, 경화: ___)
-정비정책: □ 교체품 □ 수리품(탈포팅 용제/온도/시간: ___ / 공구: ___ / 허용 MTTR: ___ min)
-검증계획: 내구 시험명() + 열사이클 N=, 연료/오일 침수 ___h, 절연저항 ≥ ___MΩ, 탈/재포팅 전후 성능 유지 ≥ ___%</t>
    <phoneticPr fontId="35" type="noConversion"/>
  </si>
  <si>
    <t xml:space="preserve">ㆍI: 재료 데이터시트·화학 호환성 매트릭스·열팽창/응력 해석, Repair/Replace 정책과 작업지도서를 Spec/ICD에 치환
ㆍD: 탈포팅·재포팅 실연(정해진 공구/시간/절차), 균열/박리/핀 당김 무발생 데모, 공정 추적성 제출.
-커넥터/하네스(§3.7.4.3)와 같이 저온 취성·수분 침투가 포팅 균열·누설로 이어질 수 있으므로 저온 굴곡/침수 후 전기시험 권장
-그라운드 아이솔레이션(§3.7.4.5) 관점에서 포팅 제거/복원 시 차폐·리턴 경로 훼손 여부를 동시 확인
-연료계 요구(§3.7.3.x)와 연계해 연료 접촉 부품에는 포팅 대신 기계적 고정+코팅 우선
ㆍT: 열사이클/진동/유체침수/전기안전 + 함께 쓰이는 커넥터·하네스와 상호영향 시험(연료계·그라운드 아이솔레이션 요구와 정합 확인)
-내환경(열사이클/진동/습윤/염무) + 유체침수(연료/오일/방빙액) + 전기(절연저항/내전압)
-내구시험(가장 많은 열사이클) 후 탈포팅→재포팅 수행, 기능·성능·치수·누설·균열 전/후 비교
-실제 절차·시간·공구로 손상 없는 제거/복원 가능성 입증, 재료·공정 기록 보존
</t>
    <phoneticPr fontId="35" type="noConversion"/>
  </si>
  <si>
    <t>ㆍ포팅은 습기·진동·부식을 막지만, 화학/물성/전기 특성 저하 및 정비 불가 유발 위험이 큼
ㆍ연료·오일·세정제 접촉 시 팽윤·가수분해·부식 촉진 가능 → 재료 선택·봉지 경계 설계가 필수
ㆍ장기 운용 후 잠복 결함이 발생할 수 있어(함대 운용 수십만 시간) 가혹 열사이클 검증 필요</t>
    <phoneticPr fontId="35" type="noConversion"/>
  </si>
  <si>
    <t>ㆍ포팅 최소화/국부 적용 원칙, 가능하면 컨포멀 코팅·개스킷·씰링 대체 검토(정비성 우선)
ㆍ흡수성/수분친화 포팅 금지, 권선 고정·솔더 조인트 지지에 연료·오일 비침투성 재질 채택(DFMEA 포함)
ㆍAFGS-87219 등 적용 표준을 참조해 재작업 가능 포팅·용제/열로 제거 가능한 시스템 지정</t>
    <phoneticPr fontId="35" type="noConversion"/>
  </si>
  <si>
    <t>ㆍ연료에 노출된 에폭시 권선 고정이 권선 부식 유발 사례 → 연료 내성 재질·장벽층 필요
ㆍ자주 분해되는 모듈에 광범위 포팅 적용 → 치과용 픽 제거 등 비효율·손상 다발 → 국부 포팅/모듈화로 개선
ㆍ포팅 특성 미평가로 정비성 급락·비용 급증 사례 → 개발 단계에서 Repair or Replace 컨셉을 의무 정의</t>
    <phoneticPr fontId="35" type="noConversion"/>
  </si>
  <si>
    <t>ㆍIgnition system: 점화기(igniter), 점화플러그(spark igniter plug), 점화에너지원(Exciter/변환기), 배선/커넥터의 집합
ㆍAir-start/Relight: 비점화 상태에서 비행 중 재점화; 점화–연소 안정–추력 회복까지를 포함해 판정
ㆍAutomatic relight: 엔진 정지/연소불안 감지 시 무인 개입으로 점화 명령·연속 스파크를 수행하는 기능
ㆍ관리항목
-점화 요구: 고도 ___ ft, 속도 ___ KCAS(또는 M ___), TAT ___℃, N ≥ ___%에서 t ≤ ___ s 이내 점화·안정화
-전원/중복: 듀얼 이그나이터/듀얼 채널, 자체전원 점화 N ≥ ___%; 항공기 전원 허용 ___V/___Hz(또는 DC ___V), 절체 ≤ ___ ms
-검증 포인트: 한 채널 고장, 다연료/저윤활 연료 영향, 블리드 추출 ___%, 고도챔버 반복 N회, 저온 재점화 ___℃.</t>
    <phoneticPr fontId="35" type="noConversion"/>
  </si>
  <si>
    <t>ㆍI/A: 운용영역·환경(고도/속도/온도/풍상각)·연료·전원 경계와 점화 에너지/듀티를 ICD/Spec로 치환, 단일고장/FMEA 포함
-자체 전원 점화 속도(≥x%N)와 항공기 전원 수용 범위(전압/리플/중단 허용)를 ICD에 수치화
-버스 스위칭·지상전원 연결 중 스파크 연속성 보장, 단일고장점 제거(이그나이터 채널/전원 경로 분리)
-케이블·커넥터는 저온 굴곡/유체 내성/차폐 접지 원칙 적용(오접속 방지·수분침투 차단)
ㆍD: 지상 엔진/시스템 리그에서 자동 재점화 시퀀스, 전원 절체(엔진전원↔항공기전원) 무중단 데모
-고도 챔버 시험: a/b/c 조건 매트릭스에서 스풀-다운→연료 개방→스파크 인가→점화시간/안정화시간 계측
-전원 과도 시험: 점화 중 전압 드롭/리플/절체 인가—스파크 유지·FADEC 무리셋 확인(전원 품질은 MIL-STD-704 테일러링)
-내환경/수명: 진동-열사이클-습윤·연료 미스트 하 스파크 전압/에너지 유지 및 플러그 저항 변화 허용치 검증
ㆍT: 고도·저온·속도 모사에서 t sec 이내 점화–안정연소 계측, 한 채널 고장 조건·다연료·블리드 추출 포함 반복 시험
-플러그 정격 방전간극/저항/에너지 요구를 명시하고 HUMS로 방전 불량/저항 상승 추적
-교환 주기/세정 기준(운전시간·사이클 기반)을 정해 불시 flame-out 위험을 저감
-포팅·실링 적용 시 정비성 보존(탈포팅 가능·재실링 절차)과 연료/오일 호환성 확인</t>
    <phoneticPr fontId="35" type="noConversion"/>
  </si>
  <si>
    <t>ㆍ공중 재점화 실패는 곧 추락·임무중단으로 직결되므로, 모든 규정 조건에서 신뢰성 높은 점화 확보가 필수
ㆍ고고도/고속/저온/블리드 추출 등 가혹 환경에서도 연소 핵 형성–안정화가 가능해야 안전성·생존성 보장
ㆍ점화계 장애(플러그 오염·에너지 부족·전원 끊김)를 중복 설계·자동재점화로 흡수해 단일고장 안전 달성</t>
    <phoneticPr fontId="35" type="noConversion"/>
  </si>
  <si>
    <t>ㆍ운용영역(고도 a ft, 속도 b KCAS, 회전속도 ≥ c%N, 연료 d, TAT e℃)에서 t sec 이내 점화–안정연소로 정량화
ㆍ듀얼 이그나이터/두 점화채널 채택, “한 채널 고장 시에도 점화 성능 충족” 명시(자동 재점화·연속 스파크 포함)
ㆍ전원 경계:엔진 속도 ≥ x%에서 자체 전원 점화 가능; 그 미만은 항공기 전원/외부전원 수용, 절체 무중단”을 ICD에 규정</t>
    <phoneticPr fontId="35" type="noConversion"/>
  </si>
  <si>
    <t>ㆍ고고도 flame-out 후 재점화 지연 사례 → 자동 급속재점화(정지 감지 즉시 연속 스파크) 표준화
ㆍ조종사 수동 개입 의존 시스템은 반응 지연·오조작 위험 → 자동 재점화/상태감시로 전환
ㆍ플러그 오염·마모가 점화 실패 주요 원인 → 정비주기화·세정/저항점검·HUMS 기반 추적 필요</t>
    <phoneticPr fontId="35" type="noConversion"/>
  </si>
  <si>
    <r>
      <t xml:space="preserve">ㆍCarbon fouling: 연소잔탄·석화물이 갭을 도전성 막으로 덮거나 브리지한 상태
-Bridged gap: 전극 간이 도전성 오염물로 전기적으로 연결된 상태
ㆍ점화플러그 스파크 갭이 탄소 오염 물질로 완전 피복/브리지되어도 스파킹 성능 유지필요
-Spark rate: 단위시간 유효 스파크 횟수(미스 제외)
-3.7.5의 최소 전원 입력 조건에서 스파크율 ≥ 설계 최소값 충족
-Minimum power input: 점화계 최소 전력/전압 조건
ㆍ구성품(이그나이터/케이블/커넥터) 조합 상태에서도 요구 성능 저하 없음
-적용 범위: 지상시동·공중재점화 포함 모든 운용·환경 조건
ㆍ시험용 탄소 대체물은 그래파이트 페트롤라툼(AMS 2518) 등 동등 물질로 규정
ㆍ관리항목
-스파크율 설계 최소값: ≥ ____ sparks/s (미스율 ≤ ____ %)
-최소 전원 입력(§3.7.5): 전압 ____ V / 전력 ____ W / 듀티 ____ %
-장착자세: 각도 ____ ° / 배수 경로(있음/없음) ____ / 케이블 루팅 ____
-카본 대체물(탄소): □ AMS 2518 □ 기타(____), 도포 두께/면적 ____ / 도전도 ____
-판정: 연속 60 s 스파크 유지, 절연 파괴/트래킹 </t>
    </r>
    <r>
      <rPr>
        <sz val="3"/>
        <color theme="1"/>
        <rFont val="맑은 고딕"/>
        <family val="3"/>
        <charset val="129"/>
      </rPr>
      <t>無</t>
    </r>
    <r>
      <rPr>
        <sz val="3"/>
        <color theme="1"/>
        <rFont val="Pretendard SemiBold"/>
        <family val="3"/>
        <charset val="129"/>
      </rPr>
      <t>, 시험 전후 저항/스파크전압 변화 ≤ ____ %</t>
    </r>
    <phoneticPr fontId="35" type="noConversion"/>
  </si>
  <si>
    <t>ㆍI/A: AMS 2518 등가성·도포 공정·스파크 임계에너지 해석, 절차·판정기준 문서화
ㆍD: 장착자세 모사 리그에서 연속 스파크/자동 재점화 시퀀스 시연
ㆍT: 카본 브리지 조건 + 최소입력에서 스파크율/미스율/스파크전압 계측(온도 사이클 전후 반복)
ㆍ관련 문서를 제시, 구성품/지상/고도모사 시험과정 중 파울링상태 체크하고, 해당 상황에서도 성능저하 발생하지 않는지 체크
ㆍJSSG에서는 FFR단계에서만 구성품시험으로 검증하도록 되어 있음</t>
    <phoneticPr fontId="35" type="noConversion"/>
  </si>
  <si>
    <t>ㆍ플러그 오염은 현장에서 빈발하며 초기 점화핵 형성 실패의 주요 원인
ㆍ최소 전원 조건에서의 보수적 여유는 저전압/리플 상황에서도 재점화 신뢰도 확보
ㆍ장기 운용 시 침적·코킹 누적을 설계/시험 단계에서 흡수해야 함</t>
    <phoneticPr fontId="35" type="noConversion"/>
  </si>
  <si>
    <t>ㆍ탄소 도포 두께/면적·도전도 범위를 절차서로 고정하고, 갭 브리지 상태 포함
ㆍ스파크 에너지·듀티·반복률을 설계 최소치+여유로 설정(자동 재점화 모드 포함)
ㆍ플러그 설계는 자가세정(셀프-스캐빈징) 형상·소재 선택으로 오염 민감도 저감</t>
    <phoneticPr fontId="35" type="noConversion"/>
  </si>
  <si>
    <t>ㆍ저온·습윤 후 카본+수분 혼합 오염에서 스파크 미스율 급증 → 가열건조/프리파이어 절차 유효
ㆍ케이블 차폐/접지 불량이 방전경로 우회 유발 → 접지/리턴 분리 및 커넥터 실링 강화 필요
ㆍ점화 전력의 과도 저하(버스 스위칭, 전원 리플) 시 카본 브리지 돌파 실패 → 전원 품질 요구를 명문화</t>
    <phoneticPr fontId="35" type="noConversion"/>
  </si>
  <si>
    <r>
      <t xml:space="preserve">ㆍWater fouling: 플러그·하우징·포셀린 표면에 물막/얼음이 형성된 상태
ㆍ점화플러그가 완전 침수·수막 또는 서리/결빙(frosted) 상태에서도 스파킹 성능 유지
-Flooded condition: 플러그/하우징이 연속 물막/침수 상태로 유지되는 시험 조건
-Frosted igniter: 표면에 결빙층 존재, 표면저항 저하·트래킹 위험 증가 상태
-극한 대기/저온 공중재점화 및 지상 세척·강우·제빙 유입 상황
ㆍ3.7.5 최소 전원 입력에서 스파크율 ≥ 설계 최소값
-수분/빙결 상태에서 연속 스파크 가능 및 절연 파괴·추적방전(트래킹) 없어야 함
-Tracking: 표면 수분/오염을 통한 비의도 전류 경로 형성 현상
ㆍ엔진 장착 위치/각도·배수 조건을 시험에서 재현
ㆍ관리항목
-스파크율 설계 최소값: ≥ ____ sparks/s (미스율 ≤ ____ %)
-최소 전원 입력(§3.7.5): 전압 ____ V / 전력 ____ W / 듀티 ____ %
-장착자세: 각도 ____ ° / 배수 경로(있음/없음) ____ / 케이블 루팅 ____
-수분 조건(워터): 유량 ____ L/min, 온도 ____ °C, 서리 두께 ____ mm, 노출 시간 ____ s
-판정: 연속 60 s 스파크 유지, 절연 파괴/트래킹 </t>
    </r>
    <r>
      <rPr>
        <sz val="3"/>
        <color theme="1"/>
        <rFont val="맑은 고딕"/>
        <family val="3"/>
        <charset val="129"/>
      </rPr>
      <t>無</t>
    </r>
    <r>
      <rPr>
        <sz val="3"/>
        <color theme="1"/>
        <rFont val="Pretendard SemiBold"/>
        <family val="3"/>
        <charset val="129"/>
      </rPr>
      <t>, 시험 전후 저항/스파크전압 변화 ≤ ____ %</t>
    </r>
    <phoneticPr fontId="35" type="noConversion"/>
  </si>
  <si>
    <t>ㆍI/A: 수막/서리 조건 정의(유량·온도·시간), 배수/소수 설계 근거, 판정기준 문서화
ㆍD: 장착자세 모사 리그에서 연속 스파크·자동 재점화 데모(풍속/압 차 옵션)
ㆍT: 완전 도수/서리 + 최소입력에서 스파크율/미스율 계측, 건조·배수 프로파일 변화 반복시험
ㆍ관련 문서를 제시, 구성품/지상/고도모사 시험과정 중 파울링상태 체크하고, 해당 상황에서도 성능저하 발생하지 않는지 체크
ㆍJSSG에서는 FFR단계에서만 구성품시험으로 검증하도록 되어 있음</t>
    <phoneticPr fontId="35" type="noConversion"/>
  </si>
  <si>
    <t>ㆍ플레임아웃·제빙·강우 등으로 수분 유입 시 점화 불능 방지가 필수
ㆍ수막·빙결은 표면저항을 낮추고 트래킹/에너지 소산을 유발 → 공차 내 성능 확보 필요
ㆍ최소입력 기준 충족은 전원 저하 상황에서도 재점화 신뢰성 확보</t>
    <phoneticPr fontId="35" type="noConversion"/>
  </si>
  <si>
    <t>ㆍ수막 조건은 유량/시간/온도를 절차로 고정, 서리 두께 가이드 포함
ㆍ플러그는 소수성 코팅/드립 엣지/배수 홈 등 방수·배수 설계 적용
ㆍ하네스/커넥터는 IP 등급/실링/배수홀과 저온 굴곡 등급 확보</t>
    <phoneticPr fontId="35" type="noConversion"/>
  </si>
  <si>
    <t>ㆍEHMS는 정비·성능 트렌드·한계 초과·수명관리에 필요한 파라미터를 기록/모니터/조정해야함
-EHMS: 센서·신호조정·수집기·저장·전송·지상처리/정비체계를 포괄하는 엔진 상태관리 시스템
-기내 장비+지상장비+정비 개념(2/3단계) + 데이터 전송/처리 체계를 포함하는 전체 체계에 해당
-EHMS HW/SW 오작동이 엔진 성능·운용성에 영향 없음(Fail-safe/Fail-operational)
-예지(Prognostics) 포함 가능: 센서 변화로 고장 예측·부품 수명 업데이트
-Mission recording: 비행 시작~종료까지 연속 기록(엔진/항공기 파라미터·이벤트)
ㆍ미션/안전 중요 파라미터를 정의하고, 진단 시스템이 다른 중요 시스템을 실패시키지 않음
-False alarm=Failure: R&amp;M 산정 시 거짓 경보도 실패로 집계
-Mission/Safety-critical parameters: 임무/안전에 직접 영향, 모니터링·보호 로직의 핵심 입력
-항공기 시스템·군수 풋프린트(TO, CAMS/CEMS 등)와 호환되어야 함
ㆍEHMS 고장 검출/격리(FDI) 능력과 이를 달성하는 기능 목록을 규격에 명시.
-기내 진단은 고장 부품 레벨까지 검출/격리하고, 거짓 경보(False alarm)는 실패로 집계(§3.5).
-인력·비용 제약 환경에서 기내 자동화율 증대가 핵심 목표
ㆍFDI 구성: 기내 진단 + 검사 + EHMS 처리 데이터 + 자동/반자동/수동 트러블슈팅
-FDI: 센서/알고리즘으로 고장 검출·격리·식별하여 정비조치 지시
ㆍ검출/격리 목표치는 과거 탑재 90~100%, 지상 95~100% 수준으로 테일러링
-Tables XLVIa/b: 파라미터/정확도/주기/형식 표준(엔진/항공기 분리).
-표 XLVIa/b 파라미터·정확도·주기: ______ / ______ / ______
-예지 대상(베어링/디스크/연소기 등) &amp; 모델: ______ / 샘플링 ___ Hz / 지상처리 TAT ___ h
-FDI 목표: 탑재 검출/격리 ≥ ___% / 지상 ≥ ___% / 거짓경보 ≤ ___%
-한계/룰 관리: 초기값 출처 ___ / 비행시험 조정 절차 ID ___ / 릴리스 주기 ___
-호환 체계: □ CAMS □ CEMS □ AEMS □ NALDA □ 3M □ 기타(____) | 데이터 경로: ACFT→ENG→GS/GSE
-검증 계획: SL/고도/비행, AMT 포함 / 미션기록 연속성 / 센서 정확도 독립 검증 / SW V&amp;V(요건↔테스트 추적)</t>
    <phoneticPr fontId="35" type="noConversion"/>
  </si>
  <si>
    <t>ㆍI/A: 요구-표(정확도·샘플링·응답)·ICD·정비개념 정합성 분석·데이터 최소화 합리성
-FDI 요구↔정비개념/ICD 정합성, 커버리지·한계 룰·오탐 비용 영향 분석
-도면/전기도/정비개념 검토로 요구 정합성 확인(표 XLVIa/b 정확도 포함)
-개발 전주기에 검사·분석·시연·시험 반복(자격·시험셀·비행 포함)
-시나리오 기반 시뮬레이션 필요
ㆍD: 개발 단계 전기간 기내+지상 흐름 데모(다운로드·가공·리포트·정비의사결정)
-고장 주입(하드/소프트)으로 탑재 진단→지상 툴→정비 절차의 종단-종단 데모
-비행/정비 운용 시나리오로 데이터 흐름 데모(기내→지상 추출→처리→리포트→정비 의사결정), FDI/BIT 고장주입 시연 필요
-독립 엔진시험/관계식 검증으로 센서 정확도·알고리즘(수명 산정) 정확도 입증(SL/고고도/비행)
-비행시험에서 기내장비/지상장비/데이터 산출물의 유효성·정비 활용성 검증
ㆍT: 지상/고도모사 시험으로 센서 정확도·알고리즘 수명 평가·미션기록 연속성 검증.
-지상/고도모사 시험에서 검출율·격리율·거짓경보율 통계 검증, 한계 재조정 사이클 운영
-각 시험 중 중 미션기록 기능 검증(연속 기록·임무 식별·데이터 무결성)
-유연 SW로 각 시험 중 중 한계·룰·트렌드포인트 조정 가능하게 운영</t>
    <phoneticPr fontId="35" type="noConversion"/>
  </si>
  <si>
    <t>ㆍO&amp;S 비용 절감·가동률 향상·수명한계 고도화를 위한 데이터 기반 정비 구현
ㆍ연속 미션 기록으로 실제 임무 프로파일을 반영해 수명한계 재평가 필요
ㆍ설계 초기부터 기능 요구를 명문화해 기술 변화에도 핵심 요구를 보존
ㆍFDI 능력·정비 기능·장비 구성은 정비시간 절감·CND 감소·가용도 향상에 직접 영향
ㆍ높은 검출/격리율은 소요예산·정비조직 축소 환경에서 필수
ㆍ거짓경보는 실패 취급해 신뢰성/유지성 지표에 반영해야 개선이 촉진</t>
    <phoneticPr fontId="35" type="noConversion"/>
  </si>
  <si>
    <t>ㆍ인터페이스는 ICD 우선(미보유 시 규격 본문), 데이터 형식/주기/정확도는 군수·수명관리부서와 합의
ㆍ필수 파라미터 우선 최소화(FDI/수명/예방정비에 직결)·불필요 데이터 축소
ㆍ임무 변경 주기(≤5년)로 표·알고리즘 업데이트 계획 수립
ㆍ목표 커버리지(예 90/95/100%)에 맞춰 필요 기능 목록을 확장(탑재→지상까지 포함)
ㆍCAMS/CEMS/AEMS/NALDA/3M/ECOMTRAK 등 기존 체계와 양방향 호환을 보장
ㆍ한계치 초기값은 보수적이지 않게 설정하고, 비행시험 결과로 한계 조정 절차를 준비</t>
    <phoneticPr fontId="35" type="noConversion"/>
  </si>
  <si>
    <t>ㆍ데이터만 수집 체계는 정보화 실패·핵심 파라미터 누락 → 선정/가공 기준이 중요
ㆍ미션컴퓨터 내 조기 동결·1553 대역폭 한계로 성장성 제약 → 모듈화·고속 인터페이스 필요
ㆍ선진 체계는 예지/자동다운로드/디지털 TO로 정비시간 절감과 품질 일관성 달성
ㆍ기능 시험은 양호·SW 검증 부족으로 현장 버그 발생(e.g.ECC/TEMS) → SW 검증 강화 필수
ㆍEMS 한계가 과도하게 타이트해 False/CND 다발 → 한계 완화·룰 재설정으로 해소
ㆍ모든 시스템에서 비행시험 중 기능 변경 필요 발생 → 신속 재프로그래밍 가능한 유연 SW 필수</t>
    <phoneticPr fontId="35" type="noConversion"/>
  </si>
  <si>
    <t>ㆍ진단 기능 범주: (1) 성능 상태/추세, (2) 수명 추적, (3) 한계초과·이벤트, (4) 사용자(조종사) 트리거 기록
-EHMS는 진단·트렌드·수명·임무식별에 필요한 데이터를 획득/기록/표시/다운로드할 것(“The EHMS shall acquire: ______”)
-Limit exceedance record: 한계 초과 이벤트의 프리/포스트 윈도우((a)/(b) s) 데이터를 포함한 기록
-MC(Mission Capable, 임무수용성) flag: 성능 검증 결과로 임무 수행 가능/제한을 항공기에 제공하는 상태 비트
ㆍPIR (Pilot-Initiated Record): 조종사 임의 시점에서 전체 EHMS 파라미터를 패킷화해 추가 저장
ㆍ통합 진단: 엔진-항공기 제조사 간 요구·인터페이스(파라미터·정확도·주기·포맷)를 ICD에 합의·명시
-엔진/가스경로: N1/N2(또는 Ng/Np), P2/P3/Pt, Tt2/Tt3/Tt5, Wf, VBV/VSV/IGV, 가속/감속
-건전성: 진동(축/기어박스), 오일압/온/양·금속칩(소/대/총량·rate), 연료/오일 필터 임박/실제 바이패스
-항공기/이벤트: 고도/마하/α/β/g/속도, WOW·Anti-ice·IFR probe·미사일 발사 등 이산 이벤트, FDR 연계
ㆍ데이터 관리 주체: 지상지원/엔진/항공기 중 주체를 지정하여 저장·전송·분석 책임을 부여
-한계초과 데이터는 사건 발생 (a) s 이전~(b) s 이후까지 버퍼링·저장, 조종사 요청(PIR) 기록도 수행
-항모 운용형은 이륙 추력/출력 검증을 수행하고, **실제치 대비 오차 ≤ (c)%**로 임무 가능(MC) 판단 신호를 제공
ㆍ관리파라미터
-Acquire list: ______ / 정확도 ±____ / 샘플링 ____ Hz / 타임스탬프/동기 ____
-Limit record: pre (a)=____ s / post (b)=____ s / 이벤트: stall, blowout, over-temp/speed, 등
-Carrier check: 정확도 (c)=____ % / MC 규칙: ______ / 조종실 표시: ______
-한계초과 버퍼: (a) ≥ 15 s / (b) ≥ 15 s
-항모 이륙 성능 오차: (c) 터보팬/제트 ≤ 4% / 터보프롭·터보샤프트 ≤ 2.5% (또는 항공기 요구)
-보존/접근성: 전원 Off에서도 최근 비행 데이터 유지, 정비지점에서 무개방 확인 가능</t>
    <phoneticPr fontId="35" type="noConversion"/>
  </si>
  <si>
    <t>ㆍI/A: 파라미터·정확도·주기·시간동기·저장주기·PIR/한계 로직을 표/ICD로 치환, 데이터 책임·경로 정의
-수집 목록·정확도·샘플링·동기·PIR/한계 로직을 표/ICD로 치환, 데이터 책임·경로·보존 정책 분석
ㆍD: 엔진 장착 환경에서 실시간 표출·버퍼링·PIR·한계초과 자동 캡처 데모 및 임무수용성 확인
-장착 환경에서 실시간 표출·버퍼링·PIR·한계 자동 캡처 시연
ㆍT: 지상/고도모사시험에서 정확도 검증·문턱값 튜닝·거짓경보율 측정, 환경 프로필(진동/온·습/EMI)하의 데이터회수/무결성 확인
-각 시험에서 에서 정확도·거짓경보율 검증, 환경(진동/온습/EMI) 하 데이터 회수·무결성 시험</t>
    <phoneticPr fontId="35" type="noConversion"/>
  </si>
  <si>
    <t>ㆍ진단 기능 요구를 명문화해야 상위 EHMS 목표(정비·수명·임무분석)와 정합 확보
ㆍ한계초과 전후 구간 기록은 원인 규명·책임소재·수명감산 결정에 핵심
ㆍ항모 운용은 이륙 전 성능 검증/MC 판단이 필수적 안전요소</t>
    <phoneticPr fontId="35" type="noConversion"/>
  </si>
  <si>
    <t>ㆍ초기 수집목록 최소화(FDI/수명/임무식별 직결 항목 우선), 이후 비행시험으로 확장/조정
ㆍ데이터 소유권/분석 책임(지상/GSE/항공기)을 문서화, 다운로드 경로/형식(카드/포트/버스) 표준화
ㆍ항모용 정확도: 터보팬/제트 ≤4%, 터보프롭/터보샤프트 ≤2.5% 또는 항공기 요구치—ICD로 합의</t>
    <phoneticPr fontId="35" type="noConversion"/>
  </si>
  <si>
    <t>ㆍ설계 기대 입력이 실제 운용에서 노이즈/감도/예상 외 입력으로 달라져 오작동 → 문턱값 재튜닝·필터링 필요
ㆍGo/No-Go만으로는 의사결정이 부족 → 정량 지표(온도/출력 마진%) 제공이 현장 적합
ㆍ기록만 하고 활용 부재 사례 다수 → 설계 초기에 분석/활용 계획(책임·도구·주기) 포함</t>
    <phoneticPr fontId="35" type="noConversion"/>
  </si>
  <si>
    <t>ㆍBIT는 지원장비 없이 조직정비(Org. level)에서 고장검출/격리(FD/FI)를 WRA·LRU 수준까지 수행해야함
-BITI = 주기형(Periodic) + 기동형(initiated) BIT의 조합, 전원 인가 시 자동 자가진단 + 외부명령 시 심화진단
-BIT 모드: Periodic(자동, 전원/주기) / Initiated(명령 기반, 일부 운용 중단 허용)
ㆍ전자장치 시험성(테스터빌리티) 기준은 ________를 적용하고, MC 판단 신호가 요구되면 항공기에 제공
-Fail-safe 연계: BIT/진단 수행이 엔진 성능·운용성에 영향 없음(분리/격리 설계)
-WRA/LRU: 교체단위 하드웨어 계층으로 현장수준 교환·격리의 기준 유닛
ㆍ비휘발 메모리에 BIT 실패 데이터를 보존하고, ROM/RAM 내용 모니터링(검열) 기능을 제공
-Inspectability: ROM/RAM·상태레지스터·자체로그의 가시성/접근성을 확보하여 현장 점검 용이
-ROM/RAM Inspectability: 진단·감사 목적의 읽기/무결성 확인 기능(보안·안전 경계 내)
ㆍ관리파라미터
-Testability 기준: ________ (예: MIL-HDBK-2084 테일러링 문구)
-FD/FI 목표: 검출 ≥ ___% / 격리 ≥ ___% / 오경보 ≤ ___% / 평균 테스트시간 ≤ ___ s
-로그 보존: 최근 ___비행분 순환 / 전원 OFF 보존 ___h 이상 / ROM/RAM 검사 방법 ______
-노즐 BITI: 속도·위치 샘플링 Hz / 반복성 허용오차 ±% / Fail-safe 위치 검증 절차 ID ___</t>
    <phoneticPr fontId="35" type="noConversion"/>
  </si>
  <si>
    <t>ㆍI/A: BITI 기능·FD/FI 목표·오경보율·테스트타임·로그 보존정책·ROM/RAM 모니터링을 규격/ICD/정비개념과 정합 분석
ㆍD: 엔진 장착 환경에서 전원 인가→Periodic BIT→기동형 BIT 시나리오, MC 신호·로그 조회 데모
ㆍT: 고장주입(하드/소프트)으로 검출율·격리수준·오경보율을 정량 검증, 전원/EMI/온습/진동 하 데이터획득·무결성 시험 수행</t>
    <phoneticPr fontId="35" type="noConversion"/>
  </si>
  <si>
    <t>ㆍ정비시간·비용·인력 축소와 가동률 향상을 위해 현장수준에서 즉시 고장 판별이 필요
ㆍ비정상 상태 조기 식별로 예방정비/임무결정을 지원하고 CND(재현불가)를 감소
ㆍ추력편향 노즐 등 핵심 구동기 반복성·안정성 기록/시뮬레이션으로 Fail-safe 위치 확인이 가능</t>
    <phoneticPr fontId="35" type="noConversion"/>
  </si>
  <si>
    <t>ㆍMIL-HDBK-2084(Tasks 103/104/105)를 엔진제어 특성에 맞게 테일러링(오경보율·격리수준·시험시간)
ㆍPeriodic BIT: 전원 인가 시 1회 종합 자가진단 + 운용 중 주기 실행, Initiated BIT: 외부명령으로 심화 격리
ㆍ데이터 보존/접근: 비휘발 로그의 포맷/용량/순환정책, ROM/RAM 가시화 인터페이스를 ICD/정비절차에 명시</t>
    <phoneticPr fontId="35" type="noConversion"/>
  </si>
  <si>
    <t>ㆍ오경보율 관리 미흡 시 정비부하·CND 증가 → 문턱/테스트타임 최적화가 필수
ㆍ전원 켜짐/버스 스위칭 과도상태에서 BIT 오동작 사례 → 전원품질·재시도 로직 반영
ㆍ현장 접근성 부족(로그·메모리 접근)으로 활용 저하 → Inspectability 인터페이스 표준화 필요</t>
    <phoneticPr fontId="35" type="noConversion"/>
  </si>
  <si>
    <r>
      <t xml:space="preserve">ㆍ전원 절체(엔진전원 ↔ 항공기/지상전원) 시에도 광시스템(광검출기/광온도계 등) 동작 불변·무중단
-Optical system: 광송신기/수신기, 광섬유, 커넥터, 다중화기, 감쇠기, 광센서(플레임/파이로미터) 등
-Power switching 무영향: 절체 중 출력/정확도/상태 지속 보장(글리치·표류 </t>
    </r>
    <r>
      <rPr>
        <sz val="3"/>
        <color theme="1"/>
        <rFont val="맑은 고딕"/>
        <family val="3"/>
        <charset val="129"/>
      </rPr>
      <t>無</t>
    </r>
    <r>
      <rPr>
        <sz val="3"/>
        <color theme="1"/>
        <rFont val="Pretendard SemiBold"/>
        <family val="3"/>
        <charset val="129"/>
      </rPr>
      <t>)
-Power-switching immunity: 엔진 전원↔항공기/지상전원 절체 중 연속 동작·정확도 유지(hot-swap)
-그림 5 해수면 한랭 온도에서 정비 절차로 굴곡/체결·탈거 시 손상 없음(반복성/내구 확보)
-전달면(페룰/엔드페이스) 오염 제거가 무손상으로 가능해야 함
-Mating durability: 오염→세정 후 반복 체결/탈거에서 성능 유지 능력
ㆍ광센서는 모듈 수명 기간 내 정확도/교정 상태를 규정 한계 내 유지(교체·재교정 최소화)
-Calibration 유지: 모듈 수명 동안 정확도·오프셋·응답이 한계 내 유지
-Change in optical transmittance: 설치/환경/체결에 따른 광전송도 변화(dB)
ㆍ광섬유 링크/송수신기/다중화기 등 광 구성품 사용 여부와 대상 기능을 명시
-광케이블/커넥터 사양을 규격에 명시(형식, 등급, 수량, 클래스).
-Application A (Airborne): 항공용 케이블 환경 등급(온도/진동/유체 노출 등)
ㆍ관리파라미터
-케이블/커넥터 형식: ______(SM/MM, 코어/클래딩 / μm, 커넥터 타입 ___)
-허용 전송도 변화: 설치 ≤ ___ dB(멀티모드 권고 0.5 dB / 싱글모드 0.2 dB), 감쇠율 ≤ ___ dB/km
-성능 수치: 화염 상실 알림 ≤ ___ ms, 정확도 ±___, 지연 ≤ ___ ms, 투과도 저하 ≤ ___%/수명, 삽입손실 변동 ≤ ___ dB.
-환경/정비: 사용/보관 온도 / °C, 최소 굴곡반경 ≥ ___ mm, 세정 절차 ID ___, 장착 저온 시험 T= ___ °C
-검증 패키지: 절체 무영향 시험, TEC/LD 신뢰성, EIA-455-20/-21A 성적서, 삽입손실 추적 로그, 세정 도구/소모품 리스트</t>
    </r>
    <phoneticPr fontId="35" type="noConversion"/>
  </si>
  <si>
    <t>ㆍI/A: 전원 절체 시나리오, 광·전기 성능(정확도·SNR·대역·지연), 수명/열/신뢰성 해석을 규격/ICD에 치환
-케이블/커넥터 사양, 설치·세정 절차, 전송도 변화 허용치·크로스토크·굽힘/인장/열 해석을 문서화
-성능(정확도·응답·SNR·지연), 전원 절체 무영향, 투과도 저하/삽입손실 한계, 세정·접근성 절차를 규격/ICD·표로 치환
ㆍD: 실제 전원 절체·EMI·온도 램프 환경에서 광센서 연속 동작/정확도 유지 데모.
-저온 정비 시연(굴곡·체결/탈거 무손상), 오염→세정→재체결 데모로 반복성 확인
ㆍT: 고온/저온/진동/유체 노출에서 정확도 drift·삽입손실·오경보 시험 및 TEC/드라이버 내구 검증
-EIA-455-20 설치 후 전송도 변화 시험, EIA-455-21A 오염 후 세정·mating 내구 시험, 진동/열사이클 병행
-저/고온·진동·유체 노출에서 정확도 드리프트·삽입손실/전송도 변화 측정(EIA-455 계열 활용), 화염 상실 검지 시간 시험.</t>
    <phoneticPr fontId="35" type="noConversion"/>
  </si>
  <si>
    <t>ㆍ광센서 신호는 점화/증력/제어 스케줄링에 사용되므로 전원·환경 변화 무영향이 필수
ㆍ모듈 수명 동안 정확도 drift 최소화로 정비 간격·O&amp;S 비용 절감
ㆍ광시스템 적용 시에도 엔진 제어 성능 요구는 동일하게 충족되어야 함
ㆍ케이블은 신호 경로의 핵심이므로 굴곡·열·오염으로 인한 전송손실 증가를 제어해야 함
ㆍ커넥터는 모듈화·정비성 향상 요소지만, 삽입손실·반복성·오염 측면의 약한 고리가 될 수 있음
ㆍ한랭/엔진베이 환경에서 정비 가능성 보장은 가동률·안전성에 직결</t>
    <phoneticPr fontId="35" type="noConversion"/>
  </si>
  <si>
    <t>ㆍ광송수신기·수신기 전기/광 특성(SNR, 대역, 왜곡, 지연, 파장/출력)을 시스템 설계 초기에 규정
ㆍFDM/TDM/WDM 등 다중화 방식·감쇠기·커플러·접속부 사양과 신뢰도(MTBF)를 시스템 수준에서 정의
ㆍ전원 절체·EMI·온도 등 과도 조건에서 정확도/가용도 목표를 ICD/규격에 수치화
ㆍMIL-PRF-85045(또는 동등 상용) 참조: 설치 유발 전송도 변화 허용치 권고(멀티모드 ≤0.5 dB, 싱글모드 ≤0.2 dB)
ㆍ케이블 클래스(단일/다중 모드), 섬유 수, 구조·치수, 사용/보관 온도 범위, 동선 계획을 명시
ㆍ시스템 설계로 감쇠율·전송도 변화·원단 간섭(crosstalk) 한계를 수치화, 커넥터 타입/규격도 지정</t>
    <phoneticPr fontId="35" type="noConversion"/>
  </si>
  <si>
    <t>ㆍ클렌징 에어 부족 → 가짜 점화 감지/증력 차단/정비 증가 사례 → 클렌징 유량 적정화 중요.
ㆍLD(레이저 다이오드)는 고온에서 신뢰도/수명 취약 → TEC 냉각/열관리 설계 필요
ㆍ커넥터 반복 체결·오염으로 삽입손실 변동 발생 → 세정·관리 절차와 내구 검증 강화
ㆍ오염된 커넥터는 세척 전 체결 시 삽입손실 급증·간헐 단락 유발 → 규정 세정·검사 절차 필수
ㆍ과도 굴곡/인장으로 마이크로크랙·굴곡 손실 증가 → 루팅/클램핑·최소 굴곡반경 준수 필요
ㆍ반복 체결 내구 부족 시 삽입손실 drift → mating durability 시험·관리로 개선</t>
    <phoneticPr fontId="35" type="noConversion"/>
  </si>
  <si>
    <t>ㆍ표준 유종: MIL-PRF-7808(저온성 우수), MIL-PRF-23699(고온·하중 용량 우수)을 기본으로 채택·명시
- 본 규격에서 지정한 윤활유 규격(예: MIL-PRF-7808, MIL-PRF-23699, 필요 시 특수유)을 사용한 상태에서 모든 요구 성능을 충족할 것
-전 운용·환경(시동/고도/내구/열부하)에서 윤활유 성질 유지(윤활·냉각·산화안정·거품/기포 억제)로 베어링/기어 보호
-코크/슬러지 발생은 엔진 요구 미충족의 면책 사유가 될 수 없으며, 설계·운용으로 최소화되어야 함
-MIL-PRF-7808: 저점도 합성유(저온 시동·기동성 우수, 휘발↑/하중↓)
-MIL-PRF-23699: 고하중·고온 안정 합성유(소모↓/산화안정↑, 저온 시동성 한계)
ㆍ특수/비표준 유종 채택 시, 표준유 대비 우월성(성능·내환경·수명)을 입증하는 강력한 데이터 제출해야함
ㆍ선택 판단 기준: 베어링 설계, 임무 프로파일, 운용 환경(온도/고도/사이클)이며 MIL-HDBK-838을 따름
-QPL 최소 성능 제품: 규격 합격 최저 스펙 오일(현장 보급 기준) — 이 수준에서 엔진 요구 충족이 기준
ㆍ파라미터관리
-지정 유종: □ MIL-PRF-7808 □ MIL-PRF-23699 □ 특수유(____, 우월성 근거 문서 ID ___)
-운용 범위: 시동 최저 ___ °C / 연속 최고 ___ °C, 소모 ≤ ___ L/h, 코킹 지표 ≤ ___ (테스트 조건 ___)
-검증: 내구 ___h, 고도 ___ft, 저온 시동 ___ °C, 사용유=□ QPL Min □ 개발유(보정 계획 ___), 분해검사 체크리스트 ID ___</t>
    <phoneticPr fontId="35" type="noConversion"/>
  </si>
  <si>
    <t>ㆍI/A: 사용유종(표준/특수), 온도 범위, 점도-온도 곡선·소모·코킹 기준을 규격/ICD 표로 치환(군수·STANAG 정합 포함)
ㆍD: 실제 장착상태에서 시동(저온/열침투), 추력변화, 블리드/열부하 조건으로 운전→압/온/소모/경보 동작 시연
ㆍT: 내구·고도·시동 시험을 QPL 최소 성능유로 수행, 시험 후 더티/클린 분해검사로 코킹/슬러지·베어링/씰 손상 평가
- 단, D,T는 IFR이후 수행하는 방향으로 추진하되, 구성품시험은 D에 준하는 수준으로 수행</t>
    <phoneticPr fontId="35" type="noConversion"/>
  </si>
  <si>
    <t>ㆍ윤활유 선택은 설계 타당성+현장 군수(Logistics) 적합성에 핵심 → 유종을 명확히 규정해야 함
ㆍ유류 특성은 시동성/하중지지/소모/열안정을 좌우 → 베어링 수명·신뢰성과 직결
ㆍ현장에서는 최저가 QPL 오일이 보급될 수 있으므로, 엔진은 최소 성능 제품에서도 요구 충족 필요</t>
    <phoneticPr fontId="35" type="noConversion"/>
  </si>
  <si>
    <t>ㆍ저온 운용: 23699는 −40 °C 이하 비권장, 7808은 ~−51 °C 권장(시동성), 임무·환경에 따라 혼선 금지.
ㆍ성능 비교: 7808=저점도·저온 시동 우수(소모↑/하중↓), 23699=하중/소모/고온 안정 우수(저온 시동↓)
ㆍ설계단계에 NATO STANAG 1135/1414, MIL-HDBK-275 등 표준유 우선(함정·연합작전 군수 단순화)</t>
    <phoneticPr fontId="35" type="noConversion"/>
  </si>
  <si>
    <t>ㆍ개발시험에서 저코킹 고급 23699 사용으로 현장 코킹 위험을 과소평가한 사례 → QPL 최소 성능유로 재검증 필요
ㆍ일부 추진계는 특수유(MIL-PRF-87100 등) 요구 → 군수비용·공급망 영향 비용-편익 분석 필수
ㆍ코킹/슬러지로 브리더/필터 막힘·씰 손상 사례 → 열관리·라인 온도/체류시간 설계 및 시험 강화</t>
    <phoneticPr fontId="35" type="noConversion"/>
  </si>
  <si>
    <r>
      <t>ㆍ오일계는 지정 압·온 경계 내에서 엔진을 효율적 윤활해야 함(정상/과도/시동/재시동 포함)
-최대·최소 운용 오일압, 최대 과도·최대 정상상태 오일온도를 Table IV에 명시할 것
-Maximum transient / steady-state oil temperature: 과도/연속 운용 시 허용 최고 오일온도
ㆍ시동/워밍업 시 온도 의존 압력 변동을 고려, 온도-압력 허용범위 매핑을 규격으로 제시
-Starting &amp; initial operation oil pressures: 저온 시동/워밍업 단계에서의 최소/최대 허용압(≤2.5 min)
-해수면 한랭(그림 5) 또는 (a) cSt 중 가혹한 조건에서의 시동·초기운전 오일압 최소·최대를 Table IV에 명시(지속 ≤ 2.5 min)
-비행 중 정지→공중 재시동 후 오일계 압·온 상태는 윤활계 및 윤활 대상 부품에 유해하지 않아야 함
-Sea-level cold day / (a) cSt: 그림 5 한랭 조건 또는 지정 점도 중 가혹 조건을 시험·판정 기준으로 적용
ㆍ온도 표기는 혼동 방지를 위해 ‘bulk’ 또는 ‘local’로 명확히 구분
ㆍ파라미터관리
-Table IV 기입: P_oil NORM(min/max)=/ kPa, T_oil TRANS/STEADY ≤ / °C, Start P(min/max) at SLC or (a)=/ kPa(</t>
    </r>
    <r>
      <rPr>
        <sz val="3"/>
        <color theme="1"/>
        <rFont val="Cambria Math"/>
        <family val="3"/>
      </rPr>
      <t>≤</t>
    </r>
    <r>
      <rPr>
        <sz val="3"/>
        <color theme="1"/>
        <rFont val="Pretendard SemiBold"/>
        <family val="3"/>
        <charset val="129"/>
      </rPr>
      <t>2.5 min)
-맵 규칙: T_oil 구간 {~°C}/{~°C}… 별 P_oil 허용범위 표기, 센서 위치=bulk/local(___)
-재시동 기준: IFSD→Airstart 후 압·온 정상화 시간 ≤ ___ s, 윤활 부품 무손상(분해검사 기준 ID ___)</t>
    </r>
    <phoneticPr fontId="35" type="noConversion"/>
  </si>
  <si>
    <t>ㆍI/A: Table IV에 온도-압력 맵, 시동/초기운전 한계(≤2.5 min), 재시동 무해성 기준, bulk/local 정의를 치환
ㆍD: 저온 시동·워밍업·전원/자세 변화 중 압·온 트레이스와 경보/릴리프 동작 데모(펌프/밸브 로직 포함)
ㆍT: 내구·고도·저온/고온·고마하 시험에서 압·온 준수/스파이크·코킹 확인, IFSD 복구 시나리오로 재시동 무해성 검증
- 단, D,T는 IFR이후 수행하는 방향으로 추진</t>
    <phoneticPr fontId="35" type="noConversion"/>
  </si>
  <si>
    <t>ㆍ유압·유온 한계는 베어링/기어 보호와 화재·펌프 고장 예방에 직결
ㆍ시동/초기운전에서의 저온 점도·압력 스파이크 관리가 시스템 신뢰도의 관건
ㆍ공중 재시동 후에도 윤활 성능이 회복·유지되어야 비행 안전 확보</t>
    <phoneticPr fontId="35" type="noConversion"/>
  </si>
  <si>
    <t>ㆍ(a) cSt 점도는 그림 5의 저온 조건에 맞춰 선정, 해당 점도에서의 시동 압력 허용범위를 설정
ㆍ온도-압력 맵으로 운용 허용 범위를 제시(예: 각 온도 구간별 Pmin–Pmax), 2.5 min 이상 지속 불가
ㆍbulk vs. local 온도 기준, 측정 위치·센서 응답·여유를 표기하여 해석 일관성 확보</t>
    <phoneticPr fontId="35" type="noConversion"/>
  </si>
  <si>
    <t>ㆍ정지 환경 OK → 비행 동특성에서 실패 사례 다수 → 동적 자세/가속/급기동을 시험범위에 포함해야 함
ㆍ7808(저점도) 채택 시 운전 진입 후 저압·고온, 23699(고점도) 사용 시 저온 시동 저압 지속 문제 → 설계로 예방
ㆍ급기동(나이프에지 등)에서 과압→펌프 손상·오일 유출·IFSD 사례 → 펌프 재설계 + 고압 릴리프(버프) 밸브로 해결</t>
    <phoneticPr fontId="35" type="noConversion"/>
  </si>
  <si>
    <t>ㆍ터보팬/터보제트: 임무 프로파일 기반 평균 소모율을 고려하여 탱크 사이징에 활용
-최대 윤활유 소모율(depletion rate)을 Table IV에 수치로 명시
-명시된 소모율 범위 내에서 임무 요구를 충족하고 탱크 용량/중량 제약을 만족해야함
-Oil consumption rate: 단위 시간(또는 사이클)당 엔진에서 소실되는 오일량(모든 경로 포함)
-Depletion sources: 씰 탄화/누설, 브리더·벤트 손실, 증발·코킹 잔류 등
ㆍ터보샤프트: 최대 소모율 기준을 주로 사용(임무 중 단일 탱크 운용 보장)
-소모율은 유온·운전상태·환경에 따라 변하므로 조건부 수치로 정의
-소모율에는 모든 손실 경로(씰 탄화·벤트 손실·누유 등)를 포함
ㆍ파라미터관리
-Mean vs. Max: 임무 평균치(탱크 사이징용)와 최대치(안전·경보·운용한계) 구분
-Table IV 기입: 평균 소모률 = ____ L/h(프로파일 = ____), 최대 소모률 = ____ L/h(조건 = ____)
-조건부 기술: 유온 구간 {~°C}별 허용 = ____ / ____ L/h, 유종(□7808 □23699 □특수: _) 보정계수 k=__
-사이징/경보: 탱크 유효량 ≥ 평균×임무시간×(1+마진 ___%), 저유량 경보 트리거 = 잔량 ____ L 또는 임무 잔여시간 ____ min</t>
    <phoneticPr fontId="35" type="noConversion"/>
  </si>
  <si>
    <t>ㆍI/A: 임무 프로파일·유온 범위·유종별 가중치로 예상 소모율 모델 수립, Table IV에 평균/최대 기입
ㆍD: 대표 임무 시나리오 운전 중 오일 잔량/보충량·시간 실측 데모(계측·경보·기록 절차 포함)
ㆍT: §4.12.3.4.1 조건의 엔진 시험으로 정량 소모율 검증(유종/온도/상태 스윕) 및 평균–최대 마진 확인</t>
    <phoneticPr fontId="35" type="noConversion"/>
  </si>
  <si>
    <t>ㆍ소모율 한계는 임무 시간/탱크 용량/중량 상충관계를 해소하기 위한 핵심 파라미터
ㆍ과도 소모는 탱크 저유량·경보 빈발·정비 증가로 가용도 저하 초래
ㆍ조기 규정으로 설계-군수(로지스틱스) 정합을 확보</t>
    <phoneticPr fontId="35" type="noConversion"/>
  </si>
  <si>
    <t>ㆍTable IV에 소모율을 운전상태별(아이들/순항/최대·증력) 또는 임무 평균으로 구분 기입
ㆍ소모율은 유온 의존이 크므로 온도 구간별 허용치 또는 보정식을 병기
ㆍ탱크 사이징 시 평균치 + 변동마진(마모·제조편차·유종 차이)을 반영</t>
    <phoneticPr fontId="35" type="noConversion"/>
  </si>
  <si>
    <t>ㆍ소모율 증가는 탱크/에어오일 세퍼레이터/벤트/씰 설계에 복합적 중량 상승을 유발
ㆍ유종(7808/23699/특수유)에 따라 소모율이 달라질 수 있어 유종-소모율 맵이 필요
ㆍ평균치만 관리하면 피크 상황을 놓칠 수 있으므로 최대치 규정과 경보 로직을 병행해야함</t>
    <phoneticPr fontId="35" type="noConversion"/>
  </si>
  <si>
    <t>ㆍ무윤활 내구는 전투 손상·자세/기동·정비 실수 등으로 발생하는 일시/지속 결손 모두를 포함
-Oil-out(무오일): 펌프 흡입구로 기름 0, 공기만 유입되는 상태(일시/지속)
-공통: 오일펌프 흡입구에 무오일(공기만) 공급 상태에서 (a) 추력/출력으로 (b) s 이상 운전 후에도 규격 충족
-고정익: (d) 추력/출력(e.g.30% Intermediate SLS)에서 무오일 (c) min 운전 가능, 로터 시저(Seizure) 없음
-로터시저: 로터/베어링 급정지·고착 미발생, 운전 지속 가능 상태 필요
ㆍ요구치는 임무 생존성(이탈/귀환/착륙 준비 시간) 관점에서 부분 출력 운전을 가정해 정함
-Intermediate/Max Continuous Power: 스펙 정의 출력 레벨(고정익=intermediate, 회전익=MCP 기준)
ㆍ복수의 단기 중단(high-agility 기동의 반복 네거티브 g)에도 무손상을 지향
ㆍ파라미터관리
-회전익: (f)=____ min @ (e)=____ % MCP (무오일) → 복구 후 (g)=____ min @ (h)=____ % MCP, 손상 등급 ≤ _____.
-공통 단기 중단: (b)=____ s @ (a)=____ (반복 N=____회, 간격 ____ s), 펌프/씰/기어 손상 없음</t>
    <phoneticPr fontId="35" type="noConversion"/>
  </si>
  <si>
    <t>ㆍI/A: (a)~(h) 수치, 기체 취약도/임무 분석, 설계 수단(리저버/코팅/배압·릴리프 로직)과 열·하중 모델을 규격에 치환
ㆍD: 엔진 장착 시험에서 오일 차단→요구 출력 유지→복구(해당 시) 시퀀스 데모, 계기·경보 로그 확보
ㆍT: 오일아웃 시간 충족 후 분해검사(경상/피트/색변/열변형), 여러 회의 단기 중단 반복 시험으로 누적 손상/수명 영향 평가
- 단, D,T는 IFR이후 수행하는 방향으로 추진하되, 구성품시험은 D에 준하는 수준으로 수행</t>
    <phoneticPr fontId="35" type="noConversion"/>
  </si>
  <si>
    <t>ㆍ권고 테일러링: (a)=Intermediate, (b)=30 s, (c)=5–30 min, (d)=30% Interm. SLS, 
   (e)=75% MCP, (f)=6 min, (g)=30 min, (h)=75% MCP
ㆍ살상/피탄 취약도 요구(엔진 단수/다수, 킬 기준)에 맞춰 (c)·출력 레벨을 결정
ㆍ저유량 리저버/실드 섬프/내열 코팅/비상윤활 등 설계 옵션과 시동 시 리저버 충전 우선순위를 함께 정의</t>
    <phoneticPr fontId="35" type="noConversion"/>
  </si>
  <si>
    <t>ㆍ다수 전투기에서 단기 오일 중단 반복을 견딘 사례 존재(최대 8 min 사례 보고) → 생존성 향상
ㆍ회전익에서 과거 정속 크루즈 기반 LoL 평가는 부족 → 호버·동적 부하 조건으로 스펙트럼 갱신 필요
ㆍ과압/펌프 손상/오일 유실 사건은 펌프 재설계+고압 릴리프(버프) 밸브로 개선됨</t>
    <phoneticPr fontId="35" type="noConversion"/>
  </si>
  <si>
    <t>ㆍ구조 건전성: 증압·진동·착륙 하중·주변 압력 변동 하 영구 변형/누유 없음.
-공용 탱크(윤활+유압) 사용 시 유압계 고장에도 윤활계 완전 고갈 방지(격리·차단 설계)
ㆍ탈기(deaeration)·배플/댐 설계로 기포·슬로싱 최소화, 역상(inverted) 호흡 시스템 고려
-Gulping volume: 시동 시 회로 충전·배플 공간으로 즉시 시스템에 흡수되는 초기 유량
-무통기(unvented) 오일탱크는 §3.4.1.6.1의 안전율 압력 요건을 만족(내·외압 양방향)
ㆍUsable 양은 소모율(§3.7.8.1.2) 및 최장 임무와 합치, 필요 시 평균 소모율 활용
-Usable / Unusable: 임무 중 펌프로 공급 가능한 양 / 구조·자세상 남는 양
ㆍ탱크 용량(usable/unusable/gulping/expansion)은 Table XXVII에 명시
-Expansion space: 열팽창/탈기 폼/벤트 자유공간 확보용 상부 용적
ㆍ파라미터관리
-구조/압력: 프루프 = max(±100 kPa, 2×ΔP_op) / 사이클 N=10,000 @ {T_norm/T_max}, 누유·변형=0.
-용량(XXVII): usable = ≥ 12× 최대 시(hourly) 소모(또는 임무시간×평균 소모×마진), unusable = ___ L, gulping = ___ L, expansion = ___ %
-공용 탱크 격리: 체크/차단/역류 방지 구성, 오염·고갈 방지(인터실/필터), 역상 호흡/수위 표시 포함</t>
    <phoneticPr fontId="35" type="noConversion"/>
  </si>
  <si>
    <r>
      <t xml:space="preserve">ㆍI/A: 탱크 구조/차압/배플·탈기/호흡·격리 로직을 도면·해석(유동/진동/열)과 함께 Spec/ICD/표(XXVII)로 치환
ㆍD: 엔진 장착 상태에서 채움·배출·잔량 계측, 역상·기울기 조건 흡입 안정성/경보 데모
ㆍT: 사이클 피로/프루프/밸브/진동 시험 + 용량(usable/expansion/gulping) 벤치 검증, 시험 후 누유·변형 </t>
    </r>
    <r>
      <rPr>
        <sz val="3"/>
        <color theme="1"/>
        <rFont val="맑은 고딕"/>
        <family val="3"/>
        <charset val="129"/>
      </rPr>
      <t>無</t>
    </r>
    <r>
      <rPr>
        <sz val="3"/>
        <color theme="1"/>
        <rFont val="Pretendard SemiBold"/>
        <family val="3"/>
        <charset val="129"/>
      </rPr>
      <t xml:space="preserve"> 확인
- 단, D,T는 IFR이후 수행하는 방향으로 추진하되, 구성품시험은 D에 준하는 수준으로 수행</t>
    </r>
    <phoneticPr fontId="35" type="noConversion"/>
  </si>
  <si>
    <t>ㆍ탱크 파손·누유는 화재/고갈 위험 → 구조 안전율과 과압 방지/배기가 필수
ㆍ탈기·배플은 폼/공기포획으로 인한 cavitation·경보 오작동 방지
ㆍ유효 오일량은 임무달성·중량 최적화의 기준(소모율·탱크 사이징 연계)</t>
    <phoneticPr fontId="35" type="noConversion"/>
  </si>
  <si>
    <t>ㆍ탱크는 증압+감압 양방향 ≥100 kPa(±15 psi) 또는 운용차압×2 중 큰 값에 프루프
ㆍ10,000회 차압 반전 피로 내구, 역상 비행 고려한 inverted breathing/수위 측정 구성
ㆍ장거리/봉인형 설치는 대용량 검토, 확장공간(thermal/foam/vent free space) 확보</t>
    <phoneticPr fontId="35" type="noConversion"/>
  </si>
  <si>
    <t>ㆍ저고도·고마하·역상(−g)에서 과압→탱크 균열/내부 배플 공진 파손 사례 → 과압 완화·모드 회피 필요
ㆍ탱크 용량 부족은 임무 중단/IFSD 유발 → 탈기 성능 향상으로 usable 향상 사례
ㆍ공용 탱크에서 타 기어박스/전송계 고장으로 2차 오염 발생 → 윤활계 격리·필터/인터실 강화</t>
    <phoneticPr fontId="35" type="noConversion"/>
  </si>
  <si>
    <r>
      <t xml:space="preserve">ㆍ레벨 지시/계량: 시각식(게이지), 또는 연속 계량 신호(모니터링 시스템 연계) 허용.
-탱크는 §3.2.2.2 자세 범위에서 오일 레벨 확인 수단을 갖출 것(시트게이지/레벨 센서 등)
-오일 잔량 신호는 항공기에 제공 (a), 탱크는 (b) 급유 시스템과 과충전(Overfill) 방지 기능을 갖출 것
-서빙 가능 자세: +15° nose-up ~ </t>
    </r>
    <r>
      <rPr>
        <sz val="3"/>
        <color theme="1"/>
        <rFont val="Cambria Math"/>
        <family val="3"/>
      </rPr>
      <t>−</t>
    </r>
    <r>
      <rPr>
        <sz val="3"/>
        <color theme="1"/>
        <rFont val="Pretendard SemiBold"/>
        <family val="3"/>
        <charset val="129"/>
      </rPr>
      <t>20° nose-down에서 정상 급유·점검 가능
-Servicing attitude: 지정 기울기에서 보급·점검·배유가 가능하도록 한 기계/배관 배치
ㆍ외부 기능: 퀵 디스커넥트 캡, 방수/배수 형상, 확장공간 보호(thermal/foam/vent).
ㆍ인터페이스: 압력 급유 커넥터·오버플로 리턴 규격 및 표준 피팅 적용.
-Oil quantity signal: 항공기로 전송되는 연속/이산 잔량 정보(경보 포함)
-Overfill protection: 확장공간 침범 방지, 오버플로 리턴 경로 및 스필 방지 형상
ㆍ파라미터관리
-(a) 잔량 신호: □ shall □ shall not | 정확도 ±____% usable | 저유 경보= 잔여 ___ h
-(b) 서빙 방식: □ pressure □ gravity □ both | 피팅= MIL-PRF-25676 / STANAG 3595
-외장 규정: 시트게이지 가독 ≥ ___ lx, 눈금 간격 ___ L, 오버플로 리턴 유량 ≥ ___ L/min, 방수/배수 각도 ___°, 캡 QD 토크 ___ N·m</t>
    </r>
    <phoneticPr fontId="35" type="noConversion"/>
  </si>
  <si>
    <t>ㆍI/A: (a)(b) 결정, 신호 정확도·경보 로직, 피팅 규격, 과충전 방지·배수 설계를 Spec/ICD/도면으로 치환
ㆍD: +15/−20° 자세에서 급유→레벨 확인→오버플로 제어 연속 시연, 잔량 신호/저유 경보 데모
ㆍT: 저온·진동 환경에서 레벨 표시 오차·연속 계량 신뢰도 시험, 물 분무/세정 후 가독성 및 스필 방지 검증
- 단, D,T는 IFR이후 수행하는 방향으로 추진하되, 구성품시험은 D에 준하는 수준으로 수행</t>
    <phoneticPr fontId="35" type="noConversion"/>
  </si>
  <si>
    <t>ㆍ정확한 잔량 확인은 과충전/오일 고갈로 인한 화재·펌프 고장·IFSD 예방에 핵심
ㆍ조종사 경고(잔량 신호)는 임무 중 조기 대응·안전 확보에 필요
ㆍ항모/야전 등 기울어진 환경에서의 서빙 용이성 확보가 가동률을 좌우</t>
    <phoneticPr fontId="35" type="noConversion"/>
  </si>
  <si>
    <t>ㆍ(a): 항공기 요구 시 shall로 지정, 신호 정확도 예: ±4% (usable volume)
ㆍ(b): pressure 또는 both 권장, 압력 급유/오버플로 리턴= MIL-PRF-25676, 표준 피팅= NATO STANAG 3595
ㆍ시트 게이지: 탈착 세정 가능, 고대비 배경/눈금으로 과충전 용이 식별; 저유량 경보= 잔량 2시간 남음 트리거 권고</t>
    <phoneticPr fontId="35" type="noConversion"/>
  </si>
  <si>
    <t>ㆍ원격 연속 계량은 소유량·짧은 체류시간 탓 신뢰도 이슈 → 신뢰성·정비성 특별 고려
ㆍ모터링 미수행 후 과충전 → 스캐빈지 실패·펌프 고장·IFSD 사례 → 과충전 방지·절차 상호잠금 필요
ㆍ물 유입/오염으로 표시 오차·부식 사례 → 방수 형상·배수·세정성 강화</t>
    <phoneticPr fontId="35" type="noConversion"/>
  </si>
  <si>
    <t>ㆍ드레인은 정비성 확보를 위한 완전 배유와 대표성 있는 시료 채취를 모두 만족해야 함
-윤활계 최저점(들)에 드레인 포트를 설치하여 오일 배출·시료 채취가 가능해야 함
-설계는 누유·스필 없이 안전하게 운용되며, 자세·기후(그림 5) 변화에도 배유 성능을 유지할 것
ㆍ자체폐쇄(Self-closing)/자잠금(Self-locking) 구조로 우발 개방·진동 개방을 방지할 것
-Self-closing/locking valve: 조작 후 자동 폐쇄 및 진동·우발 조작 방지 기능을 가진 밸브
ㆍ수직 장비 상태에서도 유출 없이 수리·점검이 가능하도록 배치·배관할 것
-엔진 자세 (a)° nose-up ~ (b)° nose-down 범위에서 완전 배유와 샘플링이 가능해야 함
-Complete drain: 지정 자세·온도 범위에서 사용유 전량을 배출 가능한 상태
-Representative sample: 타 유체/침전물 오염 없이 시스템 상태를 반영하는 시료
ㆍ파라미터관리
-자세 범위: (a)=° NU, (b)=° ND | 드레인 위치: 최저점 노드 ID ___ / 접근창 ___ × ___ mm
-밸브 사양: □ Self-closing □ Self-locking | 조작력 ≤ ___ N | 방열가드 □ | 배출 방향 오프셋 ___°
-샘플링: 대표 유로 위치 ___ | 오염 차단 구조 □ | 컨테이너 인터페이스 ___ | 시료 채취 시간 ≤ ___ s</t>
    <phoneticPr fontId="35" type="noConversion"/>
  </si>
  <si>
    <t>ㆍI/A: 드레인 위치·자세 범위·밸브 사양·시료 대표성 기준을 도면/ICD/절차로 명시(열·진동 해석 포함)
ㆍD: 실제 장착 상태에서 + (a)/− (b)° 자세 배유/샘플링 시연, 스필·안전·조작력 평가
ㆍT: 온도(그림 5)/진동 조건의 기능 시험으로 완전 배유·누유 무발생·자체폐쇄/자잠금 유지 검증
- 단, D,T는 IFR이후 수행하는 방향으로 추진하되, 구성품시험은 D에 준하는 수준으로 수행</t>
    <phoneticPr fontId="35" type="noConversion"/>
  </si>
  <si>
    <t>ㆍ완전 배유는 오일 교환·세척 품질과 코킹/오염 누적 방지에 필수
ㆍ대표 시료는 상태기반 정비(CBM)·수명 추정 정확도를 좌우
ㆍ다양한 운용 자세/환경에서 동일 품질의 정비를 보장해 가동률/안전 향상</t>
    <phoneticPr fontId="35" type="noConversion"/>
  </si>
  <si>
    <t>ㆍ(권장) (a)=15° nose-up, (b)=20° nose-down; 드레인은 최저 실용 위치에 설치
ㆍ스펙트로메트릭 분석 계획 시, 접근 용이·자체폐쇄 드레인 밸브와 오염 차단 형상 적용
ㆍ밸브는 우발 개방 방지·장갑 착용 조작 가능·화상 위험 저감(열 차폐/방향 제어) 고려</t>
    <phoneticPr fontId="35" type="noConversion"/>
  </si>
  <si>
    <t>ㆍ접근성 불량/비대표 위치 드레인은 샘플 오판·정비 지연 유발 → 최저점·대표 유로에서 채취 필요
ㆍ세밀 여과(초미세 필터) 환경에선 스펙트럼 분석의 예지력 저하 → 샘플링 간격/방법 재설계 필요
ㆍ자기잠금 드레인 도입으로 정비 실수·우발 개방이 현저히 감소</t>
    <phoneticPr fontId="35" type="noConversion"/>
  </si>
  <si>
    <r>
      <t>ㆍ필터는 심한 마모·부분고장·진행성 고장 조건에서도 윤활 부품 보호를 지속
-필터 유형·미크론 등급·용량·필트레이션 비(βx)를 규격에 명시(e.g. β3</t>
    </r>
    <r>
      <rPr>
        <sz val="3"/>
        <color theme="1"/>
        <rFont val="Cambria Math"/>
        <family val="3"/>
      </rPr>
      <t>≥</t>
    </r>
    <r>
      <rPr>
        <sz val="3"/>
        <color theme="1"/>
        <rFont val="Pretendard SemiBold"/>
        <family val="3"/>
        <charset val="129"/>
      </rPr>
      <t>200, 3 μm 등)
-주(Primary) 필터는 압력 릴리프 바이패스를 갖추고, (a) 직접/원격 표시로 용량 사용/잔여를 제공(저온 시동 거짓작동 방지, 리셋 전까지 유지)
-엘리먼트 수명: 임박바이패스 전 ≥ (b) h, 임박→바이패스 사이 ≥ (c) h(임박/실제 지시자 수동 내부 리셋)
-Filtration ratio βx: 입경 x μm 이상 입자에 대한 입구/출구 개수비(예: β3</t>
    </r>
    <r>
      <rPr>
        <sz val="3"/>
        <color theme="1"/>
        <rFont val="Cambria Math"/>
        <family val="3"/>
      </rPr>
      <t>≥</t>
    </r>
    <r>
      <rPr>
        <sz val="3"/>
        <color theme="1"/>
        <rFont val="Pretendard SemiBold"/>
        <family val="3"/>
        <charset val="129"/>
      </rPr>
      <t xml:space="preserve">200)
-Impending / Actual bypass: 임박=ΔP 임계 접근 경보, 실제=바이패스 개방 상태 고정 지시
ㆍ바이패스 설계는 오염물 워시-스루 금지(우회 중에도 하류 오염 확산 방지)
-Wash-through 금지: 바이패스 개방 중 엘리먼트 포집 오염물 하류 유출 금지 요구
ㆍ스캐빈지측은 스트레이너/스크린을 각 베어링 컴파트먼트 출구에 배치(수집용량·막힘 방지)
ㆍ파라미터관리
-등급: x = ___ μm, βx </t>
    </r>
    <r>
      <rPr>
        <sz val="3"/>
        <color theme="1"/>
        <rFont val="Cambria Math"/>
        <family val="3"/>
      </rPr>
      <t>≥</t>
    </r>
    <r>
      <rPr>
        <sz val="3"/>
        <color theme="1"/>
        <rFont val="Pretendard SemiBold"/>
        <family val="3"/>
        <charset val="129"/>
      </rPr>
      <t xml:space="preserve"> , 용량 ≥ ___ g(or mg)/ h; ΔP(임박/바이패스) = / kPa
-표시( a ): □ Visual □ Electronic □ Both | 표시 유지: □ Until manual internal reset | 저온 면역: □ 적용(온도 ___ °C)
-수명: (b) ≥ ___ h, (c) ≥ ___ h(= 임무 ___회) | 스캐빈지 필터/스크린: 위치 ___, 수집용량 ≥ ___ g</t>
    </r>
    <phoneticPr fontId="35" type="noConversion"/>
  </si>
  <si>
    <t>ㆍI/A: 미크론·βx·용량·ΔP–유량 커브·임박/실제 지시/리셋·저온/충격 면역을 Spec/ICD에 수치 작성
ㆍD: 벤치에서 임박→바이패스 전환/표시 유지/내부 수동 리셋 시연, 워시-스루 방지 데모
ㆍT: 저온 시동, 압력 서지, 착함 충격 등에서 거짓지시 0·용량 충족·βx 성능 유지 검증(엔진 내구 중 엘리먼트 분해검사 포함)
- 단, D,T는 IFR이후 수행하는 방향으로 추진하되, 구성품시험은 D에 준하는 수준으로 수행</t>
    <phoneticPr fontId="35" type="noConversion"/>
  </si>
  <si>
    <t>ㆍ적정 여과는 오일 접촉 부품 마모 저감의 핵심이며, 고장 진행 시에도 엔진 보호가 필요
ㆍ바이패스 표시 유지·수동 리셋은 무정비 리셋을 방지해 경고의 신뢰도 확보
ㆍ저온·충격에 의한 거짓 지시 최소화는 정비 효율·가용도에 직결</t>
    <phoneticPr fontId="35" type="noConversion"/>
  </si>
  <si>
    <t>ㆍ(a) Visual(pop-up) + Electronic(EHMS 연계) 병행 권장(임박·실제 모두 전송)
ㆍ(b) 참조값: 3 μm 등급에서 임박 ≥ 500 h(정비정책 따라 테일러링), (c) 임박→바이패스 = 전투임무 2회 완료 가능 시간
ㆍ임박 ΔP 설정은 비행 전/후 점검에 탐지되도록 시정하되, 저온 시동/서지에 불감대 부여</t>
    <phoneticPr fontId="35" type="noConversion"/>
  </si>
  <si>
    <t>ㆍ스캐빈지 필터/스크린 부재로 베어링 파편→스캐빈지 펌프 손상 사례—시퀀스 여과로 예방
ㆍ한랭·항모 착함 충격에서 거짓 임박/바이패스 다발—충격·저온 면역 설계 필요
ㆍ필터 체계의 다양성·비표준은 정비·군수 혼란 초래—등급·형식 표준화가 바람직</t>
    <phoneticPr fontId="35" type="noConversion"/>
  </si>
  <si>
    <r>
      <t>ㆍODM은 베어링/기어/펌프 등 오일 접촉부의 임박 고장 조기 탐지를 위한 하나 이상의 센서+표시장치로 구성
-Oil debris monitor(ODM): 오일 내 금속 입자의 유무/크기/개수/rate를 검출·표시하는 장치(칩 디텍터 포함)
-Master chip detector: 전체 스캐빈지 유량을 스윕하는 주 감시 센서(라인별 자기플러그와 병행)
-오일 웨트 구간 중 마모입자 검출 가능성이 가장 높은 위치에 오일 데브리스 모니터(들) 설치, 규정된 감지 성능 충족
-탈거 시 누유·오염 유입 방지(셀프클로징 포트 등)·연속성(continuity) 점검 기능·정비 접근 용이성 확보
ㆍ일부 시스템은 입자 크기·개수·rate와 발생 위치 추정 기능 제공(가능능력 명시)
-마스터 칩 디텍터는 전 스캐빈지 유량에 노출, 개별 스캐빈지 라인에는 자기플러그/분리 센서로 고장 격리 가능
ㆍCockpit 경보는 무의미한 fuzz 최소화 설계 전제(필요 시 burn-off 타입 등 거짓경보 저감)
-Meaningless fuzz: 정상 마모에서 발생하는 미세 섬유</t>
    </r>
    <r>
      <rPr>
        <sz val="3"/>
        <color theme="1"/>
        <rFont val="MS Gothic"/>
        <family val="3"/>
        <charset val="128"/>
      </rPr>
      <t>状</t>
    </r>
    <r>
      <rPr>
        <sz val="3"/>
        <color theme="1"/>
        <rFont val="Pretendard SemiBold"/>
        <family val="3"/>
        <charset val="129"/>
      </rPr>
      <t xml:space="preserve"> 금속으로 거짓경보 원천—필터링 대상
.파라미터관리
-감지 임계: 크기 ≥ ___ μm(소/대/총량), 개수 ≥ ___ ea, rate ≥ ___ ea/h | 알람: □ EHMS 원격 □ 조종실 경고 □ 현시
-구성: 마스터 칩 디텍터 1개 + 라인별 플러그 N=___ | burn-off □ 적용(주기/온도 ___) | 연속성 체크 □
-정비: 탈거/세척/복원 ≤ ___ min, 셀프클로징 □, 누유 0 mL, 오염 유입 0 | 위치 최적화 후보 A/B/C(도면 ID ___)</t>
    </r>
    <phoneticPr fontId="35" type="noConversion"/>
  </si>
  <si>
    <t>ㆍI/A: 감지 한계(크기/개수/rate)·알람/경고 로직·burn-off 유무·연속성 점검·탈거/누유 방지 구조를 Spec/ICD로 수치화
ㆍD: 장착 상태에서 의도적 입자 주입/라인별 격리 데모, 원격/현시 표시·셀프클로징·무오염 탈거 시연
ㆍT: 벤치(감도/선택성) + 엔진(자격/내구)에서 데이터–필터–분해검사 상관, 위치 A/B 비교로 최적 설치 검증
- 단, D,T는 IFR이후 수행하는 방향으로 추진하되, 구성품시험은 D에 준하는 수준으로 수행</t>
    <phoneticPr fontId="35" type="noConversion"/>
  </si>
  <si>
    <t>ㆍ대형/중량 입자는 부유하지 않아 스펙트럼 분석으로는 미탐 → ODM이 유일한 조기 경보 수단이 될 수 있음
ㆍ조기 탐지로 치명 손상 전 예방 정비 가능 → 가용도↑/손실↓
ㆍ정비 접근·누유 방지·연속성 점검은 현장 반복 사용성을 좌우</t>
    <phoneticPr fontId="35" type="noConversion"/>
  </si>
  <si>
    <t>ㆍ마스터+분기(라인별) 감시 병행, 자기형(chip) 기본 + 필요 시 인디케이팅/전자식 병합
ㆍ거짓경보 억제 로직(burn-off, 히스테리시스, 시간 필터, rate 기반)과 임계 재설정 절차를 규정
ㆍ탈거/세척/복원 절차에서 셀프클로징/배리어로 누유·오염 유입 방지, EHMS 연동 시 원격 표시 포함</t>
    <phoneticPr fontId="35" type="noConversion"/>
  </si>
  <si>
    <t>ㆍ스펙트럼 분석으로 미탐되던 고장을 ODM이 탐지한 사례 다수(대형 입자)
ㆍ위치 선정 미흡 시 효과 저조 → 벤치만으로 적합성 판단 불가, 실엔진 설치 검증이 결정적
ㆍCockpit 경보 fuzz로 미션 중단 다발 → 거짓경보 저감 설계(burn-off·로직)로 개선 필요</t>
    <phoneticPr fontId="35" type="noConversion"/>
  </si>
  <si>
    <t>ㆍ브리더는 베어링/기어박스 과압 방지용 배기로, 동반 오일 미스트의 위생·정비 영향을 통제
-승인된 지상정비 출력에서 브리더 배기가 지상취급/정비 활동을 방해하지 않을 것(장비·인원 주위)
-배기 포트는 역류·유입(비·분진·이물)을 운용/비운용 모두에서 차단하도록 설계
-Breather mist: 브리더 배기 중 포함된 오일 에어로졸/입자
ㆍICD는 미스트가 기체 표면 젖음/오염에 미치는 영향(허용 범위·영역)을 정의
-허용 시 오일 미스트 농도 ≤ ICD 한계 및 OSHA/ACGIH TLV 5 mg/m(8 h)를 초과하지 않을 것
-TLV (ACGIH): 8-시간 평균 노출 한계(5 mg/m³)—지상정비 인원 보호 기준
-Back-ingress prevention: 운용·정지 시 비/먼지/파편의 시스템 내 역류 차단 기능
ㆍ엔진이 외부 배기 미사용이면 본 요구는 삭제 가능(내부 재처리 설계 시)
.파라미터관리
-ICD 한계: 배기구 반경 ___ m 내 ≤ ___ mg/m³, 작업면 높이 ___ m에서 ≤ ___ mg/m³
-제어수단: □ 세퍼레이터 □ 코알레서 □ 버너 □ 리턴라인 | 포트 방수/방진 등급 ___, 메쉬 ___ μm
-검증 포인트: 출력 프로파일 ___, 풍속 ___ m/s, 온도 ___ °C, 측정법 □ 중량 □ 광산란, 평가 기준 □ TWA □ STEL</t>
    <phoneticPr fontId="35" type="noConversion"/>
  </si>
  <si>
    <t>ㆍI/A: 미스트 한계(농도·면적·시간), 포트 위치/방향, 유입 차단·세퍼레이터 사양을 Spec/ICD로 수치화
ㆍD: 지정 출력에서 정비 시나리오 수행(누출·슬립·시인성·장비 오염 평가), 유량 변화/바람 방향 변동 데모
ㆍT: 현장 농도 측정(중량법/광학법)으로 TLV/ICD 준수 입증, 포트 유입 차단 기능 시험(분진/비/정지 상태)
- 단, D,T는 IFR이후 수행하는 방향으로 추진하되, 구성품시험은 D에 준하는 수준으로 수행</t>
    <phoneticPr fontId="35" type="noConversion"/>
  </si>
  <si>
    <t>ㆍ과다 미스트는 정비 방해·안전사고(미끄럼)·복장 오염 및 환경/보건 리스크 야기
ㆍ브리더는 필연적이므로 배출량 제한+경로 제어로 현장 운용성 확보가 필수
ㆍ명확한 한계값 규정이 재설계/비용 증가를 예방</t>
    <phoneticPr fontId="35" type="noConversion"/>
  </si>
  <si>
    <t>ㆍ배출 최소화: 인터샤프트 씰/차압 관리, 에어-오일 세퍼레이터/코알레서/리턴 라인 적용
ㆍ배기 위치/방향: 핫 섹션/정비구역 회피, 지상풍 영향 고려, 유입 방지(후드/웨더캡/메쉬) 포함
ㆍ측정/판정: TWA(8 h) 기준 + 단시간(15 min) 관리값, 현장 샘플링(등속흡입·광산란/중량법) 절차 명시</t>
    <phoneticPr fontId="35" type="noConversion"/>
  </si>
  <si>
    <t>ㆍ역회전(카운터 로테이팅) 설계의 인터샤프트 씰 누설↑ → 브리더 유량·미스트↑로 광범위 오염 사례
ㆍ소모율 기준 충족과 미스트 허용은 별개—소량이어도 입자 미세면 현장문제 발생
ㆍ요구 부재 시 정부 비용으로 베어링 캐비티 재설계 사례 → 사전 한계/ICD 규정 중요</t>
    <phoneticPr fontId="35" type="noConversion"/>
  </si>
  <si>
    <t>ㆍ엔진 부착 유압계통은 항공기 비행조종계·액추에이터 등에 유압을 공급하는 항공기 시스템의 일부로 간주
-구성: 펌프·조절밸브·릴리프/언로딩 장치·탱크/리저버·필터·배관·퀵디스커넥트·블리드/에어 제거 장치 등
-유압유는 MIL-PRF-83282 또는 엔진 연료·윤활유 등으로 할 수 있으며, 군수지원·안전 요구를 만족해야함
-Hydraulic fluid(a): 사용 유체 규격(예: MIL-PRF-83282, MIL-PRF-5606, 연료, 오일 등)과 온도/점도 범위를 포함
-엔진 부착 유압계통에 사용하는 작동유 종류(a)를 명시하고, 해당 유체로 운용 시 본 규격 요구를 모두 만족해야함
-유압계통은 최대 작업압력의 (b)배 이상을 견디는 proof 압력에서 파열·영구변형·누유가 없어야함
-Proof pressure (b×Pmax): 최대 작업압력의 (b)배에서 누유·영구 변형·크랙 없이 견뎌야 하는 구조 시험 압력
ㆍ연료계와 일체형 유압계통(예: 연료유를 유압 매체로 사용)인 경우, 3.7.3(연료계통) 요구를 함께 충족해야함
-Integral to fuel system: 제어·구동 유압을 연료유 압력으로 대신하는 구조로, 연료계 요구(3.7.3)와 직결
-유압유(a)·작동압/온도·proof 계수(b)·언로딩/릴리프 로직·에어 제거·누유 허용 기준 필요</t>
    <phoneticPr fontId="35" type="noConversion"/>
  </si>
  <si>
    <r>
      <t xml:space="preserve">ㆍI/A: 유압유(a)·작동압/온도·proof 계수(b)·언로딩/릴리프 로직·에어 제거·누유 허용 기준을 Spec/ICD·해석으로 정량화
-해석+시스템 리그/엔진 장착 시험으로 proof 압력(최대 작업압×(b))을 1~2회, 각 2분 유지 후 누유·변형·파손 </t>
    </r>
    <r>
      <rPr>
        <sz val="3"/>
        <color theme="1"/>
        <rFont val="맑은 고딕"/>
        <family val="3"/>
        <charset val="129"/>
      </rPr>
      <t>無</t>
    </r>
    <r>
      <rPr>
        <sz val="3"/>
        <color theme="1"/>
        <rFont val="Pretendard SemiBold"/>
        <family val="3"/>
        <charset val="129"/>
      </rPr>
      <t xml:space="preserve"> 확인
ㆍD: 리그 또는 엔진 장착 상태에서 압력 상승/해제·언로딩/릴리프 작동·퀵디스커넥트 분리 시 누유 방지 시연
-기능시험: §3.4.1.2 환경(온도·진동·비행 조건) 하에서 유압계 성능/한계(압력 유지·응답·언로딩·릴리프 작동) 시연, SL·고도모사 모두 수행
-형상·배치 검사: 도면과 규격 비교로 배관·조인트·퀵디스커넥트·탱크/리저버·필터 등의 누유 방지·정비성을 확인
ㆍT: 고마하/저고도·고온 환경, 진동·사이클 시험에서 압력 유지·누유 </t>
    </r>
    <r>
      <rPr>
        <sz val="3"/>
        <color theme="1"/>
        <rFont val="맑은 고딕"/>
        <family val="3"/>
        <charset val="129"/>
      </rPr>
      <t>無</t>
    </r>
    <r>
      <rPr>
        <sz val="3"/>
        <color theme="1"/>
        <rFont val="Pretendard SemiBold"/>
        <family val="3"/>
        <charset val="129"/>
      </rPr>
      <t>·작동 응답을 검증하고, 탱크/리저버에는 별도 피로/프루프 시험을 수행
- 단, D,T는 IFR이후 수행하는 방향으로 추진하되, 구성품시험은 D에 준하는 수준으로 수행</t>
    </r>
    <phoneticPr fontId="35" type="noConversion"/>
  </si>
  <si>
    <t>ㆍ유압유 종류 명시는 화재/독성/재질호환/군수지원성을 정의하는 출발점
ㆍproof 압력 요구는 운용 중 압력 스파이크·오작동에도 시스템이 파열 없이 버티도록 하기 위함
ㆍ유압계 누유는 연료·오일과 결합해 화재/슬립/환경 문제를 일으킬 수 있어 초기 설계에서 강하게 통제해야함</t>
    <phoneticPr fontId="35" type="noConversion"/>
  </si>
  <si>
    <t>ㆍ(a) 유압유는 MIL-PRF-83282 등 표준 유체를 우선 고려하고, 연료/오일을 사용 시 3.7.3(연료)·3.7.8(윤활)과의 상호영향을 검토
ㆍ(b) proof 계수는 최소 1.5 이상으로 정하고, 펌프에는 압력조절+독립 초과압 제한 및 언로딩 기능을 포함하여 발열·동력손실을 저감
ㆍ별도 유압계통이 없다면 본 절은 “Not Applicable”로 대체하되, 연료계/윤활계를 통한 유압 기능이 있다면 관련 절에서 요구를 반영</t>
    <phoneticPr fontId="35" type="noConversion"/>
  </si>
  <si>
    <t>ㆍ유압 호스/조인트 누유로 엔진 주변 화재 발생 사례 → 엔진 분리면에 자가차단 커플링, 고온부와의 물리적 분리 배치로 개선
ㆍ과거 공기 제거(bleed) 미흡으로 시동 초기 압력 지연/캐비테이션 발생 → 모든 펌프에 자동 블리드 밸브 추가
ㆍ지나치게 촘촘한 유압 필터 + 저온 점도 상승으로 바이패스 상시 개방 사례 
→ 필터 여과도·용량을 임무 환경(저온 점도) 기준으로 최적화</t>
    <phoneticPr fontId="35" type="noConversion"/>
  </si>
  <si>
    <t>ㆍUsing Service가 요구하는 경우, 지상 유압시험용 프로비저닝(테스트 포트/라인/커플링)을 제공해야함
-Ground test provisions: 엔진 장착 상태에서 유압계 성능·누설·압력 확인/트러블슈팅을 위한 전용 포트/커플링/라인
-지상에서 유압계 압력·유량·누설·응답을 측정할 수 있게 하는 포트/커플링/라인을 의미
-지상시험(압력·누설·구동 시험) 중 유체 누설이 발생해서는 안됨
-지상시험 포트·커플링은 사용하지 않을 때 완전 밀봉 필수(캡/셀프실링)
-Self-sealing coupling: 분리 시 자동으로 유로를 폐쇄해 누유·공기유입을 방지하는 커플링
-Sealing cap: 사용하지 않을 때 포트/커플링에 체결되는 밀봉용 캡(스필·오염/수분 유입 방지)
ㆍ요구 위치·인터페이스는 설치도/ICD에 명시, 지상지원장비(GSE)와 호환
-유지보수·신뢰성·정비성(R&amp;M) 항목으로도 포함 가능(3.5연계)</t>
    <phoneticPr fontId="35" type="noConversion"/>
  </si>
  <si>
    <t>ㆍI/A: 지상시험 항목(압력, 유량, 누설, 응답), 포트 위치/형상, 커플링 규격, 캡/셀프실링 요구를 Spec/ICD/도면으로 정량화
-해석/도면검토로 포트 위치·유로·캡/셀프실링 구조·GSE 인터페이스가 요구와 일치하는지 확인
ㆍD: GSE를 연결해 실제 압력/누설 시험 및 트러블슈팅 시나리오를 시연(접근성·조작·스필 여부 확인), R&amp;M 데모와 연계
-정비성 시연(maintainability demo)와 병행해 접근성·조작 용이성·GSE 연결을 실연
-실제 지상시험 중 압력 가압 상태에서 누설 0 및 분리/연결 시 스필 없음을 확인
ㆍT: 다양한 자세·온도에서 연결/분리 반복 시험을 수행해 누유/공기 유입 없음, 캡/커플링의 내구·진동 내성을 검증
- 단, D,T는 IFR이후 수행하는 방향으로 추진하되, 구성품시험은 D에 준하는 수준으로 수행</t>
    <phoneticPr fontId="35" type="noConversion"/>
  </si>
  <si>
    <t>ㆍ지상 유압시험 포인트는 고장 진단·검증·정비시간 단축을 위한 핵심 수단
ㆍ누설 없는 시험은 화재·슬립·환경오염 등의 안전·위생 리스크 저감 가능
ㆍ엔진 교체/분리/재장착 이후 계통 건전성 확인을 간편히 할 수 있어 가용도↑</t>
    <phoneticPr fontId="35" type="noConversion"/>
  </si>
  <si>
    <t>ㆍ필요 시 본 절을 R&amp;M 항목(정비/트러블슈팅 기능 리스트)로 옮겨 구조를 단순화 가능
ㆍ지상시험 포트는 쉽게 접근 가능하고, 표준 GSE 커플링과 호환되어야 하며, 설치도에 명확히 표기 필요
ㆍ셀프실링 커플링 + 씰링 캡 조합을 기본으로 하고, 셀프실링 미적용 시 캡으로 완전 밀봉하도록 설계</t>
    <phoneticPr fontId="35" type="noConversion"/>
  </si>
  <si>
    <t>ㆍ셀프실링 커플링을 적용하지 않은 일부 사례에서 캡 미적용·체결 불량으로 가연성 유체 스필 발생
ㆍ불편한 위치/구조의 시험 포트는 실제 정비자가 사용을 꺼려 트러블슈팅 기능이 사문화된 사례
ㆍ적절한 표준 커넥터/색인·표식을 사용하면 GSE 연결 오류·지연이 감소</t>
    <phoneticPr fontId="35" type="noConversion"/>
  </si>
  <si>
    <t>ㆍ갇힌(Entrapped) 공기로 인해 유압계 압력이 지속적으로 저하되거나 성능이 열화되어서는 안됨
-“Entrapped air”는 유압 회로 내에 남아 있는 자유 공기/기포로, 압축성 증가·캐비테이션·응답 지연을 유발
-즉, 유압유와 함께 회로 내에 갇혀 있는 공기/기포(압축성·캐비테이션 원인)
-공기 제거 장치: 자동 에어 스캐빈지(블리드 밸브·고점 포트·에어제거 통로)+정비용 수동 블리드 포트 포함
-즉, 공기를 상부로 모아 배출하는 밸브·통로·챔버 등 자동/수동 블리드 장치
ㆍ시스템에는 중요 지점(critical points)에서 공기를 블리드(bleed)할 수 있는 전용 장치가 있어야함(정비 목적)
-크리티컬 포인트: 필터 위치(정기 교환 지점), 펌프 인입부, 고점 챔버 등 공기가 쌓이기 쉬운 부분
-Critical points: 필터·펌프 인입·고점 챔버 등, 공기 축적 시 압·유량에 직접 영향을 주는 지점
-단, 유압유로 연료/오일을 사용하는 경우(사실상 공기 혼입 영향이 작음)에는 이 요구를 삭제 가능</t>
    <phoneticPr fontId="35" type="noConversion"/>
  </si>
  <si>
    <t>ㆍI/A: 유압회로·중요 지점·블리드 장치·공기 제거 시간/허용 공기량을 해석·도면/ICD·정비절차로 명문화
ㆍD: 리그/엔진에서 공기 혼입→자연/자동 제거 후 성능 회복 및 정비용 수동 블리드 시연(라인 분리 금지 확인)
-시스템 리그 시험에서 의도적으로 공기를 혼입시킨 후 압력 안정/성능 회복 여부와 자동 공기 제거 시간 확인
-엔진 장착 시험(SL/고도모사)에서 시동/재시동/자세 변화 후 유압 응답·캐비테이션·압력 드롭 부재를 검증
-정비 절차에 따라 블리드 포트 사용 시나리오를 시연해, 라인 분리 없이 안전·통제된 에어 제거 가능 여부를 확인
ㆍT: SL/고도 시험에서 시동/재시동·자세·온도 변화를 주며 압력 유지·응답·무캐비테이션을 계측, 에어 제거 기능이 요구 수준을 만족하는지 검증
- 단, D,T는 IFR이후 수행하는 방향으로 추진하되, 구성품시험은 D에 준하는 수준으로 수행, 해당 항목은 해석보다 구성품시험 이상으로 검증 필요</t>
    <phoneticPr fontId="35" type="noConversion"/>
  </si>
  <si>
    <t>ㆍ갇힌 공기는 유압을 스폰지처럼 만들어 압력 형성 지연·밸브 오동작·캐비테이션을 야기
ㆍ라인 분리/피팅 풀기로 에어를 빼는 방식은 누유·오염·재공기 혼입 위험이 큼
ㆍ시스템 설계 단계에서 자동/수동 공기 제거 기능을 확보해야, 운용·정비 시 실패 모드와 인력 부담을 줄일 수 있음</t>
    <phoneticPr fontId="35" type="noConversion"/>
  </si>
  <si>
    <t>ㆍ연료나 오일을 유압 매체로 사용하는 경우(실질적으로 공기가 문제되지 않는 회로)는 요구 삭제 가능
ㆍ라인 분리/피팅 풀기는 블리드 수단으로 금지하고, 전용 블리드 포트·에어트랩/챔버를 설계
ㆍ필터 교체 시 자동·수동으로 필터 하우징 내 공기 제거가 가능하도록 구조/절차(정비 매뉴얼)를 정의</t>
    <phoneticPr fontId="35" type="noConversion"/>
  </si>
  <si>
    <t>ㆍ초기에는 경량화를 위해 에어 제거 장치를 생략했다가, 실 서비스에서 압력 지연/반복 수동 퍼지 문제로 결국 장치 추가
ㆍ수동 퍼지만 의존한 설계는 정비자 숙련도·절차 의존도가 높아 불량 퍼지→공기 잔류 문제가 지속
ㆍ자동/수동 블리드 장치를 제대로 설계해 둔 시스템은 시동 신뢰성·정비 시간 모두 개선됨</t>
    <phoneticPr fontId="35" type="noConversion"/>
  </si>
  <si>
    <t>ㆍ필터 종류(type), 위치(location), 등급( nominal / absolute micron )을 규격에 명시하고, 필터 하우징에는 엘리먼트 탈거 시 자동 셧오프(유출 방지) 장치 반영 필수
-Hydraulic filter: 유압유 내 입자를 규정된 **미크론 등급( nominal / absolute )**으로 제거하는 요소 및 하우징
-하우징 자동 셧오프가 없으면 유출 유체가 화재·정비 난점을 초래하므로 필수 기능으로 보는 것이 바람직함
-Automatic shutoff device: 필터 엘리먼트 탈거 시 관련 유로를 자동으로 차단해 유체 배출과 공기/오염 유입을 방지하는 장치
ㆍ각 필터 엘리먼트는 접근/탈거 용이해야 함
ㆍ임박/실제 바이패스를 시각(visual) 또는 엔진 모니터링 시스템으로 표시해야함
-공급측: 펌프/밸브 등 중요 부품으로 들어가는 유체는 반드시 필터를 통과; 리턴측: 탱크·릴리프·펌프·리저버로 귀환 전 필터를 통과시키도록 라우팅
ㆍ저온 운전에서 거짓 작동이 없도록 설계하며, ΔP 한계 초과로 동작한 경우 정비(탈거/청소/교환) 전까지 fault 상태 유지해야함
-Impending / actual bypass indication: 필터 ΔP가 설정 임계에 접근(임박)·초과(실제)했음을 표시하는 현시/전자 신호; 실제 바이패스 시 유체가 필터를 우회
ㆍ필터 수명은 임박 바이패스 전 최소 (a) 시간, 임박→실제 바이패스 사이 최소 (b) 시간을 확보할 것
-특정 중요 부품 앞에 보조 필터를 둘 수 있으며, 필터 재료는 media migration(매질이행)이 없는 내성 소재를 사용해야함
-a: 필터 사용 가능 수명(정비주기 전까지)
-b: 임박경고 이후 실제로 바이패스 오픈 전까지 최소한의 추가 운용 가능 시간</t>
    <phoneticPr fontId="35" type="noConversion"/>
  </si>
  <si>
    <t>ㆍI/A: 필터 위치(공급/리턴/보조), 등급( nominal/absolute μm ) 문서화(필요파라미터 제시)
-β 값·용량·ΔP–유량 곡선·수명(a·b)·표시 방식(visual/EMS)을 규격/ICD·회로도·성능 해석으로 문서화
ㆍD: 컴포넌트 벤치테스트로 임박→바이패스 동작/표시 유지/내부 수동 리셋/저온·리플·충격 면역 시연
-추가적으로, 엘리먼트 탈거 시 자동 셧오프·배유 기능 데모 필요
ㆍT: SL/고도 내구 엔진 시험에서 필터 ΔP·임박/바이패스 발생 시점·수명(a·b)·media migration 여부를 확인
-정비성 데모(4.5.2)에서 접근/교환/배유/스필 방지 기능을 검증
- 단, D,T는 IFR이후 수행하는 방향으로 추진하되, 구성품시험은 D에 준하는 수준으로 수행, 해당 항목은 해석보다 구성품시험 이상으로 검증 필요</t>
    <phoneticPr fontId="35" type="noConversion"/>
  </si>
  <si>
    <t>ㆍ필터는 유압 펌프, 씰, 밸브 등 중요 구성품을 입자 오염으로부터 보호하는 핵심 장치
ㆍ유압계는 심한 마모·부분 고장·진행성 고장 상태에서도 기능을 유지해야 하므로 여유 있는 필터 성능/용량이 필요
ㆍ임박/실제 바이패스 표시와 자동 셧오프는 화재 위험(누출)과 정비 실수(필터 포기·미교환)를 줄여 신뢰성과 정비성을 향상</t>
    <phoneticPr fontId="35" type="noConversion"/>
  </si>
  <si>
    <t>ㆍ(a) 시간값은 정비정책(교환주기)에 따라 결정(e.g.3 μm 등급에서 500 h 임박 경보), (b)는 두 번의 전투임무를 마칠 수 있을 정도로 설정
ㆍ유압 유체로 연료·오일을 사용하는 경우, 이 절 대신 해당 유체의 필터 요구(3.7.3, 3.7.8)를 참조해 필터 요구를 통합 가능
ㆍ필터 하우징은 자동 셧오프+배유 기능을 갖춰야함
-엘리먼트 탈거 시 오염 없는 교환이 가능하도록 하고, ΔP 팝업 장치는 내부 수동 리셋으로만 복귀되게 설정</t>
    <phoneticPr fontId="35" type="noConversion"/>
  </si>
  <si>
    <t>ㆍ유압시스템 간 필터 체계의 과도한 다양성/비표준은 정비 및 군수(스페어/교육) 문제를 야기
ㆍ스캐빈지·리턴 계통에 필터/스크린이 없던 설계에서 파손된 탭·와셔 등이 펌프 손상을 일으킨 사례 존재
ㆍ현장 운용 중 압력 리플·착함 충격·저온 시동으로 인한 임박/바이패스 거짓 지시가 다수 발생
→ ΔP 대역·충격/저온 면역 설계가 필요</t>
    <phoneticPr fontId="35" type="noConversion"/>
  </si>
  <si>
    <t>ㆍ배기 노즐 시스템 고장이 발생해도 안전 귀환(safe return)이 가능해야함
-가변/제어식 노즐의 구동 메커니즘 단일 부품 고장으로 비대칭 추력이 발생해서는 안 되며, 그때의 운용 모드/한계를 규격에 명시해야함
-엔진 정지 상태에서도 지상에서 노즐 작동·체크·리깅·조정이 가능해야 하며, 노즐/특수 구성품/재료/코팅에 대한 수명 요구를 규정해야함
-배기 노즐 시스템은 추력·연소/후연 특성·냉각·내부 드래그·방사 서명 등 엔진·기체 성능에 큰 영향을 주는 구성품
-Exhaust nozzle system: 노즐 구조·덕트·구동 액추에이터·센서·냉각·코팅·LO 특성 등을 포함한 전체 배기 시스템
-Controllable / variable nozzle: 추력·후연·벡터 조종을 위해 폐단면/편향 상태를 바꿀 수 있는 노즐
ㆍ노즐 구동(유압/전기/기계), 액추에이터 수·배치·센서(위치 피드백), fail-safe/비상 모드, 벡터링 범위·속도, 노즐 형상/변형, RAM 코팅·LO 특성 등을 포함
-노즐 수명은 핫파트 수명 이상이 되도록 설계하고, I/O 레벨 수리 가능 및 예비/보관 수명(≥10년)을 고려 필요
-Fail-safe mode: 노즐/구동 고장 시 안전한 추력/엔진 조건(예: 특정 개방도·편향각)으로 자동 전환되는 상태</t>
    <phoneticPr fontId="35" type="noConversion"/>
  </si>
  <si>
    <r>
      <t>ㆍI/A: 노즐 성능(면적/추력/유량), fail-safe 논리, 액추에이터</t>
    </r>
    <r>
      <rPr>
        <sz val="3"/>
        <color theme="1"/>
        <rFont val="맑은 고딕"/>
        <family val="3"/>
        <charset val="129"/>
      </rPr>
      <t>冗長</t>
    </r>
    <r>
      <rPr>
        <sz val="3"/>
        <color theme="1"/>
        <rFont val="Pretendard SemiBold"/>
        <family val="3"/>
        <charset val="129"/>
      </rPr>
      <t>, 구조/냉각·코팅 수명, RCS/IR 등 설계 근거를 Spec/ICD/해석 문서로 치환
ㆍD: 지상·비행 환경에서 고장 주입(센서/액추에이터/신호 단선 등) 시 노즐이 fail-safe 모드로 전환되고, 비대칭 추력 없음을 시연
ㆍT: SL·고도·최대 ram 압력 조건에서 구조 건전성·유동 매칭·진동/마모·냉각·특수 코팅 수명을 시험하고, 필요 시 컴포넌트/노즐 시험과 결합검증
- 단, D,T는 IFR이후 수행하는 방향으로 추진하되, 구성품시험은 D에 준하는 수준으로 수행</t>
    </r>
    <phoneticPr fontId="35" type="noConversion"/>
  </si>
  <si>
    <t>ㆍ배기 노즐은 추력계수·배출계수·냉각·내부 드래그를 통해 엔진 능력과 항공기 기동/연비에 직접 영향
ㆍ노즐/액추에이터 고장은 추력손실·과부하·스톨·비대칭 추력을 유발할 수 있으므로 fail-safe 동작이 필수
ㆍ노즐 수명·수리성 확보는 정비 횟수·비용·지연을 줄이고, 고가 코팅·특수 구조의 실제 운용성을 보장</t>
    <phoneticPr fontId="35" type="noConversion"/>
  </si>
  <si>
    <t>ㆍ기체 제작사가 노즐을 제공할 경우, 성능·하중·형상·부착/탈거 방법 등 인터페이스를 명확히 정의
ㆍ설계 시 고려: 구동 방식·액추에이터 수·센싱 파라미터·피드백·냉각 방식·fail-safe 특성·벡터 범위·형상 변형·외형/LO 특성
ㆍ임무 요구에 따라 추력-중량-드래그-안정성-서명(IR/UV/RCS/연기)-냉각 등의 trade-off를 수행해야함
ㆍ엔진-노즐 유동 매칭(스톨 마진)을 확실히 검토해야함</t>
    <phoneticPr fontId="35" type="noConversion"/>
  </si>
  <si>
    <t>ㆍAMT(지상 가속임무시험)만으로는 노즐 진동·마모 모드를 다 못 잡음
→ 비행시험에서 예기치 못한 진동·마모 문제 다수 발견되는 사례 있음
ㆍ고비대칭/비원형 노즐은 면적 변형이 크며, 엔진 유동 매칭·성능·스톨마진에 영향
→ 구조·유동의 결합 검토 필요함
ㆍ고급 코팅·특수 구조 노즐은 마모/수리·대체 설계 등을 함께 준비해야 하며, 일부 설계는 결국 프로그램에서 폐기된 사례 있음
ㆍ노즐 시스템은 분석·부품검사·시험으로 성능·구조·fail-safe·수명 요구를 만족함을 입증해야함
ㆍ액추에이터 스크레이퍼/씰 설계는 엔진 생성 파편·그을음·온도 조건에서 마모/누설 없이 작동함을 시험으로 검증해야함
ㆍ최대 ram 압력 조건에서 구조 강도/변형을 확인하고, SL·고도 비행조건에서 노즐 안정·진동·유동 매칭을 엔진 시험으로 검증</t>
    <phoneticPr fontId="35" type="noConversion"/>
  </si>
  <si>
    <t>ㆍ엔진은 외부 유동장에 의해 노즐·배기계에 작용하는 모든 공기압 하중(비대칭 포함) 하에서도 본 규격 요구를 충족해야함
-Exhaust nozzle external asymmetrical air pressure loads:기체 외부 유동장(날개·동체·장착 위치 영향)에 의해 노즐 외면/내부에 비대칭으로 작용하는 압력분포
ㆍ허용 가능한 비대칭/대칭 외부 압력 하중 한계(조건: 고도 H, Mach, α/β별 압력 분포·ΔP값)는 ICD 또는 규격 본문에 수치로 정의해야함
-주 대상은 가변/벡터링 노즐(특히 고종횡비·비원형 노즐)로, 외압에 의한 면적/형상 변형이 성능·유동 매칭에 큰 영향을 줄 수 있음
-항공기 기동에 의한 영향도 일부 해당되므로, 이 부분을 적용하는 여부는 분석을 통해 결정 피룡
ㆍ이러한 하중 하에서도 영구 변형·구조 손상·유동 매칭/성능/스톨 마진이 허용 범위를 벗어나지 않아야함
-한계 정보는 엔진–항공기 조합마다 정의
-유동·구조 연성 설계의 주요 입력 값으로 사용</t>
    <phoneticPr fontId="35" type="noConversion"/>
  </si>
  <si>
    <t xml:space="preserve">ㆍI/A: 항공기 제공 압력장 데이터(또는 설계 케이스)를 바탕으로 노즐/덕트 구조·유동 해석(FEA+CFD)을 수행, 결과분석
-허용 변형·하중·성능 저하 한계를 Spec/ICD로 치환
ㆍD: 지상에서 모의 비대칭 하중(압력 패널·구조 하중 인가)을 적용해 노즐 구동/Fail-safe/면적 변형/유동 매칭 특성 데모
ㆍT: 엔진/기체 결합 상태로 SL·고도·최대 ram 압력·양/음 받음각 등에서 노즐 진동/변형/추력·SFC/스톨 마진 변화를 계측, 설계 해석과 상관 검증
- 단, D,T는 IFR이후 수행하는 방향으로 추진하되, 구성품시험은 D에 준하는 수준으로 수행
-시제개발엔진의 특성을 반영하여 수정적용할 필요 있는데, 현재 상태에서는 I/A 제공이 우선하고, 그 이후에 수정 필요
</t>
    <phoneticPr fontId="35" type="noConversion"/>
  </si>
  <si>
    <t>ㆍ고도/고속/고받음각 비행에서 노즐에는 비대칭 외압·간섭 유동이 걸려 구조/구동계 스트레스와 면적 변형을 유발
ㆍ면적/형상 변형은 추력·SFC·엔진–노즐 유동 매칭·스톨 마진·열 부하에 직접적인 영향
ㆍ항공기 제작사가 제공하는 외부 유동장 데이터와 엔진 설계를 초기에 연동해야 재설계·성능 저하를 피할 수 있음</t>
    <phoneticPr fontId="35" type="noConversion"/>
  </si>
  <si>
    <t>ㆍ항공기 제작사는 고도·Mach·α/β별 노즐 외부 압력분포/하중장을 엔진사에 제공
ㆍ엔진사는 이를 토대로 강도·변형·제어 범위를 설계해야함
ㆍ한계(pressures / ΔP / 모멘트)는 ICD에 곡면 분포 또는 등가 하중 케이스로 정의
ㆍ초기에는 CFD/풍동 기반, 이후 비행시험 데이터로 보정
ㆍ비행시험 또는 고고도 시험(Alt. facility)에서 실제 비대칭 압력 상황에서의 노즐 작동 편차/진동/변형을 확인하는 절차를 설계</t>
    <phoneticPr fontId="35" type="noConversion"/>
  </si>
  <si>
    <t>ㆍ기체–엔진 간 유동 데이터 공유가 늦어져 노즐 설계 변경이 뒤늦게 발생한 사례
→ 설계 초기에 엔진사가 기체 공력 설계에 동참하는 절차가 표준화되었음
ㆍ지상시험만으로 검증했다가 날개 간섭 유동으로 비행 중 노즐 작동 편차 발생
→ 실제 비행 조건에 가까운 시험(고공 챔버·비행시험)이 필수
ㆍ한 프로그램에서는 노즐 면적 변형으로 저고도에서 SFC 약 5% 악화(엔진 다운매칭)
→ 다른 프로그램에서는 후방 표면 과열로 노즐 재형상 필요했던 사례가 있었음</t>
    <phoneticPr fontId="35" type="noConversion"/>
  </si>
  <si>
    <t>ㆍ터보프롭 엔진에서, 항공기가 주기(parked) 상태이고 엔진이 정지되었을 때, 브레이크는 (a)에 해당하는 회전(e.g.프로펠러 회전)을 방지해야함
-Brake system(Prop Brake)는 터보프롭/회전 로터 계열 엔진에서 엔진 정지 후 의도치 않은 풍차(autorotation)를 막기 위해 출력축·프로펠러·파워터빈을 제동하는 장치
-Autorotation: 엔진 정지 상태에서 외부 바람/속도에 의해 프로펠러·로터가 수동적으로 회전하는 현상
-Brake system: 기계적/유압적/전기적 수단을 통해 출력축·프로펠러·파워터빈 회전을 정지 또는 허용 범위 이하로 제한하는 장치
-Free turbine engine: 가스 발생기와 파워터빈이 기계적으로 분리되어, 파워터빈만 독립적으로 회전하는 구조
  -파워터빈 제동이 필요할 수 있음
ㆍ이는 어느 방향에서든 풍속 (b) (하부 프로펠러 면적의 절반이 블랭크된 조건)까지 유효해야함
ㆍ비행 중이면서 임무상 필요할 경우, 브레이크는 비행 중 해제 가능해야 하며, 규격에 정의된 (c) 조건(e.g.특정 비행속도/상태)에서 회전을 방지해야함
-브레이크는 지상 주기 시 안전(정비자·지상요원, 기어·펌프 마모 방지)와, 필요 시 비행 중 임무성능을 지원
ㆍ프리 터빈 엔진의 경우, Using Service가 요구하면 브레이크는 최고 지상 아이들 엔진 토크에서 파워 터빈 회전을 방지할 수 있어야함
이 요구는 엔진–프로펠러 직결 설계에 적용되며, 프로펠러/로터가 엔진과 디커플링될 수 있는 설계(또는 터보팬/제트·터보샤프트 등)에는 “Not Applicable”로 대체 가능</t>
    <phoneticPr fontId="35" type="noConversion"/>
  </si>
  <si>
    <t>ㆍ지상시험: 규격에서 요구하는 풍속 (b)를 어느 방향에서도 재현(e.g. 풍동/노즐)하고, 엔진 정지 상태에서 브레이크 작동 시 프로펠러/로터 회전이 
규정 이하임을 확인
ㆍ시제개발엔진의 경우, 지상시험을 셀 안에서 대부분 수행하게 되지만, IFR에 준하는 경우 야외에서 해당 부분을 만족하는지 확인할 필요 있음</t>
    <phoneticPr fontId="35" type="noConversion"/>
  </si>
  <si>
    <t>ㆍ엔진 정지 후 윤활이 부족한 상태에서 출력축/기어/베어링이 돌면 마모·손상·씰 파손·누유를 유발할 수 있음
ㆍ주기 중 프로펠러·로터가 돌아가면 지상작업자 안전 위험 및 예기치 않은 계통 작동 가능성(e.g.펌프 구동)이 존재
ㆍ충분한 제동력으로 풍향/풍속과 무관하게 오토로테이션 방지가 되어야만, 다양한 환경(강풍·함상 등)에서 안전과 내구성이 확보</t>
    <phoneticPr fontId="35" type="noConversion"/>
  </si>
  <si>
    <t>ㆍ(a): 엔진사가 엔진+기어박스+프로펠러 조합 책임을 지는 경우 “rotation of the propeller”로 채우기
ㆍ엔진이 프로펠러를 통제하지 못하면 해당 문장을 삭제
-브레이크 작동 타이밍: 엔진 RPM이 X 이하일 때 자동/수동 체결, 비행 중 체결/해제 로직은 항공기 조종 매뉴얼과 연계
ㆍ(b): 풍속 값은 항공기 규격서(air vehicle spec)에서 요구하는 지상 주기 환경 값과 동일하게 설정
-강풍/순·역방향 바람 모두에서 1 rpm 이하, 또는 완전 정지 등 정량 기준을 설정해 성능을 수치화
ㆍ(c): 비행 중 브레이크 사용이 필요한 경우, 항공기 요구(§3.12.2)에 정의된 비행 속도/조건을 입력
-그렇지 않은 경우(또는 프로펠러 디커플링 가능, 터보팬/제트/터보샤프트 등)엔 전체 요구를 “Not Applicable”로 대체
-헬리콥터/프리터빈 계열은 메인로터 고정·파워터빈 정지를 목표로 유압브레이크/기계적 디스크 브레이크/기어 고정장치 등을 조합해 설계</t>
    <phoneticPr fontId="35" type="noConversion"/>
  </si>
  <si>
    <t>ㆍ헬기에서 강풍으로 로터가 천천히 돌다가 유압펌프가 예기치 않게 구동되어 비행제어에 힘을 가해 사고가 발생한 사례 
→ 완전 고정 브레이크 요구가 표준화
ㆍ일부 초기 브레이크는 한 방향 회전에만 최적화되어 역풍 조건에서 완전히 잠기지 않는 문제가 있었음
ㆍ현재는 순·역 방향 풍차 모두에 대한 시험을 수행하고 있음
ㆍ충분한 제동력을 확보하지 못하면, “멈추는 것 같지만 천천히 계속 도는” 상태로 남아 마모 및 안전 리스크를 야기
→ 반드시 제동 여유(마진)를 확보해야 함</t>
    <phoneticPr fontId="35" type="noConversion"/>
  </si>
  <si>
    <r>
      <t>ㆍ터보샤프트·터보프롭 엔진의 경우, 엔진 고장 또는 오작동 발생 후 과도한 역토크(negative torque) 를 자동으로 방지하는 수단이 제공되어야함
-Negative torque limiter(NTL)는 고장 엔진이 프로펠러/로터를 통해 다른 엔진·드라이브라인에 역부하를 주지 않도록 
 자동으로 피치 Feather, 클러치 분리, 출력축 해제 등을 수행하는 기능
-Negative torque: 프로펠러/로터/기어박스가 엔진을 끌어당겨 감속시키는 방향의 토크(기계적 브레이킹 방향)
-Negative torque limiter: 역토크가 설정된 임계치를 넘을 때 피치 Feather, 클러치 분리, 출력축 해제 등으로 역부하를 자동 제한하는 기능/장치
ㆍ고장 상황이 제거되고 다시 양(</t>
    </r>
    <r>
      <rPr>
        <sz val="3"/>
        <color theme="1"/>
        <rFont val="맑은 고딕"/>
        <family val="3"/>
        <charset val="129"/>
      </rPr>
      <t>正</t>
    </r>
    <r>
      <rPr>
        <sz val="3"/>
        <color theme="1"/>
        <rFont val="Pretendard SemiBold"/>
        <family val="3"/>
        <charset val="129"/>
      </rPr>
      <t>) 토크가 요구되면, 추진계는 자동으로 정상 운전 상태로 복귀해야함
ㆍ오버러닝 클러치 등으로 역토크가 발생할 수 없는 구조이거나, 시스템이 역토크 생성 능력이 없는 경우에는 본 요구는 “Not Applicable”로 대체할 수 있음
-적용 대상: 다발 터보프롭/터보샤프트, 또는 단일 엔진 내 다중 출력단(파워섹션) 보유 구조 등, 역토크에 의해 정상 계통에 부하가 전이될 수 있는 시스템
-오버러닝 클러치가 이미 완전한 역토크 차단을 보장하거나, 구조상 NTL이 불필요한 시스템에는 적용 제외
-Overrunning clutch: 구동 방향 토크만 전달하고, 역토크/역회전 시 자동으로 슬립·분리되어 역부하를 차단하는 클러치</t>
    </r>
    <phoneticPr fontId="35" type="noConversion"/>
  </si>
  <si>
    <t xml:space="preserve">ㆍI/A: 역토크 감지 방식(토크미터/스트레인게이지 등), 임계치·허용 지속시간, Feather/클러치 작동 로직 및 조종사 표시
-Spec/ICD/제어 알고리즘 문서로 정량화
ㆍD: 리그 또는 엔진 시험에서 고장 시나리오(엔진 실속/연료 차단/파워단 손실 등)를 주입하고, NTL이 정해진 토크·시간 내에 작동/정상복귀 동작 시연
ㆍT: 역토크를 명시 값보다 큰 수준(-60, -70 ft·lb 등)까지 부하하며 지속시간을 임계 미만~활성 이후까지 변화시키고, 
-response, 제한 효과, 정상 복귀 여부를 계측
-시제개발엔진의 특성을 반영하여 수정적용할 필요 있는데, 현재 상태에서는 I/A 제공이 우선하고, 그 이후에 수정 필요
</t>
    <phoneticPr fontId="35" type="noConversion"/>
  </si>
  <si>
    <t>ㆍ역토크는 기어·기어치·베어링·샤프트를 반대 방향으로 하중시켜 설계수명 단축 및 손상을 야기할 수 있음
ㆍ쌍발/다발 구성에서 고장 엔진이 정상 엔진을 “끌어당겨” RPM을 떨어뜨리면, 비상 상황에서 필요한 출력 확보가 어려워짐
ㆍNTL은 고장 엔진/파워섹션을 자동 분리·Feather하여 정상 계통을 보호하고, 기체·승무원 생존성을 높임</t>
    <phoneticPr fontId="35" type="noConversion"/>
  </si>
  <si>
    <t>ㆍ요구는 통상 “역토크가 (a)% 또는 (c) Nm 이상 감지되면 (b)초 이내 Feather/클러치 분리를 수행할 것”처럼 임계치·응답시간을 
    수치화하여 정의
ㆍ파워섹션이 둘 이상인 구조에서는, 한 섹션 고장이 다른 섹션에 역부하를 주지 않도록 각 섹션 간 오버러닝 기능/NTL을 명확히 규정
ㆍNTL 작동 시 조종사 경고/상태 표시(e.g. “ENG SEP / FEATHER ACTIVE”)를 요구하고, 비행 매뉴얼에 절차/점검 항목을 연결</t>
    <phoneticPr fontId="35" type="noConversion"/>
  </si>
  <si>
    <t>ㆍ쌍발 헬기에서 고장 파워섹션이 분리되지 않아, 정상 엔진까지 비상정지되는 사건 발생
-오버러닝 클러치 채택·신뢰성 강화가 표준으로 적용
ㆍ터보프롭 수송기에서 Feather 전환이 늦어 역토크로 정상 엔진 RPM 급락 사례 
→ “Feather 전환 ≤ 2 s”와 같은 응답속도 요구·정기 점검 절차가 추가됨
ㆍ초기에는 미약한 경고등만 있어 NTL 작동을 인지 못한 사례가 있었음
-지금은 CRT/ECAM/음성 등 명확한 경고가 요구</t>
    <phoneticPr fontId="35" type="noConversion"/>
  </si>
  <si>
    <t>ㆍ항공기에 장착된 상태에서 엔진이 구동하는 파워 흡수기(프로펠러, 팬, 기어박스, 트랜스미션, 리모트 팬 등) 는 본 규격의 모든 요구를 만족해야함
-Power absorber (engine supplied)란 엔진이 직접 구동하여 추진/보조 동력을 제공하는 모든 장치(프로펠러, 원격 팬, 덕트, 감속기어박스, 트랜스미션 등)를 의미
-즉, 엔진이 공급하는 기계적 출력을 받아 추진력 또는 2차 동력(팬, 펌프, 기어박스 등) 으로 사용하는 장치
-Engine supplied: 엔진이 직접 구동하는 형태로, 외부(기체)에서 독립적으로 구동하는 팬/펌프와 구분
ㆍ파워 흡수기에는 엔진 사이클에서 출력을 흡수하는 모든 원격 기구가 포함되며, 엔진은 해당 흡수기와 결합된 상태에서 안정적이고 제어 가능하게 운전되어야함
-여러 기체에 공통 적용되는 엔진은 각 파워흡수기 타입별 특성(관성, 기어비, 부하 맵) 을 고려해 제어/맵을 설계해야함
ㆍ엔진–파워흡수기 조합은 성능·진동·내구·제어 측면에서 기체 임무 요구와 호환되어야함
-엔진 인증/시험은 가능한 한 실제 또는 등가 파워 흡수기를 사용하여 수행되어야함 
-단순 다이나모로는 추력·진동·동특성을 모두 재현할 수 없음
--Equivalent load: 실제 파워 흡수기의 토크–RPM–관성·진동 특성을 모사하기 위해 시험용으로 사용하는 다이나모/수압동력흡수기</t>
    <phoneticPr fontId="35" type="noConversion"/>
  </si>
  <si>
    <t>ㆍI/A: 파워 흡수기 종류·특성(관성, 기어비, 토크 맵)·조합별 성능표를 Spec/ICD·제어맵에 반영
-다중 플랫폼 엔진의 경우 각 조합별 성능·한계를 분석
ㆍD: 실제 또는 등가 파워 흡수기를 연결한 상태에서, 정격 운전·부하 변동·비정상 시나리오를 시연
-엔진 제어·진동·성능이 요구 범위 내임을 입증
ㆍT: 전 출력·환경(SL/고도/온도)에서 엔진–흡수기 시스템 시험을 수행
-필요시 별도 구조/진동 시험으로 기어박스·축·팬/프로펠러 하중·피로를 검증
-시제개발엔진의 특성을 반영하여 수정적용할 필요 있는데, 현재 상태에서는 I/A 제공이 우선하고, 그 이후에 수정 필요</t>
    <phoneticPr fontId="35" type="noConversion"/>
  </si>
  <si>
    <t>ㆍ엔진의 실제 거동은 연결된 부하(파워 흡수기) 특성에 크게 의존하므로, 이를 고려하지 않으면 성능/안정성 검증이 부정확해짐
ㆍ파워 흡수기와의 기계적/진동적/제어적 호환성은 엔진·기체의 안전 운용과 내구 확보에 필수
ㆍ규격에서 명시적으로 파워 흡수기를 정의해야, 시험·인증 시 부적절한 대체 부하 사용을 피할 수 있음</t>
    <phoneticPr fontId="35" type="noConversion"/>
  </si>
  <si>
    <t>ㆍ규격서에 엔진이 구동하는 파워 흡수기 종류(프로펠러/팬/기어박스/발전기 등)와 주요 특성(직경, 관성모멘트, 기어비, 정격 토크/속도)를 명시
ㆍ부하 변동(피치 변경, 로터 브레이크, 클러치 동작 등) 조건에서도 엔진이 궤도이탈·스톨·비정상 진동 없이 제어 범위 내에 머물도록 요구
ㆍ다중 플랫폼 적용 시, 엔진이 각 파워흡수기 조합(프로펠러 A/B 등)에서 동일 성능 표/맵을 만족해야 함을 표/ICD에 명확히 기재</t>
    <phoneticPr fontId="35" type="noConversion"/>
  </si>
  <si>
    <t>ㆍ같은 엔진을 다른 기체(서로 다른 프로펠러)에서 사용했을 때 저속 영역 성능 편차가 발생 
→ 프로펠러 특성을 엔진 제어맵에 반영해 해결
ㆍ시험마다 흡수기를 바꿔야 했던 비효율 사례 
→ 시험계획 시 모든 흡수기 조건(관성·기어비 등) 목록화 및 가변 흡수기로 통합 시뮬레이션이 권장
ㆍ다중응용 엔진에서 흡수기 차이로 성능 편차 논란이 발생한 교훈 
→ 규격에 “엔진은 파워흡수기 A/B 모두에서 표 X 성능 만족”을 명기해 해석 상의 혼란을 방지</t>
    <phoneticPr fontId="35" type="noConversion"/>
  </si>
  <si>
    <t>ㆍ프로펠러를 Feather 상태로 운용할 때, 엔진은 어떠한 운용 한계(속도·온도·토크 등)도 초과하지 않아야함
-Feather: 엔진 고장/정지 시 프로펠러 깃각을 비행 방향과 거의 평행하게 돌려 공기저항과 토크 부하를 최소화하는 상태
-이 조항은, 프로펠러의 Feather 전환 및 Feather 상태에서 엔진이 기계적/열적/동특성 측면의 부담을 감당하고, 한계 내에서 동작하도록 요구하는 범위로 다루어야함
ㆍFeather 전환 과정에서 발생하는 추력·토션 부하 변화로 인해 엔진의 운용성·내구성이 악화되거나 손상되어서는 안됨
-Feather 명령과 연계된 엔진 정지/제어 로직(연료 차단·윤활 유지·경고 표시 등) 도 이 항목의 적용 범위에 포함
-Propeller feathering command: 조종사 또는 자동 시스템이 Feather 상태로 전환하도록 내리는 명령(수동/자동 모두 포함)
ㆍFeather 명령이 들어간 경우, 필요 시 연료 차단(엔진 정지) 는 제어계가 자동으로 수행해야 하며, 윤활유 차단은 회전이 완전히 정지된 이후에만 가능해야함
-Backside loading: Feather 전환 시, 드라이브샤프트·기어·베어링이 기존과 반대 방향 하중을 받는 상태
ㆍ기어박스는 엔진 및 항공기 운용에 필요한 모든 부속품(연료·윤활·유압 펌프, 발전기 등) 에 기계적 동력을 공급하고, 필요한 경우 시동 토크를 엔진에 전달하는 기능을 제공해야함
-Gearbox는 PTO(파워 테이크오프) 를 포함하여 엔진 축에서 여러 부속품/프로펠러/팬/트랜스미션으로 동력을 분배하는 시스템
-즉, 엔진 축에서 부속품·프로펠러·트랜스미션 등으로 동력을 분배/감속하는 기어·하우징·축·베어링·PTO 샤프트의 집합
-PTO shaft: 엔진에서 기체 측 기어박스/트랜스미션으로 토크를 전달하는 축(종종 별도 shear section 포함)
ㆍ각 패드(Pad)의 기계적 출력 특성(토크/출력/속도/모멘트/정렬 한계 등) 은 Table I에 명시해야함
-Pad: 각 부속품이 장착되는 출력 포트로, 토크/속도/모멘트/정렬 한계가 Table I에 규정된 인터페이스
-기어박스는 부속품 구동 + 엔진 시동용 토크 공급 역할까지 포함되며, 설계는 MIL-STD-1788 등 기어박스 설계 지침과 정합되어야함
ㆍ기어박스는 각 드라이브에 대해 명시된 최대 허용 토크 또는 출력을 (a)배로 동시에 부과했을 때도 정상 운전 가능해야 함
-모든 기어는 최대 허용 정상상태 속도의 (b)%까지 유해한 공진이 없어야함
-공급해야 할 기계적 출력은 정상/과도 토크, 속도, duty cycle을 포함하여 Table I에 정의된 요구를 만족하면서, 최대한 유해공진이 없어야함</t>
    <phoneticPr fontId="35" type="noConversion"/>
  </si>
  <si>
    <t>ㆍI/A: Feather 전환 시나리오(지상·비행·고장 상황)를 정의하고, 토크·추력·진동·온도·배기 재흡입 영향이 엔진 한계/피로 수명 내에 있는지 
  구조·열·제어 해석으로 입증
ㆍD: 엔진–프로펠러 결합 시험(지상 및 가능하면 비행)에서 Feather/Unfeather 전환 시나리오를 시연
-이 과정에서 한계 초과·서지·연소불안·과도 진동이 없는지 확인하고, Feather 명령에 따른 연료 차단/상태 표시를 함께 데모
ㆍT: 다양한 비행조건(속도·고도·풍향)에서 Feather 시나리오를 반복 시험
-RPM·토크·온도·진동이 규격 한계 내 유지되고, 반복 Feather에도 내구 손상·성능 저하가 허용 범위 내임을 계측·검증
-시제개발엔진의 특성을 반영하여 수정적용할 필요 있는데, 현재 상태에서는 I/A 제공이 우선하고, 그 이후에 수정 필요
ㆍI/A: 설계도·ICD·Table I·토크/속도 맵·진동/피로 해석 결과를 검토
-(a)배 토크·(b)% 속도까지 구조·공진·수명 요구를 만족하는지 분석
ㆍD: 기어박스 + 모든 부속품을 설치한 상태에서 정격/과도 부하 운전, PTO lock-up·shear section 동작, 누유/시동 토크 전달 등을 시연
ㆍT: 정적 토크 시험(1×정격 + 1.5×shear 토크), 내구 시험(duty cycle), 전 속도 범위 진동/공진 스윕, 최대 온도/토크에서 scoring(긁힘) 여부 확인
-분해·Dirty/Clean 검사로 결함·과마모·누유를 검증
외국회사를 통해 제품을 받는 경우, 제공되는 문서들에 아래 내용 포함되는지 확인 필요함
3-1. 필수로 받아야 할 자료(문서·데이터) — 최소 세트
ㆍ기본 설계/사양 문서
-기어박스 General Specification / Data Sheet
-각 pad별: 정격 토크/최대 토크, 정격 속도/최대 속도, overhung 모멘트, 정렬 허용치
-전체 gear train: 기어비, 최대 입력속도/토크, 효율, 윤활 조건(압력/온도/유량/오일 종류)
-ICD/Interface Drawing
-장착 면 형상, pad 위치·플랜지 형상, spline/shaft 형상, 구속 조건(볼트/핀), 무게·치수
-Material &amp; Process Specification
-기어 재질, 열처리, 샤프트/하우징 재질, 코팅·부식방지 처리
ㆍ해석(Analysis) 결과
-구조/피로 해석(FEA / 손계산)
-입력 토크/속도 duty cycle에 대한 응력·안전율, (a)×토크 부하에서의 여유
-하우징·pad 부근 기계적 강도 + shear section 의도적 파손 시 주변 영향
ㆍ진동/공진 해석
-기어·샤프트 각 단계의 자연주파수 목록
-b% 속도(예: 105%)까지 유해 공진 없음을 보여주는 Campbell Diagram·모드 형상
ㆍ윤활/열 해석
-최대 토크·속도·온도에서 윤활 필름 두께/온도/소모량
-최소/최대 오일 온도에서 효율·손실 예측
ㆍ시험(Test) 보고서
-Static torque test
-각 pad를 정격 토크까지 동시에 부하 후, 개별 pad에 150% shear torque 인가 시험 결과
-Starter pad에 대해 250% starter 토크 또는 120% shear 토크 테스트 결과
ㆍEndurance test
-§3.4.1.2 / Table XI 기반 Duty cycle에 따라 내구 시험 수행 기록(시험 조건, 시간, 로드 프로파일, pad 부하 상태)
-시험 전/중/후 오일 분석, filter/chip detector 잔량, 분해·Dirty/Clean inspection 결과
ㆍVibration / Resonance test
-아이들 ~ 최대 속도(및 (b)% 속도)까지 진동 스윕 결과
-공진 모드, amplitude, 시험에서의 평가(“유해 공진 없음” 여부)
ㆍLeakage / Vent / Seal test
-pad seal 누설, 하우징 누유, spline bearing air leakage 등 측정값
-최대 온도·속도에서 누유 유무
ㆍ신뢰성·품질 관련 자료
-MTBF/수명 추정 혹은 Field Data(동일 or 유사 플랫폼에서의 사용 이력)
-품질 인증: ISO 9001/AS9100 등, 설계·제조 프로세스 수준 확인
-시험 장비/절차의 교정/검증 상태(예: Test Procedure, Calibration Certificates)
ㆍ정비/운용 문서
-Maintenance Manual(AMM/CMM): 분해·조립, shear section 교체, 윤활/점검 주기, 허용 마모 한계
-Recommended Spare Parts List, 수명관리(Inspection interval·Overhaul interval)
-설치·제거, 모듈화 여부(엔진과 분리 교환 가능성)
3-2. 문서 분석 절차 (Requirements ↔ Evidence 매핑)
ㆍ요구사항 매트릭스 작성
-A.3.7.16 / A.4.7.16의 각 문장을 항목화:
-G-1: “각 pad는 정격 토크의 (a)배까지 동시에 운전 가능”
-G-2: “모든 기어는 최대 정상속도의 (b)%까지 damaging resonance 없음”
-G-3: “PTO 실패 시 주변 손상 방지”
-G-4: “shear section 교체 시 엔진/기어박스 탈거 불필요”
-G-5: “누유·부식 방지 구조”, 등…
-각 항목에 대해 “입증 자료 종별(해석/시험/도면/정책)” 을 할당할 수 있도록 테이블 구성.
ㆍ공급사 자료와 매칭
-G-1 (a배 토크):
-정적 토크 시험 보고서 → 토크 수준·시간·pad 상태 확인
-FEA 결과 → (a배 토크에서 응력·안전율) 확인
-부족 시: 추후 우리 쪽 acceptance test(샘플링) 계획
-G-2 (b% 속도 공진 없음):
-진동 시험 보고서 + Campbell Diagram → 속도 범위 vs 모드·amplitude 확인
-FEA Modal 결과와 비교
-만약 시험이 100%까지만 되어 있다면, 추가 시험 or 보수적 해석 요구
-G-3 (PTO failure 영향):
-설계도/section view에서 shear section 위치·weak link 설계 확인
-고장모드 해석(FMEA/FMECA) 문서로 “PTO lock-up 시 주변 손상 없는지” 확인
-실제 shear test 시연 여부(시험 보고서)
-G-4 (정비성/교체성):
-정비 매뉴얼로 shear section 교체 절차 확인(엔진 탈거 필요 여부)
-모듈화/외부 접근 가능 여부 도면·사진 검토
-G-5 (누유·부식/수명):
-하우징 형상·배수·vent 설계 도면, 재질·코팅 사양 확인
-내구 시험 중 누유 기록, 분해 검사 사진과 분석 결과 확인
-Duty Cycle·Pad Rating 검토
-Table I pad 정격과 항공기 시스템 스펙(각 pad별 최악 steady + transient 토크·작동 시간)을 비교.
-엔진/기체 운용 요구(One-engine-only, max emergency demand 등) 대비 1.25~1.5 여유가 있는지 확인.
-특수 요구(Peak 2× steady torque, carrier landing loads, manoeuvre loads)를 공급사의 시험/해석에 포함했는지 체크.
ㆍResonance·Vibration 검토
-모드/진동 시험 결과와 엔진속도 범위(아이들~최대~오버스피드) 중 겹치는 부분이 없는지, 혹은 있어도 amplitude가 허용치인지 분석.
-현장에서 있었던 유사 기체의 Gearbox vibration / crack 사례가 있는지(공급사 질의) 확인.
3-3. 문서만으로 부족한 경우: 추가 시험/인증 전략
-Incoming Acceptance Test (수락시험)
-샘플 기어박스(초도·LOT별) 대상으로:
-기능 시험: 각 pad 무부하 → 정격 속도 운전, 비정상 소음/진동 체크
-단시간 토크 증가 시험: 정격 토크/속도의 x%까지 가벼운 부하 인가 후 상태 점검
-누유 검사: 최대 온도에서 일정 시간 운전 후 외부 누출 확인
-엔진+기어박스 통합 시험
-내구 시험·AMT·고도 시험 등에서:
-실제 항공기 duty cycle 근사로 기어박스 부하 적용
-PTO lock-up 시나리오·Shear section 동작 시나리오(가능할 경우) 시연
-시험 후 오일 분석 + 분해 검사로 gear tooth·베어링·splines·pad seal 상태 확인
-공진/진동 확인
-국내 장비에서 진동 스윕 테스트(회전수 스텝/램프) 수행, 공급사 데이터와 비교.
-문제가 발견되면: 국지적 보강/설치 강성 변경/운영 속도 제한 등 조치 검토.
3-4. 계약·ICD에 미리 적어두면 좋은 것들
-공급사는 최소한 아래를 제공해야 한다고 명시:
-T-able I 대응 Pad Rating Sheet (토크/속도/모멘트/정렬/환경조건 포함)
-Static torque / Endurance / Vibration test report
-Structural / Modal / Fatigue analysis package
-Maintenance &amp; Overhaul manual, recommended inspection/overhaul interval
-Shear section 설계·시험 데이터
-Lubrication/vent/seal 데이터(누유·공기 누설 등)
-우리 측이 수행할 추가 수락시험/엔진 통합시험 범위와 책임 분담 명시.
-변경 관리: 기어박스 설계 변경 시 영향분석 + 업데이트된 해석/시험 자료 제출 의무.</t>
    <phoneticPr fontId="35" type="noConversion"/>
  </si>
  <si>
    <t>ㆍFeather 상태 전환 중에는 드라이브샤프트에 작용하는 추력·토크 방향이 정·역으로 바뀌어, 드라이브라인 전단이 Backside 로딩 인가됨
ㆍFeather 상태는 기체 공기저항과 비대칭 추력을 줄여 고장 엔진 시 조종성·항속성을 개선함
-잘못된 전환 로직은 엔진 과온·기계 손상을 유발할 수 있음
ㆍ따라서 Feather 전환 및 Feather 상태에서 엔진 한계 보호(온도·토크·RPM) 와 내구성·안전성을 확보하기 위한 요구가 필요
ㆍ기어박스의 물리·성능 특성이 보조계통(연료, 오일, 전기, 유압) 의 안정적 운용을 좌우하므로, 초기부터 명확한 요구를 줘야 안전·성능보장 가능
ㆍ피크 과도부하는 PTO 구조·부품 설계의 필수 입력값이므로, (a)배 토크 요구로 안전 여유를 확보
ㆍ기어 공진은 고속·경량 기어에서 피로 균열·치형 파손의 주요 원인이므로, (b)%까지 공진 회피 요구 제시</t>
    <phoneticPr fontId="35" type="noConversion"/>
  </si>
  <si>
    <t>ㆍFeather 명령 시, 엔진이 충분히 감속/정지 상태에 가까워진 후 Feather 되도록 제어해야함
ㆍ또는Feather에 따른 토크 충격을 클러치 슬립·토크 램프 등으로 완화하도록 설계해야함
ㆍFeather 중에는 축·기어·베어링에 역방향 하중이 걸리므로, 구조/피로 해석에서 이 부하 케이스를 포함해야함
ㆍ해당 영향이 엔진·기어박스 한계 내에 머물도록 해야함
ㆍFeather 명령과 엔진 정지/연료 차단 로직, Feather 완료 후의 상태 표기(조종사 경고) 등을 항공기/엔진 규격과 일치해야함
ㆍ(a) 값은 통상 1.25~1.50 범위에서 선택(1.25는 최소 안전여유로 많이 사용)
ㆍ(b) 값은 오버스피드 요구(3.4.1.6.5c) 및 설계 수명(3.4.1.1) 에 악영향이 없도록 결정하며, 과거에는 105%가 사용된 사례가 있음.
ㆍ기어박스는 발전기, 연료·윤활·유압 펌프, 시동용 PTO 등을 구동하며, 구성·정격·정렬 요구는 모두 Table I에 반영해야함
ㆍ기어박스/부속품에는 Shear section을 포함하여, 액세서리 잠김(lock-up) 시 안전하게 분리되도록 해야함(2차 피해 방지)
ㆍShear 부품 교체 시 기어박스를 엔진에서 떼어내지 않고 교체 가능해야함
ㆍ하우징은 물 고임·염분 축적 최소화 구조로 설계해 부식을 줄이는 설계가 필요함
ㆍTable I의 pad 정격은 실제 운용 duty cycle 및 항공기 PTO 요구(단발 운전, 급부하 등)를 반영해야함</t>
    <phoneticPr fontId="35" type="noConversion"/>
  </si>
  <si>
    <t>ㆍFeather 메커니즘 오동작으로 정상 엔진이 비행 중 오 Feather되어 추력 상실 사고가 있었음
-이후 Feather 명령 수용 조건에 다중 신호 검증·조건부 허용 로직을 추가하는 방향으로 개선됨
ㆍFeather 전환 시 토크 충격·역하중을 충분히 고려하지 않으면, 기어박스·축·베어링에 예상 외 피로 손상이 누적될 수 있음
-통합 시험에서 확인된 사례 있음
ㆍ엔진 단독 시험에서는 문제가 없던 Feather 시나리오가, 엔진+프로펠러 통합 시험에서 특정 비행조건(풍향/속도)에 따라 
   진동/하중 문제로 드러난 사례 → Feather 운용은 반드시 통합 환경에서 검증해야 한다는 교훈
ㆍ싱글 엔진 항공기에서 기어박스 드라이브 고장 → 항공기 손실 사례가 있었음 
→ PTO 실패시에도 주변 장비 손상 방지 설계가 필수
ㆍ한 사례에서는 PTO 샤프트가 파손 후 날뛰면서 연료 라인을 절단해 화재를 일으킴 
→ PTO 샤프트 파손 시 주변 하드웨어 보호 구조 필요함
ㆍ긴 PTO 샤프트는 항모 착함 등에서 과도 변형으로 문제 발생가능
-transient peak load(최대 2×정상 토크)까지 고려한 설계·시험이 요구</t>
    <phoneticPr fontId="35" type="noConversion"/>
  </si>
  <si>
    <t>ㆍ엔진 SW는 성능(주기/응답/스루풋)과 품질/무결성 기준을 갖춘 표준 기반으로 개발·관리
ㆍ재프로그래밍·구성식별·보안 요구를 포함해 전 수명주기에서 통제
ㆍSW는 엔진 요구(안전/신뢰/성능)와 추적 가능해야함</t>
    <phoneticPr fontId="35" type="noConversion"/>
  </si>
  <si>
    <t>ㆍ해석/분석: WCET/스케줄 분석, CPU/RAM/ROM 프로파일, 안전성 분석(SW-FMEA/FTA)
ㆍ시험: 단위/통합/HIL/시스템 시험, 프레임 deadline·부하 스트레스·BIT 검증, 공격/무단 변경 시도 테스트
ㆍ감사: 프로세스 감사(표준 준수), 형상/버전 매핑, 이벤트/로그 검증</t>
    <phoneticPr fontId="35" type="noConversion"/>
  </si>
  <si>
    <t>ㆍ임베디드 SW는 엔진 기능·안전·성능을 좌우 → 공학 프로세스 준수로 신뢰성 확보 필요
ㆍ성능(주기 내 완료, 스루풋/메모리 여유)과 품질(언어/검증/표준) 요구를 명확화해야 함
ㆍ여유 자원 요구는 미래 업그레이드와 재설계 최소화를 위한 설계 철학</t>
    <phoneticPr fontId="35" type="noConversion"/>
  </si>
  <si>
    <t>ㆍ성능: 최악 부하 CPU ≤ 70%, RAM/ROM ≤ 80% 등 스페어 리소스 정량화
ㆍ품질: DO-178C/ARP4754A, ISO/IEC 12207, ISO 9001-3 등 프로세스 준수, 모듈화/오류격리 설계
ㆍ장착 상태 재프로그래밍 가능, 보안·무결성(인증/서명/CRC/로그) 요구를 병기</t>
    <phoneticPr fontId="35" type="noConversion"/>
  </si>
  <si>
    <t>ㆍ개발 방법 미흡·저수준 언어 포팅 이슈로 오동작/정비부담↑ 사례 → 엄격 프로세스·강형 언어 효과적
ㆍ이중채널 SW 공통 버그로 fail-safe 불능 → 다변화 또는 철저 검증 필요
ㆍ스페어 부재로 HW 교체 사례 → 여유 리소스 명시가 비용 절감에 기여</t>
    <phoneticPr fontId="35" type="noConversion"/>
  </si>
  <si>
    <t>ㆍ제어컴퓨터는 장착 상태 재프로그래밍 가능, 보안/무결성/추적성 확보
ㆍ업로드 시간/절차/복구 시나리오를 사양에 정량 명시
ㆍ구성식별(CI)과 버전 관리로 HW–SW 호환 보장</t>
    <phoneticPr fontId="35" type="noConversion"/>
  </si>
  <si>
    <t>ㆍ시험: 장착상태에서 업로드 시간·성공률, 전원 변동/통신 에러 상황 복원성 검증
ㆍ보안: 승인·서명 검증, 무단 접근/롤백 방지, 로그/감사 추적성 시험
ㆍ기능: 업데이트 후 BIT/자체진단 정상, 버전 리포트·Fallback 절차 확인</t>
    <phoneticPr fontId="35" type="noConversion"/>
  </si>
  <si>
    <t>ㆍ탈거 없이 현장 재프로그래밍으로 정비 시간을 단축하고 안전 개선을 신속 반영
ㆍ과거 롬 교체·탈착 절차는 지연/ESD/핀 손상 위험 → 장착상태 업데이트 필요
ㆍ필드 편의성과 보안/추적성을 동시에 만족해야 함</t>
    <phoneticPr fontId="35" type="noConversion"/>
  </si>
  <si>
    <t>ㆍWRA 커넥터/표준 버스 통해 (a)분 이내 업로드 등 성능 요구, 2단계 인증·암호/서명/CRC 포함
ㆍ재프로그래밍 모드 진입은 권한/Enable 조건 필요, 변경 버전ID·로그 유지
ㆍ완료 후 무결성 확인(CRC), 시동 시 버전 표시/다운로드 가능 요구</t>
    <phoneticPr fontId="35" type="noConversion"/>
  </si>
  <si>
    <t>ㆍ장탈 업데이트는 오류/지연 유발 → 장착상태 업데이트가 정비성 향상
ㆍ무단 롤백/변경 위험 → 암호화·로그·승인 체계 필수
ㆍ접근성 개선과 보안 통제의 균형이 핵심</t>
    <phoneticPr fontId="35" type="noConversion"/>
  </si>
  <si>
    <t>ㆍSW 자원은 성장 여유(처리·메모리·I/O)를 갖추고 사양에 수치화
ㆍ여유는 성능 보장·기능 확장을 위한 설계 자산으로 임의 소모 금지
ㆍ여유 정책은 구성/변경 관리와 연동</t>
    <phoneticPr fontId="35" type="noConversion"/>
  </si>
  <si>
    <t>ㆍ분석: 부하 프로파일(WCET), 스레드·인터럽트 우선순위, CPU/RAM/ROM·I/O 사용률 리포트
ㆍ시험: Worst-case 프레임 로드·폭주 시나리오·Fault injection에서 여유율 실측, 메모리/버스 마진 측정
ㆍ검토: 아키텍처 리뷰(모듈화/확장성), 여유 자원 예약 정책·CI/변경 기록 확인</t>
    <phoneticPr fontId="35" type="noConversion"/>
  </si>
  <si>
    <t>ㆍCPU/메모리 여유는 미래 기능 추가와 HW 교체 방지에 결정적
ㆍ여유 부족은 작은 변경에도 비싼 재설계 유발
ㆍ균형 있는 스페어는 성능·성장성·비용을 동시에 만족</t>
    <phoneticPr fontId="35" type="noConversion"/>
  </si>
  <si>
    <t>ㆍ최악 부하에도 프레임 여유 ≥ 30%, RAM/ROM 여유 ≥ 20% 등 정량 목표 명시(프로그램 기준)
ㆍ여유는 예약 자원—불필요한 폴링/더미 연산 금지, 모듈화/확장성 아키텍처 병행 요구
ㆍI/O 여유 채널 (a%)도 지정해 센서/액추에터 확장 대비</t>
    <phoneticPr fontId="35" type="noConversion"/>
  </si>
  <si>
    <t>ㆍ33% 여유 규정도 금세 소진한 사례 → 여유 상향(최소 50%) 추세, 다만 과도 여유는 초기 성능 저하 위험
ㆍ구조가 비확장적이면 여유가 있어도 통합 난점 → 아키텍처 품질이 중요
ㆍ메모리 여유만으론 부족, I/O·버스 대역 여유도 병행</t>
    <phoneticPr fontId="35" type="noConversion"/>
  </si>
  <si>
    <t>ㆍ시스템-level 검증의 정의·방법·수락 기준은 4.11에서 규정(시험/분석/시연 등)
ㆍ문서 구조 원칙: 요구는 개별 항목/성능 기준, 검증은 그 요구의 방법과 절차.</t>
    <phoneticPr fontId="35" type="noConversion"/>
  </si>
  <si>
    <t>ㆍ요구–검증 매트릭스(RTM): §3.x 각 요구를 §4.11의 시험/분석/시연 항목과 1:1 매핑(통합 시스템 시험 포함)
ㆍ통합 검증 계획: 엔진 셀/장착/비행 단계의 시나리오·환경·계측·합격 기준을 §4.11에 구체화
ㆍ데이터 완결성: 형상/소프트웨어 버전, 인터페이스(ICD), 안전 크리티컬 항목(CSI) 구성식별과 로깅/추적 보장
ㆍ검토/승인: 시험 결과에 대한 독립 평가(IV&amp;V) 및 RCCA(비적합 시)→재검증 절차를 §4.11에 명시</t>
    <phoneticPr fontId="35" type="noConversion"/>
  </si>
  <si>
    <t>ㆍ3.11은 요구(Section 3)가 아니라 검증 방침 안내 역할이며, 시스템·컨트롤·외장품의 실제 검증은 Section 4.11에서 확인
ㆍ완제품(시스템) 수준 시험은 본래 Verification 섹션의 범주이므로, 3장에 중복 요구를 두지 않음
ㆍ목적은 요구와 검증의 분리로 문서 중복·혼선을 방지하고, 개별 요구(§3.x) ↔ 통합 검증(§4.11)의 명확한 매핑을 보장하는 것</t>
    <phoneticPr fontId="35" type="noConversion"/>
  </si>
  <si>
    <t>ㆍ시스템 차원의 요구가 과거 3.11에 있던 경우, 개정 시 해당 항목을 §4.11로 이동하고 3.11은 가이드 노트만 유지
ㆍ작성 시, 시스템 검증 항목은 §4.11 검증 계획/방법에만 기술하고, 3장에는 개별 항목 요구(성능·내구·안전 등)만 유지</t>
    <phoneticPr fontId="35" type="noConversion"/>
  </si>
  <si>
    <t>ㆍ과거 문서에서 요구와 시험 방법이 혼재되어 중복·누락 논란 발생 → 3(요구)/4(검증) 명확 분리 필요
ㆍ엔진 시스템 검증은 Full-up(통합) 시험이므로, 3장에서 요구로 오인하지 않도록 주석/Note 필수
ㆍ독자 혼선을 방지하려면 3.11에 의도적 무기재임을 명확히 알리고, 4.11 참조를 반복 표기</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</si>
</sst>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rgb="FF000000"/>
      <name val="Arial"/>
      <scheme val="minor"/>
    </font>
    <font>
      <b/>
      <sz val="15"/>
      <color theme="1"/>
      <name val="Arial"/>
      <scheme val="minor"/>
    </font>
    <font>
      <sz val="15"/>
      <color theme="1"/>
      <name val="Arial"/>
      <scheme val="minor"/>
    </font>
    <font>
      <b/>
      <sz val="13"/>
      <color rgb="FF000000"/>
      <name val="&quot;맑은 고딕&quot;"/>
      <family val="3"/>
      <charset val="129"/>
    </font>
    <font>
      <sz val="10"/>
      <name val="Arial"/>
      <family val="2"/>
    </font>
    <font>
      <sz val="12"/>
      <color theme="1"/>
      <name val="Arial"/>
      <family val="2"/>
      <scheme val="minor"/>
    </font>
    <font>
      <sz val="12"/>
      <color theme="1"/>
      <name val="Arial"/>
      <family val="2"/>
    </font>
    <font>
      <sz val="10"/>
      <color theme="1"/>
      <name val="Arial"/>
      <family val="2"/>
      <scheme val="minor"/>
    </font>
    <font>
      <b/>
      <sz val="14"/>
      <color theme="1"/>
      <name val="Arial"/>
      <family val="2"/>
    </font>
    <font>
      <b/>
      <sz val="11"/>
      <color theme="1"/>
      <name val="Arial"/>
      <family val="2"/>
    </font>
    <font>
      <b/>
      <sz val="14"/>
      <color rgb="FF000000"/>
      <name val="&quot;Times New Roman&quot;"/>
    </font>
    <font>
      <sz val="10"/>
      <color rgb="FF000000"/>
      <name val="&quot;Times New Roman&quot;"/>
    </font>
    <font>
      <b/>
      <sz val="14"/>
      <color rgb="FF000000"/>
      <name val="Arial"/>
      <family val="2"/>
    </font>
    <font>
      <b/>
      <sz val="14"/>
      <color rgb="FF000000"/>
      <name val="Calibri"/>
      <family val="2"/>
    </font>
    <font>
      <sz val="14"/>
      <color theme="1"/>
      <name val="Arial"/>
      <family val="2"/>
    </font>
    <font>
      <b/>
      <sz val="18"/>
      <color theme="1"/>
      <name val="Arial"/>
      <family val="2"/>
    </font>
    <font>
      <b/>
      <sz val="12"/>
      <color theme="1"/>
      <name val="Arial"/>
      <family val="2"/>
    </font>
    <font>
      <b/>
      <sz val="12"/>
      <color rgb="FF000000"/>
      <name val="&quot;맑은 고딕&quot;"/>
      <family val="3"/>
      <charset val="129"/>
    </font>
    <font>
      <sz val="12"/>
      <color theme="1"/>
      <name val="휴먼명조"/>
      <family val="3"/>
      <charset val="129"/>
    </font>
    <font>
      <sz val="12"/>
      <color rgb="FF000000"/>
      <name val="휴먼명조"/>
      <charset val="129"/>
    </font>
    <font>
      <sz val="12"/>
      <color rgb="FF000000"/>
      <name val="Arial"/>
      <family val="2"/>
    </font>
    <font>
      <sz val="12"/>
      <color rgb="FF000000"/>
      <name val="Calibri"/>
      <family val="2"/>
    </font>
    <font>
      <sz val="12"/>
      <color rgb="FF000000"/>
      <name val="Arial"/>
      <family val="2"/>
      <scheme val="minor"/>
    </font>
    <font>
      <sz val="12"/>
      <color rgb="FFFF0000"/>
      <name val="휴먼명조"/>
      <charset val="129"/>
    </font>
    <font>
      <sz val="13"/>
      <color rgb="FF000000"/>
      <name val="Calibri"/>
      <family val="2"/>
    </font>
    <font>
      <sz val="12"/>
      <color rgb="FF000000"/>
      <name val="&quot;Aptos Display&quot;"/>
    </font>
    <font>
      <sz val="11"/>
      <color rgb="FF000000"/>
      <name val="Calibri"/>
      <family val="2"/>
    </font>
    <font>
      <sz val="10"/>
      <color rgb="FF000000"/>
      <name val="Arial"/>
      <family val="2"/>
      <scheme val="minor"/>
    </font>
    <font>
      <sz val="13"/>
      <color theme="1"/>
      <name val="Arial"/>
      <family val="2"/>
      <scheme val="minor"/>
    </font>
    <font>
      <sz val="13"/>
      <color rgb="FF000000"/>
      <name val="Arial"/>
      <family val="2"/>
    </font>
    <font>
      <sz val="13"/>
      <color theme="1"/>
      <name val="Calibri"/>
      <family val="2"/>
    </font>
    <font>
      <sz val="13"/>
      <color rgb="FF980000"/>
      <name val="Calibri"/>
      <family val="2"/>
    </font>
    <font>
      <sz val="12"/>
      <color theme="1"/>
      <name val="Liberation Serif"/>
    </font>
    <font>
      <sz val="12"/>
      <color theme="1"/>
      <name val="DejaVu Sans"/>
    </font>
    <font>
      <sz val="12"/>
      <color theme="1"/>
      <name val="Noto Sans CJK SC"/>
    </font>
    <font>
      <sz val="8"/>
      <name val="Arial"/>
      <family val="3"/>
      <charset val="129"/>
      <scheme val="minor"/>
    </font>
    <font>
      <b/>
      <sz val="3"/>
      <color rgb="FF000000"/>
      <name val="Pretendard SemiBold"/>
      <family val="3"/>
      <charset val="129"/>
    </font>
    <font>
      <sz val="3"/>
      <name val="Pretendard SemiBold"/>
      <family val="3"/>
      <charset val="129"/>
    </font>
    <font>
      <sz val="3"/>
      <color rgb="FF000000"/>
      <name val="Pretendard SemiBold"/>
      <family val="3"/>
      <charset val="129"/>
    </font>
    <font>
      <sz val="3"/>
      <color theme="1"/>
      <name val="Pretendard SemiBold"/>
      <family val="3"/>
      <charset val="129"/>
    </font>
    <font>
      <sz val="3"/>
      <color rgb="FF980000"/>
      <name val="Pretendard SemiBold"/>
      <family val="3"/>
      <charset val="129"/>
    </font>
    <font>
      <sz val="3"/>
      <color theme="1"/>
      <name val="Cambria Math"/>
      <family val="3"/>
    </font>
    <font>
      <sz val="3"/>
      <color theme="1"/>
      <name val="맑은 고딕"/>
      <family val="3"/>
      <charset val="129"/>
    </font>
    <font>
      <sz val="3"/>
      <color theme="1"/>
      <name val="Arial"/>
      <family val="2"/>
    </font>
    <font>
      <sz val="3"/>
      <color theme="1"/>
      <name val="Segoe UI Symbol"/>
      <family val="3"/>
    </font>
    <font>
      <sz val="3"/>
      <color theme="1"/>
      <name val="MS Gothic"/>
      <family val="3"/>
      <charset val="128"/>
    </font>
  </fonts>
  <fills count="9">
    <fill>
      <patternFill patternType="none"/>
    </fill>
    <fill>
      <patternFill patternType="gray125"/>
    </fill>
    <fill>
      <patternFill patternType="solid">
        <fgColor rgb="FFCCFFFF"/>
        <bgColor rgb="FFCCFFFF"/>
      </patternFill>
    </fill>
    <fill>
      <patternFill patternType="solid">
        <fgColor rgb="FFE6B8AF"/>
        <bgColor rgb="FFE6B8AF"/>
      </patternFill>
    </fill>
    <fill>
      <patternFill patternType="solid">
        <fgColor rgb="FFD9D9D9"/>
        <bgColor rgb="FFD9D9D9"/>
      </patternFill>
    </fill>
    <fill>
      <patternFill patternType="solid">
        <fgColor rgb="FFBFBFBF"/>
        <bgColor rgb="FFBFBFBF"/>
      </patternFill>
    </fill>
    <fill>
      <patternFill patternType="solid">
        <fgColor rgb="FFFFFFFF"/>
        <bgColor rgb="FFFFFFFF"/>
      </patternFill>
    </fill>
    <fill>
      <patternFill patternType="solid">
        <fgColor rgb="FFFF9900"/>
        <bgColor rgb="FFFF9900"/>
      </patternFill>
    </fill>
    <fill>
      <patternFill patternType="solid">
        <fgColor theme="6" tint="0.79998168889431442"/>
        <bgColor indexed="64"/>
      </patternFill>
    </fill>
  </fills>
  <borders count="26">
    <border>
      <left/>
      <right/>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thick">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ck">
        <color rgb="FF000000"/>
      </top>
      <bottom/>
      <diagonal/>
    </border>
  </borders>
  <cellStyleXfs count="1">
    <xf numFmtId="0" fontId="0" fillId="0" borderId="0"/>
  </cellStyleXfs>
  <cellXfs count="213">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0" fontId="1" fillId="0" borderId="0" xfId="0" applyFont="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3" borderId="15" xfId="0" applyFont="1" applyFill="1" applyBorder="1" applyAlignment="1">
      <alignment horizontal="center" vertical="center"/>
    </xf>
    <xf numFmtId="0" fontId="5" fillId="0" borderId="6" xfId="0" applyFont="1" applyBorder="1" applyAlignment="1">
      <alignment horizontal="center" vertical="center"/>
    </xf>
    <xf numFmtId="0" fontId="6" fillId="0" borderId="15" xfId="0" applyFont="1" applyBorder="1" applyAlignment="1">
      <alignment horizontal="center" vertical="center"/>
    </xf>
    <xf numFmtId="0" fontId="5" fillId="0" borderId="16" xfId="0" applyFont="1" applyBorder="1"/>
    <xf numFmtId="0" fontId="7" fillId="0" borderId="16" xfId="0" applyFont="1" applyBorder="1"/>
    <xf numFmtId="0" fontId="5" fillId="0" borderId="0" xfId="0" applyFont="1" applyAlignment="1">
      <alignment horizontal="center" vertical="center"/>
    </xf>
    <xf numFmtId="0" fontId="7" fillId="0" borderId="0" xfId="0" applyFont="1" applyAlignment="1">
      <alignment horizontal="left"/>
    </xf>
    <xf numFmtId="0" fontId="5" fillId="0" borderId="0" xfId="0" applyFont="1"/>
    <xf numFmtId="0" fontId="7" fillId="0" borderId="0" xfId="0" applyFont="1" applyAlignment="1">
      <alignment horizontal="center"/>
    </xf>
    <xf numFmtId="0" fontId="8"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xf>
    <xf numFmtId="0" fontId="11" fillId="0" borderId="0" xfId="0" applyFont="1" applyAlignment="1">
      <alignment horizontal="left"/>
    </xf>
    <xf numFmtId="0" fontId="8" fillId="4" borderId="15" xfId="0" applyFont="1" applyFill="1" applyBorder="1" applyAlignment="1">
      <alignment horizontal="center" vertical="top"/>
    </xf>
    <xf numFmtId="0" fontId="8" fillId="4" borderId="15" xfId="0" applyFont="1" applyFill="1" applyBorder="1" applyAlignment="1">
      <alignment horizontal="left" vertical="top"/>
    </xf>
    <xf numFmtId="0" fontId="8" fillId="0" borderId="15" xfId="0" applyFont="1" applyBorder="1" applyAlignment="1">
      <alignment horizontal="center" vertical="top"/>
    </xf>
    <xf numFmtId="0" fontId="8" fillId="0" borderId="15" xfId="0" applyFont="1" applyBorder="1" applyAlignment="1">
      <alignment horizontal="left" vertical="top"/>
    </xf>
    <xf numFmtId="0" fontId="12" fillId="5" borderId="15" xfId="0" applyFont="1" applyFill="1" applyBorder="1" applyAlignment="1">
      <alignment horizontal="center" vertical="center"/>
    </xf>
    <xf numFmtId="0" fontId="13" fillId="0" borderId="15" xfId="0" applyFont="1" applyBorder="1" applyAlignment="1">
      <alignment horizontal="center" vertical="center"/>
    </xf>
    <xf numFmtId="0" fontId="12" fillId="0" borderId="15" xfId="0" applyFont="1" applyBorder="1" applyAlignment="1">
      <alignment horizontal="center" vertical="center"/>
    </xf>
    <xf numFmtId="0" fontId="17" fillId="6" borderId="0" xfId="0" applyFont="1" applyFill="1" applyAlignment="1">
      <alignment horizontal="center" vertical="center"/>
    </xf>
    <xf numFmtId="0" fontId="18" fillId="0" borderId="4" xfId="0" applyFont="1" applyBorder="1" applyAlignment="1">
      <alignment horizontal="center" vertical="center"/>
    </xf>
    <xf numFmtId="0" fontId="18" fillId="0" borderId="14" xfId="0" applyFont="1" applyBorder="1" applyAlignment="1">
      <alignment horizontal="center" vertical="center"/>
    </xf>
    <xf numFmtId="0" fontId="5" fillId="6" borderId="14" xfId="0" applyFont="1" applyFill="1" applyBorder="1" applyAlignment="1">
      <alignment horizontal="center" vertical="center"/>
    </xf>
    <xf numFmtId="0" fontId="5" fillId="6" borderId="0" xfId="0" applyFont="1" applyFill="1" applyAlignment="1">
      <alignment horizontal="center" vertical="center"/>
    </xf>
    <xf numFmtId="0" fontId="18" fillId="0" borderId="15" xfId="0" applyFont="1" applyBorder="1" applyAlignment="1">
      <alignment horizontal="center" vertical="center"/>
    </xf>
    <xf numFmtId="0" fontId="5" fillId="6" borderId="15" xfId="0" applyFont="1" applyFill="1" applyBorder="1" applyAlignment="1">
      <alignment horizontal="center" vertical="center"/>
    </xf>
    <xf numFmtId="0" fontId="19" fillId="0" borderId="15" xfId="0" applyFont="1" applyBorder="1" applyAlignment="1">
      <alignment horizontal="center" vertical="center"/>
    </xf>
    <xf numFmtId="0" fontId="18" fillId="0" borderId="6" xfId="0" applyFont="1" applyBorder="1" applyAlignment="1">
      <alignment horizontal="center" vertical="center"/>
    </xf>
    <xf numFmtId="0" fontId="5" fillId="6" borderId="6"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0" xfId="0" applyFont="1" applyFill="1" applyAlignment="1">
      <alignment horizontal="center" vertical="center"/>
    </xf>
    <xf numFmtId="0" fontId="18" fillId="6" borderId="15" xfId="0" applyFont="1" applyFill="1" applyBorder="1" applyAlignment="1">
      <alignment horizontal="center" vertical="center"/>
    </xf>
    <xf numFmtId="0" fontId="18" fillId="6" borderId="6" xfId="0" applyFont="1" applyFill="1" applyBorder="1" applyAlignment="1">
      <alignment horizontal="center" vertical="center"/>
    </xf>
    <xf numFmtId="0" fontId="5" fillId="0" borderId="4" xfId="0" applyFont="1" applyBorder="1" applyAlignment="1">
      <alignment horizontal="center" vertical="center"/>
    </xf>
    <xf numFmtId="0" fontId="18" fillId="6" borderId="4" xfId="0" applyFont="1" applyFill="1" applyBorder="1" applyAlignment="1">
      <alignment horizontal="center" vertical="center"/>
    </xf>
    <xf numFmtId="0" fontId="7" fillId="6" borderId="0" xfId="0" applyFont="1" applyFill="1"/>
    <xf numFmtId="0" fontId="7" fillId="0" borderId="0" xfId="0" applyFont="1"/>
    <xf numFmtId="0" fontId="3" fillId="6" borderId="0" xfId="0" applyFont="1" applyFill="1" applyAlignment="1">
      <alignment horizontal="center" vertical="center"/>
    </xf>
    <xf numFmtId="0" fontId="5" fillId="0" borderId="14" xfId="0" applyFont="1" applyBorder="1" applyAlignment="1">
      <alignment horizontal="center"/>
    </xf>
    <xf numFmtId="49" fontId="5" fillId="0" borderId="14" xfId="0" applyNumberFormat="1" applyFont="1" applyBorder="1" applyAlignment="1">
      <alignment horizontal="center"/>
    </xf>
    <xf numFmtId="0" fontId="20" fillId="0" borderId="4" xfId="0" applyFont="1" applyBorder="1" applyAlignment="1">
      <alignment horizontal="center" vertical="center"/>
    </xf>
    <xf numFmtId="0" fontId="20" fillId="0" borderId="14" xfId="0" applyFont="1" applyBorder="1" applyAlignment="1">
      <alignment horizontal="center" vertical="center"/>
    </xf>
    <xf numFmtId="0" fontId="21" fillId="0" borderId="14" xfId="0" applyFont="1" applyBorder="1" applyAlignment="1">
      <alignment horizontal="center" vertical="center"/>
    </xf>
    <xf numFmtId="0" fontId="21" fillId="0" borderId="14" xfId="0" applyFont="1" applyBorder="1" applyAlignment="1">
      <alignment horizontal="left" vertical="center"/>
    </xf>
    <xf numFmtId="0" fontId="21" fillId="6" borderId="0" xfId="0" applyFont="1" applyFill="1" applyAlignment="1">
      <alignment horizontal="center" vertical="center"/>
    </xf>
    <xf numFmtId="0" fontId="5" fillId="0" borderId="15" xfId="0" applyFont="1" applyBorder="1" applyAlignment="1">
      <alignment horizontal="center"/>
    </xf>
    <xf numFmtId="49" fontId="5" fillId="0" borderId="15" xfId="0" applyNumberFormat="1" applyFont="1" applyBorder="1" applyAlignment="1">
      <alignment horizontal="center"/>
    </xf>
    <xf numFmtId="0" fontId="20" fillId="0" borderId="6" xfId="0" applyFont="1" applyBorder="1" applyAlignment="1">
      <alignment horizontal="center" vertical="center"/>
    </xf>
    <xf numFmtId="0" fontId="20" fillId="0" borderId="15" xfId="0" applyFont="1" applyBorder="1" applyAlignment="1">
      <alignment horizontal="center" vertical="center"/>
    </xf>
    <xf numFmtId="0" fontId="21" fillId="0" borderId="15" xfId="0" applyFont="1" applyBorder="1" applyAlignment="1">
      <alignment horizontal="center" vertical="center"/>
    </xf>
    <xf numFmtId="0" fontId="21" fillId="0" borderId="15" xfId="0" applyFont="1" applyBorder="1" applyAlignment="1">
      <alignment horizontal="left" vertical="center"/>
    </xf>
    <xf numFmtId="49" fontId="5" fillId="0" borderId="6" xfId="0" applyNumberFormat="1" applyFont="1" applyBorder="1" applyAlignment="1">
      <alignment horizontal="center"/>
    </xf>
    <xf numFmtId="0" fontId="5" fillId="0" borderId="6" xfId="0" applyFont="1" applyBorder="1" applyAlignment="1">
      <alignment horizontal="center"/>
    </xf>
    <xf numFmtId="0" fontId="21" fillId="0" borderId="6" xfId="0" applyFont="1" applyBorder="1" applyAlignment="1">
      <alignment horizontal="center" vertical="center"/>
    </xf>
    <xf numFmtId="0" fontId="21" fillId="0" borderId="6" xfId="0" applyFont="1" applyBorder="1" applyAlignment="1">
      <alignment horizontal="left" vertical="center"/>
    </xf>
    <xf numFmtId="49" fontId="7" fillId="0" borderId="16" xfId="0" applyNumberFormat="1" applyFont="1" applyBorder="1"/>
    <xf numFmtId="49" fontId="7" fillId="0" borderId="0" xfId="0" applyNumberFormat="1" applyFont="1"/>
    <xf numFmtId="0" fontId="6" fillId="0" borderId="14" xfId="0" applyFont="1" applyBorder="1" applyAlignment="1">
      <alignment horizontal="center" vertical="center"/>
    </xf>
    <xf numFmtId="0" fontId="18" fillId="0" borderId="14" xfId="0" applyFont="1" applyBorder="1" applyAlignment="1">
      <alignment horizontal="left" vertical="center"/>
    </xf>
    <xf numFmtId="0" fontId="18" fillId="6" borderId="0" xfId="0" applyFont="1" applyFill="1" applyAlignment="1">
      <alignment horizontal="left" vertical="center"/>
    </xf>
    <xf numFmtId="0" fontId="18" fillId="0" borderId="15" xfId="0" applyFont="1" applyBorder="1" applyAlignment="1">
      <alignment horizontal="left" vertical="center"/>
    </xf>
    <xf numFmtId="0" fontId="6" fillId="0" borderId="6" xfId="0" applyFont="1" applyBorder="1" applyAlignment="1">
      <alignment horizontal="center" vertical="center"/>
    </xf>
    <xf numFmtId="0" fontId="18" fillId="0" borderId="6" xfId="0" applyFont="1" applyBorder="1" applyAlignment="1">
      <alignment horizontal="left" vertical="center"/>
    </xf>
    <xf numFmtId="0" fontId="22" fillId="0" borderId="14" xfId="0" applyFont="1" applyBorder="1" applyAlignment="1">
      <alignment horizontal="center" vertical="center"/>
    </xf>
    <xf numFmtId="0" fontId="22" fillId="0" borderId="15" xfId="0" applyFont="1" applyBorder="1" applyAlignment="1">
      <alignment horizontal="center" vertical="center"/>
    </xf>
    <xf numFmtId="0" fontId="18" fillId="0" borderId="0" xfId="0" applyFont="1" applyAlignment="1">
      <alignment horizontal="left" vertical="center"/>
    </xf>
    <xf numFmtId="0" fontId="5" fillId="0" borderId="15" xfId="0" applyFont="1" applyBorder="1" applyAlignment="1">
      <alignment vertical="center"/>
    </xf>
    <xf numFmtId="0" fontId="5" fillId="6" borderId="0" xfId="0" applyFont="1" applyFill="1" applyAlignment="1">
      <alignment vertical="center"/>
    </xf>
    <xf numFmtId="0" fontId="22" fillId="0" borderId="6" xfId="0" applyFont="1" applyBorder="1" applyAlignment="1">
      <alignment horizontal="center" vertical="center"/>
    </xf>
    <xf numFmtId="0" fontId="19" fillId="0" borderId="15" xfId="0" applyFont="1" applyBorder="1" applyAlignment="1">
      <alignment horizontal="left" vertical="center"/>
    </xf>
    <xf numFmtId="0" fontId="19" fillId="6" borderId="0" xfId="0" applyFont="1" applyFill="1" applyAlignment="1">
      <alignment horizontal="left" vertical="center"/>
    </xf>
    <xf numFmtId="0" fontId="5" fillId="0" borderId="15" xfId="0" applyFont="1" applyBorder="1"/>
    <xf numFmtId="0" fontId="5" fillId="6" borderId="0" xfId="0" applyFont="1" applyFill="1"/>
    <xf numFmtId="0" fontId="5" fillId="0" borderId="6" xfId="0" applyFont="1" applyBorder="1"/>
    <xf numFmtId="0" fontId="6" fillId="0" borderId="16" xfId="0" applyFont="1" applyBorder="1" applyAlignment="1">
      <alignment horizontal="center" vertical="center"/>
    </xf>
    <xf numFmtId="0" fontId="5" fillId="0" borderId="16" xfId="0" applyFont="1" applyBorder="1" applyAlignment="1">
      <alignment horizontal="center" vertical="center"/>
    </xf>
    <xf numFmtId="0" fontId="6" fillId="0" borderId="0" xfId="0" applyFont="1" applyAlignment="1">
      <alignment horizontal="center"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6" borderId="0" xfId="0" applyFont="1" applyFill="1" applyAlignment="1">
      <alignment horizontal="left" vertical="center"/>
    </xf>
    <xf numFmtId="0" fontId="7" fillId="6" borderId="0" xfId="0" applyFont="1" applyFill="1" applyAlignment="1">
      <alignment horizontal="left"/>
    </xf>
    <xf numFmtId="0" fontId="20" fillId="0" borderId="15" xfId="0" applyFont="1" applyBorder="1" applyAlignment="1">
      <alignment vertical="center"/>
    </xf>
    <xf numFmtId="0" fontId="24" fillId="0" borderId="15" xfId="0" applyFont="1" applyBorder="1" applyAlignment="1">
      <alignment vertical="center"/>
    </xf>
    <xf numFmtId="0" fontId="24" fillId="0" borderId="15" xfId="0" applyFont="1" applyBorder="1" applyAlignment="1">
      <alignment horizontal="center" vertical="center"/>
    </xf>
    <xf numFmtId="0" fontId="25" fillId="0" borderId="15" xfId="0" applyFont="1" applyBorder="1" applyAlignment="1">
      <alignment vertical="center"/>
    </xf>
    <xf numFmtId="0" fontId="25" fillId="3" borderId="15" xfId="0" applyFont="1" applyFill="1" applyBorder="1" applyAlignment="1">
      <alignment vertical="center"/>
    </xf>
    <xf numFmtId="0" fontId="24" fillId="3" borderId="15" xfId="0" applyFont="1" applyFill="1" applyBorder="1" applyAlignment="1">
      <alignment vertical="center"/>
    </xf>
    <xf numFmtId="0" fontId="24" fillId="3" borderId="15" xfId="0" applyFont="1" applyFill="1" applyBorder="1" applyAlignment="1">
      <alignment horizontal="center" vertical="center"/>
    </xf>
    <xf numFmtId="0" fontId="7" fillId="3" borderId="0" xfId="0" applyFont="1" applyFill="1"/>
    <xf numFmtId="0" fontId="5" fillId="7" borderId="15" xfId="0" applyFont="1" applyFill="1" applyBorder="1" applyAlignment="1">
      <alignment horizontal="center" vertical="center"/>
    </xf>
    <xf numFmtId="0" fontId="25" fillId="7" borderId="15" xfId="0" applyFont="1" applyFill="1" applyBorder="1" applyAlignment="1">
      <alignment vertical="center"/>
    </xf>
    <xf numFmtId="0" fontId="24" fillId="7" borderId="15" xfId="0" applyFont="1" applyFill="1" applyBorder="1" applyAlignment="1">
      <alignment vertical="center"/>
    </xf>
    <xf numFmtId="0" fontId="24" fillId="7" borderId="15" xfId="0" applyFont="1" applyFill="1" applyBorder="1" applyAlignment="1">
      <alignment horizontal="center" vertical="center"/>
    </xf>
    <xf numFmtId="0" fontId="7" fillId="7" borderId="0" xfId="0" applyFont="1" applyFill="1"/>
    <xf numFmtId="0" fontId="20" fillId="3" borderId="15" xfId="0" applyFont="1" applyFill="1" applyBorder="1" applyAlignment="1">
      <alignment vertical="center"/>
    </xf>
    <xf numFmtId="0" fontId="26" fillId="0" borderId="0" xfId="0" applyFont="1"/>
    <xf numFmtId="0" fontId="27" fillId="0" borderId="0" xfId="0" applyFont="1" applyAlignment="1">
      <alignment horizontal="left"/>
    </xf>
    <xf numFmtId="0" fontId="28" fillId="3" borderId="15" xfId="0" applyFont="1" applyFill="1" applyBorder="1" applyAlignment="1">
      <alignment horizontal="center" vertical="center"/>
    </xf>
    <xf numFmtId="0" fontId="28" fillId="3" borderId="18" xfId="0" applyFont="1" applyFill="1" applyBorder="1" applyAlignment="1">
      <alignment horizontal="center" vertical="center"/>
    </xf>
    <xf numFmtId="0" fontId="29" fillId="3" borderId="15" xfId="0" applyFont="1" applyFill="1" applyBorder="1"/>
    <xf numFmtId="0" fontId="24" fillId="3" borderId="15" xfId="0" applyFont="1" applyFill="1" applyBorder="1"/>
    <xf numFmtId="0" fontId="28" fillId="3" borderId="15" xfId="0" applyFont="1" applyFill="1" applyBorder="1" applyAlignment="1">
      <alignment horizontal="left" vertical="center"/>
    </xf>
    <xf numFmtId="0" fontId="24" fillId="3" borderId="15" xfId="0" applyFont="1" applyFill="1" applyBorder="1" applyAlignment="1">
      <alignment horizontal="center"/>
    </xf>
    <xf numFmtId="0" fontId="28" fillId="0" borderId="15" xfId="0" applyFont="1" applyBorder="1" applyAlignment="1">
      <alignment horizontal="center" vertical="center"/>
    </xf>
    <xf numFmtId="0" fontId="28" fillId="0" borderId="18" xfId="0" applyFont="1" applyBorder="1" applyAlignment="1">
      <alignment horizontal="center" vertical="center"/>
    </xf>
    <xf numFmtId="0" fontId="29" fillId="0" borderId="15" xfId="0" applyFont="1" applyBorder="1"/>
    <xf numFmtId="0" fontId="24" fillId="0" borderId="15" xfId="0" applyFont="1" applyBorder="1"/>
    <xf numFmtId="0" fontId="28" fillId="0" borderId="15" xfId="0" applyFont="1" applyBorder="1" applyAlignment="1">
      <alignment horizontal="left" vertical="center"/>
    </xf>
    <xf numFmtId="0" fontId="24" fillId="0" borderId="15" xfId="0" applyFont="1" applyBorder="1" applyAlignment="1">
      <alignment horizontal="center"/>
    </xf>
    <xf numFmtId="0" fontId="30" fillId="0" borderId="15" xfId="0" applyFont="1" applyBorder="1" applyAlignment="1">
      <alignment horizontal="center"/>
    </xf>
    <xf numFmtId="0" fontId="30" fillId="0" borderId="15" xfId="0" applyFont="1" applyBorder="1"/>
    <xf numFmtId="0" fontId="31" fillId="0" borderId="15" xfId="0" applyFont="1" applyBorder="1"/>
    <xf numFmtId="0" fontId="29" fillId="3" borderId="15" xfId="0" applyFont="1" applyFill="1" applyBorder="1" applyAlignment="1">
      <alignment vertical="center"/>
    </xf>
    <xf numFmtId="0" fontId="26" fillId="0" borderId="0" xfId="0" applyFont="1" applyAlignment="1">
      <alignment horizontal="center"/>
    </xf>
    <xf numFmtId="0" fontId="6" fillId="0" borderId="15" xfId="0" applyFont="1" applyBorder="1" applyAlignment="1">
      <alignment horizontal="center"/>
    </xf>
    <xf numFmtId="0" fontId="32" fillId="0" borderId="15" xfId="0" applyFont="1" applyBorder="1" applyAlignment="1">
      <alignment horizontal="center"/>
    </xf>
    <xf numFmtId="0" fontId="33" fillId="0" borderId="15" xfId="0" applyFont="1" applyBorder="1" applyAlignment="1">
      <alignment horizontal="left"/>
    </xf>
    <xf numFmtId="0" fontId="6" fillId="0" borderId="15" xfId="0" applyFont="1" applyBorder="1"/>
    <xf numFmtId="0" fontId="34" fillId="0" borderId="15" xfId="0" applyFont="1" applyBorder="1"/>
    <xf numFmtId="0" fontId="5" fillId="0" borderId="15" xfId="0" applyFont="1" applyBorder="1" applyAlignment="1">
      <alignment horizontal="left"/>
    </xf>
    <xf numFmtId="0" fontId="33" fillId="0" borderId="18" xfId="0" applyFont="1" applyBorder="1" applyAlignment="1">
      <alignment horizontal="left"/>
    </xf>
    <xf numFmtId="0" fontId="6" fillId="0" borderId="15" xfId="0" applyFont="1" applyBorder="1" applyAlignment="1">
      <alignment horizontal="left"/>
    </xf>
    <xf numFmtId="0" fontId="5" fillId="0" borderId="18" xfId="0" applyFont="1" applyBorder="1" applyAlignment="1">
      <alignment horizontal="left"/>
    </xf>
    <xf numFmtId="0" fontId="38" fillId="0" borderId="0" xfId="0" applyFont="1" applyAlignment="1">
      <alignment vertical="top" wrapText="1"/>
    </xf>
    <xf numFmtId="0" fontId="36" fillId="2" borderId="6" xfId="0" applyFont="1" applyFill="1" applyBorder="1" applyAlignment="1">
      <alignment horizontal="center" vertical="top" wrapText="1"/>
    </xf>
    <xf numFmtId="0" fontId="36" fillId="2" borderId="12" xfId="0" applyFont="1" applyFill="1" applyBorder="1" applyAlignment="1">
      <alignment horizontal="center" vertical="top" wrapText="1"/>
    </xf>
    <xf numFmtId="0" fontId="39" fillId="0" borderId="13" xfId="0" applyFont="1" applyBorder="1" applyAlignment="1">
      <alignment horizontal="center" vertical="top" wrapText="1"/>
    </xf>
    <xf numFmtId="0" fontId="39" fillId="0" borderId="14" xfId="0" applyFont="1" applyBorder="1" applyAlignment="1">
      <alignment horizontal="center" vertical="top" wrapText="1"/>
    </xf>
    <xf numFmtId="0" fontId="39" fillId="0" borderId="14" xfId="0" applyFont="1" applyBorder="1" applyAlignment="1">
      <alignment horizontal="left" vertical="top" wrapText="1"/>
    </xf>
    <xf numFmtId="0" fontId="39" fillId="0" borderId="15" xfId="0" applyFont="1" applyBorder="1" applyAlignment="1">
      <alignment horizontal="center" vertical="top" wrapText="1"/>
    </xf>
    <xf numFmtId="0" fontId="39" fillId="0" borderId="15" xfId="0" applyFont="1" applyBorder="1" applyAlignment="1">
      <alignment horizontal="left" vertical="top" wrapText="1"/>
    </xf>
    <xf numFmtId="0" fontId="40" fillId="0" borderId="15" xfId="0" applyFont="1" applyBorder="1" applyAlignment="1">
      <alignment horizontal="center" vertical="top" wrapText="1"/>
    </xf>
    <xf numFmtId="0" fontId="40" fillId="0" borderId="15" xfId="0" applyFont="1" applyBorder="1" applyAlignment="1">
      <alignment horizontal="left" vertical="top" wrapText="1"/>
    </xf>
    <xf numFmtId="0" fontId="39" fillId="3" borderId="15" xfId="0" applyFont="1" applyFill="1" applyBorder="1" applyAlignment="1">
      <alignment horizontal="center" vertical="top" wrapText="1"/>
    </xf>
    <xf numFmtId="0" fontId="39" fillId="3" borderId="15" xfId="0" applyFont="1" applyFill="1" applyBorder="1" applyAlignment="1">
      <alignment horizontal="left" vertical="top" wrapText="1"/>
    </xf>
    <xf numFmtId="0" fontId="39" fillId="0" borderId="6" xfId="0" applyFont="1" applyBorder="1" applyAlignment="1">
      <alignment horizontal="center" vertical="top" wrapText="1"/>
    </xf>
    <xf numFmtId="0" fontId="39" fillId="0" borderId="6" xfId="0" applyFont="1" applyBorder="1" applyAlignment="1">
      <alignment horizontal="left" vertical="top" wrapText="1"/>
    </xf>
    <xf numFmtId="0" fontId="39" fillId="0" borderId="0" xfId="0" applyFont="1" applyAlignment="1">
      <alignment horizontal="left" vertical="top" wrapText="1"/>
    </xf>
    <xf numFmtId="0" fontId="38" fillId="0" borderId="5" xfId="0" applyFont="1" applyBorder="1" applyAlignment="1">
      <alignment horizontal="left" vertical="top" wrapText="1"/>
    </xf>
    <xf numFmtId="0" fontId="38" fillId="0" borderId="4" xfId="0" applyFont="1" applyBorder="1" applyAlignment="1">
      <alignment horizontal="left" vertical="top" wrapText="1"/>
    </xf>
    <xf numFmtId="0" fontId="38" fillId="0" borderId="16" xfId="0" applyFont="1" applyBorder="1" applyAlignment="1">
      <alignment horizontal="left" vertical="top" wrapText="1"/>
    </xf>
    <xf numFmtId="0" fontId="38" fillId="0" borderId="15" xfId="0" applyFont="1" applyBorder="1" applyAlignment="1">
      <alignment horizontal="left" vertical="top" wrapText="1"/>
    </xf>
    <xf numFmtId="0" fontId="38" fillId="0" borderId="6" xfId="0" applyFont="1" applyBorder="1" applyAlignment="1">
      <alignment horizontal="left" vertical="top" wrapText="1"/>
    </xf>
    <xf numFmtId="0" fontId="39" fillId="3" borderId="17" xfId="0" applyFont="1" applyFill="1" applyBorder="1" applyAlignment="1">
      <alignment horizontal="center" vertical="top" wrapText="1"/>
    </xf>
    <xf numFmtId="0" fontId="39" fillId="3" borderId="6" xfId="0" applyFont="1" applyFill="1" applyBorder="1" applyAlignment="1">
      <alignment horizontal="center" vertical="top" wrapText="1"/>
    </xf>
    <xf numFmtId="0" fontId="39" fillId="3" borderId="6" xfId="0" applyFont="1" applyFill="1" applyBorder="1" applyAlignment="1">
      <alignment horizontal="left" vertical="top" wrapText="1"/>
    </xf>
    <xf numFmtId="0" fontId="39" fillId="0" borderId="10" xfId="0" applyFont="1" applyBorder="1" applyAlignment="1">
      <alignment horizontal="center" vertical="top" wrapText="1"/>
    </xf>
    <xf numFmtId="0" fontId="40" fillId="0" borderId="14" xfId="0" applyFont="1" applyBorder="1" applyAlignment="1">
      <alignment horizontal="left" vertical="top" wrapText="1"/>
    </xf>
    <xf numFmtId="0" fontId="40" fillId="0" borderId="6" xfId="0" applyFont="1" applyBorder="1" applyAlignment="1">
      <alignment horizontal="left" vertical="top" wrapText="1"/>
    </xf>
    <xf numFmtId="0" fontId="39" fillId="3" borderId="14" xfId="0" applyFont="1" applyFill="1" applyBorder="1" applyAlignment="1">
      <alignment horizontal="center" vertical="top" wrapText="1"/>
    </xf>
    <xf numFmtId="0" fontId="39" fillId="3" borderId="14" xfId="0" applyFont="1" applyFill="1" applyBorder="1" applyAlignment="1">
      <alignment horizontal="left" vertical="top" wrapText="1"/>
    </xf>
    <xf numFmtId="0" fontId="39" fillId="0" borderId="0" xfId="0" applyFont="1" applyAlignment="1">
      <alignment horizontal="center" vertical="top" wrapText="1"/>
    </xf>
    <xf numFmtId="0" fontId="39" fillId="0" borderId="16" xfId="0" applyFont="1" applyBorder="1" applyAlignment="1">
      <alignment horizontal="center" vertical="top" wrapText="1"/>
    </xf>
    <xf numFmtId="0" fontId="39" fillId="0" borderId="16" xfId="0" applyFont="1" applyBorder="1" applyAlignment="1">
      <alignment horizontal="left" vertical="top" wrapText="1"/>
    </xf>
    <xf numFmtId="0" fontId="39" fillId="0" borderId="16" xfId="0" applyFont="1" applyBorder="1" applyAlignment="1">
      <alignment vertical="top" wrapText="1"/>
    </xf>
    <xf numFmtId="0" fontId="39" fillId="0" borderId="16" xfId="0" applyFont="1" applyBorder="1" applyAlignment="1">
      <alignment horizontal="right" vertical="top" wrapText="1"/>
    </xf>
    <xf numFmtId="0" fontId="39" fillId="0" borderId="0" xfId="0" applyFont="1" applyAlignment="1">
      <alignment vertical="top" wrapText="1"/>
    </xf>
    <xf numFmtId="0" fontId="39" fillId="0" borderId="0" xfId="0" applyFont="1" applyAlignment="1">
      <alignment horizontal="right" vertical="top" wrapText="1"/>
    </xf>
    <xf numFmtId="0" fontId="39" fillId="8" borderId="15" xfId="0" applyFont="1" applyFill="1" applyBorder="1" applyAlignment="1">
      <alignment horizontal="center" vertical="top" wrapText="1"/>
    </xf>
    <xf numFmtId="0" fontId="39" fillId="8" borderId="15" xfId="0" applyFont="1" applyFill="1" applyBorder="1" applyAlignment="1">
      <alignment horizontal="left" vertical="top" wrapText="1"/>
    </xf>
    <xf numFmtId="0" fontId="38" fillId="8" borderId="0" xfId="0" applyFont="1" applyFill="1" applyAlignment="1">
      <alignment vertical="top" wrapText="1"/>
    </xf>
    <xf numFmtId="0" fontId="36" fillId="2" borderId="0" xfId="0" applyFont="1" applyFill="1" applyAlignment="1">
      <alignment horizontal="center" vertical="top" wrapText="1"/>
    </xf>
    <xf numFmtId="0" fontId="38" fillId="0" borderId="0" xfId="0" applyFont="1" applyAlignment="1">
      <alignment vertical="top" wrapText="1"/>
    </xf>
    <xf numFmtId="0" fontId="36" fillId="2" borderId="1" xfId="0" applyFont="1" applyFill="1" applyBorder="1" applyAlignment="1">
      <alignment horizontal="center" vertical="top" wrapText="1"/>
    </xf>
    <xf numFmtId="0" fontId="37" fillId="0" borderId="2" xfId="0" applyFont="1" applyBorder="1" applyAlignment="1">
      <alignment vertical="top" wrapText="1"/>
    </xf>
    <xf numFmtId="0" fontId="37" fillId="0" borderId="3" xfId="0" applyFont="1" applyBorder="1" applyAlignment="1">
      <alignment vertical="top" wrapText="1"/>
    </xf>
    <xf numFmtId="0" fontId="36" fillId="2" borderId="4" xfId="0" applyFont="1" applyFill="1" applyBorder="1" applyAlignment="1">
      <alignment horizontal="center" vertical="top" wrapText="1"/>
    </xf>
    <xf numFmtId="0" fontId="37" fillId="0" borderId="10" xfId="0" applyFont="1" applyBorder="1" applyAlignment="1">
      <alignment vertical="top" wrapText="1"/>
    </xf>
    <xf numFmtId="0" fontId="36" fillId="2" borderId="7" xfId="0" applyFont="1" applyFill="1" applyBorder="1" applyAlignment="1">
      <alignment horizontal="center" vertical="top" wrapText="1"/>
    </xf>
    <xf numFmtId="0" fontId="37" fillId="0" borderId="8" xfId="0" applyFont="1" applyBorder="1" applyAlignment="1">
      <alignment vertical="top" wrapText="1"/>
    </xf>
    <xf numFmtId="0" fontId="37" fillId="0" borderId="9" xfId="0" applyFont="1" applyBorder="1" applyAlignment="1">
      <alignment vertical="top" wrapText="1"/>
    </xf>
    <xf numFmtId="0" fontId="1" fillId="0" borderId="0" xfId="0" applyFont="1"/>
    <xf numFmtId="0" fontId="0" fillId="0" borderId="0" xfId="0"/>
    <xf numFmtId="0" fontId="1" fillId="0" borderId="0" xfId="0" applyFont="1" applyAlignment="1">
      <alignment horizontal="left"/>
    </xf>
    <xf numFmtId="0" fontId="2" fillId="0" borderId="0" xfId="0" applyFont="1"/>
    <xf numFmtId="0" fontId="2" fillId="0" borderId="0" xfId="0" applyFont="1" applyAlignment="1">
      <alignment horizontal="left" vertical="center" wrapText="1"/>
    </xf>
    <xf numFmtId="0" fontId="2" fillId="0" borderId="0" xfId="0" applyFont="1" applyAlignment="1">
      <alignment wrapText="1"/>
    </xf>
    <xf numFmtId="0" fontId="8" fillId="0" borderId="0" xfId="0" applyFont="1" applyAlignment="1">
      <alignment horizontal="left" vertical="top"/>
    </xf>
    <xf numFmtId="0" fontId="8" fillId="4" borderId="18" xfId="0" applyFont="1" applyFill="1" applyBorder="1" applyAlignment="1">
      <alignment horizontal="center" vertical="top"/>
    </xf>
    <xf numFmtId="0" fontId="4" fillId="0" borderId="19" xfId="0" applyFont="1" applyBorder="1"/>
    <xf numFmtId="0" fontId="12" fillId="5" borderId="6" xfId="0" applyFont="1" applyFill="1" applyBorder="1" applyAlignment="1">
      <alignment horizontal="center" vertical="center"/>
    </xf>
    <xf numFmtId="0" fontId="4" fillId="0" borderId="10" xfId="0" applyFont="1" applyBorder="1"/>
    <xf numFmtId="0" fontId="12" fillId="5" borderId="18" xfId="0" applyFont="1" applyFill="1" applyBorder="1" applyAlignment="1">
      <alignment horizontal="center" vertical="center"/>
    </xf>
    <xf numFmtId="0" fontId="12" fillId="0" borderId="6" xfId="0" applyFont="1" applyBorder="1" applyAlignment="1">
      <alignment horizontal="center" vertical="center"/>
    </xf>
    <xf numFmtId="0" fontId="4" fillId="0" borderId="12" xfId="0" applyFont="1" applyBorder="1"/>
    <xf numFmtId="0" fontId="14"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20" xfId="0" applyFont="1" applyBorder="1"/>
    <xf numFmtId="0" fontId="4" fillId="0" borderId="21" xfId="0" applyFont="1" applyBorder="1"/>
    <xf numFmtId="0" fontId="4" fillId="0" borderId="23" xfId="0" applyFont="1" applyBorder="1"/>
    <xf numFmtId="0" fontId="4" fillId="0" borderId="24" xfId="0" applyFont="1" applyBorder="1"/>
    <xf numFmtId="0" fontId="4" fillId="0" borderId="11" xfId="0" applyFont="1" applyBorder="1"/>
    <xf numFmtId="0" fontId="15" fillId="0" borderId="18" xfId="0" applyFont="1" applyBorder="1" applyAlignment="1">
      <alignment horizontal="center" vertical="center"/>
    </xf>
    <xf numFmtId="0" fontId="4" fillId="0" borderId="22" xfId="0" applyFont="1" applyBorder="1"/>
    <xf numFmtId="0" fontId="17" fillId="2" borderId="4" xfId="0" applyFont="1" applyFill="1" applyBorder="1" applyAlignment="1">
      <alignment horizontal="center" vertical="center"/>
    </xf>
    <xf numFmtId="0" fontId="18" fillId="0" borderId="4" xfId="0" applyFont="1" applyBorder="1" applyAlignment="1">
      <alignment horizontal="center" vertical="center"/>
    </xf>
    <xf numFmtId="0" fontId="16" fillId="2" borderId="4" xfId="0" applyFont="1" applyFill="1" applyBorder="1" applyAlignment="1">
      <alignment horizontal="center" vertical="center"/>
    </xf>
    <xf numFmtId="0" fontId="17" fillId="2" borderId="25" xfId="0" applyFont="1" applyFill="1" applyBorder="1" applyAlignment="1">
      <alignment horizontal="center" vertical="center"/>
    </xf>
    <xf numFmtId="0" fontId="4" fillId="0" borderId="5" xfId="0" applyFont="1" applyBorder="1"/>
    <xf numFmtId="0" fontId="3" fillId="2" borderId="4" xfId="0" applyFont="1" applyFill="1" applyBorder="1" applyAlignment="1">
      <alignment horizontal="center" vertical="center"/>
    </xf>
    <xf numFmtId="0" fontId="3" fillId="2" borderId="25" xfId="0" applyFont="1" applyFill="1" applyBorder="1" applyAlignment="1">
      <alignment horizontal="center" vertical="center"/>
    </xf>
    <xf numFmtId="0" fontId="4" fillId="0" borderId="16" xfId="0" applyFont="1" applyBorder="1"/>
    <xf numFmtId="49" fontId="3" fillId="2" borderId="4" xfId="0" applyNumberFormat="1" applyFont="1" applyFill="1" applyBorder="1" applyAlignment="1">
      <alignment horizontal="center" vertical="center"/>
    </xf>
    <xf numFmtId="0" fontId="23"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T34"/>
  <sheetViews>
    <sheetView workbookViewId="0">
      <selection activeCell="C11" sqref="C11:R11"/>
    </sheetView>
  </sheetViews>
  <sheetFormatPr defaultColWidth="12.77734375" defaultRowHeight="15.75" customHeight="1"/>
  <cols>
    <col min="2" max="2" width="28.77734375" customWidth="1"/>
  </cols>
  <sheetData>
    <row r="1" spans="2:19" ht="15.75" customHeight="1">
      <c r="B1" s="179" t="s">
        <v>0</v>
      </c>
      <c r="C1" s="180"/>
      <c r="D1" s="180"/>
      <c r="E1" s="180"/>
      <c r="F1" s="180"/>
      <c r="G1" s="180"/>
      <c r="H1" s="180"/>
      <c r="I1" s="180"/>
      <c r="J1" s="180"/>
      <c r="K1" s="180"/>
      <c r="L1" s="180"/>
      <c r="M1" s="180"/>
    </row>
    <row r="2" spans="2:19" ht="15.75" customHeight="1">
      <c r="B2" s="181" t="s">
        <v>1</v>
      </c>
      <c r="C2" s="180"/>
      <c r="D2" s="180"/>
      <c r="E2" s="180"/>
      <c r="F2" s="180"/>
      <c r="G2" s="180"/>
      <c r="H2" s="180"/>
      <c r="I2" s="180"/>
      <c r="J2" s="180"/>
      <c r="K2" s="180"/>
      <c r="L2" s="180"/>
      <c r="M2" s="180"/>
      <c r="N2" s="180"/>
      <c r="O2" s="180"/>
      <c r="P2" s="180"/>
      <c r="Q2" s="180"/>
    </row>
    <row r="3" spans="2:19" ht="15.75" customHeight="1">
      <c r="B3" s="181" t="s">
        <v>2</v>
      </c>
      <c r="C3" s="180"/>
      <c r="D3" s="180"/>
      <c r="E3" s="180"/>
      <c r="F3" s="180"/>
      <c r="G3" s="180"/>
      <c r="H3" s="180"/>
      <c r="I3" s="180"/>
      <c r="J3" s="180"/>
      <c r="K3" s="180"/>
      <c r="L3" s="180"/>
      <c r="M3" s="180"/>
      <c r="N3" s="180"/>
      <c r="O3" s="180"/>
      <c r="P3" s="180"/>
      <c r="Q3" s="180"/>
    </row>
    <row r="4" spans="2:19" ht="15.75" customHeight="1">
      <c r="B4" s="2" t="s">
        <v>3</v>
      </c>
    </row>
    <row r="5" spans="2:19" ht="15.75" customHeight="1">
      <c r="B5" s="3" t="s">
        <v>4</v>
      </c>
      <c r="C5" s="182" t="s">
        <v>5</v>
      </c>
      <c r="D5" s="180"/>
      <c r="E5" s="180"/>
      <c r="F5" s="180"/>
      <c r="G5" s="180"/>
      <c r="H5" s="180"/>
      <c r="I5" s="180"/>
      <c r="J5" s="180"/>
      <c r="K5" s="180"/>
      <c r="L5" s="180"/>
      <c r="M5" s="180"/>
      <c r="N5" s="180"/>
      <c r="O5" s="180"/>
      <c r="P5" s="180"/>
      <c r="Q5" s="180"/>
      <c r="R5" s="180"/>
    </row>
    <row r="6" spans="2:19" ht="15.75" customHeight="1">
      <c r="B6" s="3"/>
      <c r="C6" s="183" t="s">
        <v>6</v>
      </c>
      <c r="D6" s="180"/>
      <c r="E6" s="180"/>
      <c r="F6" s="180"/>
      <c r="G6" s="180"/>
      <c r="H6" s="180"/>
      <c r="I6" s="180"/>
      <c r="J6" s="180"/>
      <c r="K6" s="180"/>
      <c r="L6" s="180"/>
      <c r="M6" s="180"/>
      <c r="N6" s="180"/>
      <c r="O6" s="180"/>
      <c r="P6" s="180"/>
      <c r="Q6" s="180"/>
      <c r="R6" s="180"/>
      <c r="S6" s="180"/>
    </row>
    <row r="7" spans="2:19" ht="15.75" customHeight="1">
      <c r="B7" s="3" t="s">
        <v>7</v>
      </c>
      <c r="C7" s="182" t="s">
        <v>8</v>
      </c>
      <c r="D7" s="180"/>
      <c r="E7" s="180"/>
      <c r="F7" s="180"/>
      <c r="G7" s="180"/>
      <c r="H7" s="180"/>
      <c r="I7" s="180"/>
      <c r="J7" s="180"/>
      <c r="K7" s="180"/>
      <c r="L7" s="180"/>
      <c r="M7" s="180"/>
      <c r="N7" s="180"/>
      <c r="O7" s="180"/>
      <c r="P7" s="180"/>
      <c r="Q7" s="180"/>
      <c r="R7" s="180"/>
    </row>
    <row r="8" spans="2:19" ht="15.75" customHeight="1">
      <c r="B8" s="3"/>
      <c r="C8" s="184" t="s">
        <v>9</v>
      </c>
      <c r="D8" s="180"/>
      <c r="E8" s="180"/>
      <c r="F8" s="180"/>
      <c r="G8" s="180"/>
      <c r="H8" s="180"/>
      <c r="I8" s="180"/>
      <c r="J8" s="180"/>
      <c r="K8" s="180"/>
      <c r="L8" s="180"/>
      <c r="M8" s="180"/>
      <c r="N8" s="180"/>
      <c r="O8" s="180"/>
      <c r="P8" s="180"/>
      <c r="Q8" s="180"/>
      <c r="R8" s="180"/>
      <c r="S8" s="180"/>
    </row>
    <row r="9" spans="2:19" ht="15.75" customHeight="1">
      <c r="B9" s="3" t="s">
        <v>10</v>
      </c>
      <c r="C9" s="182" t="s">
        <v>11</v>
      </c>
      <c r="D9" s="180"/>
      <c r="E9" s="180"/>
      <c r="F9" s="180"/>
      <c r="G9" s="180"/>
      <c r="H9" s="180"/>
      <c r="I9" s="180"/>
      <c r="J9" s="180"/>
      <c r="K9" s="180"/>
      <c r="L9" s="180"/>
      <c r="M9" s="180"/>
      <c r="N9" s="180"/>
      <c r="O9" s="180"/>
      <c r="P9" s="180"/>
      <c r="Q9" s="180"/>
      <c r="R9" s="180"/>
    </row>
    <row r="10" spans="2:19" ht="15.75" customHeight="1">
      <c r="B10" s="3"/>
      <c r="C10" s="184" t="s">
        <v>12</v>
      </c>
      <c r="D10" s="180"/>
      <c r="E10" s="180"/>
      <c r="F10" s="180"/>
      <c r="G10" s="180"/>
      <c r="H10" s="180"/>
      <c r="I10" s="180"/>
      <c r="J10" s="180"/>
      <c r="K10" s="180"/>
      <c r="L10" s="180"/>
      <c r="M10" s="180"/>
      <c r="N10" s="180"/>
      <c r="O10" s="180"/>
      <c r="P10" s="180"/>
      <c r="Q10" s="180"/>
      <c r="R10" s="180"/>
      <c r="S10" s="180"/>
    </row>
    <row r="11" spans="2:19" ht="15.75" customHeight="1">
      <c r="B11" s="3" t="s">
        <v>13</v>
      </c>
      <c r="C11" s="182" t="s">
        <v>14</v>
      </c>
      <c r="D11" s="180"/>
      <c r="E11" s="180"/>
      <c r="F11" s="180"/>
      <c r="G11" s="180"/>
      <c r="H11" s="180"/>
      <c r="I11" s="180"/>
      <c r="J11" s="180"/>
      <c r="K11" s="180"/>
      <c r="L11" s="180"/>
      <c r="M11" s="180"/>
      <c r="N11" s="180"/>
      <c r="O11" s="180"/>
      <c r="P11" s="180"/>
      <c r="Q11" s="180"/>
      <c r="R11" s="180"/>
    </row>
    <row r="12" spans="2:19" ht="15.75" customHeight="1">
      <c r="B12" s="3"/>
      <c r="C12" s="184" t="s">
        <v>15</v>
      </c>
      <c r="D12" s="180"/>
      <c r="E12" s="180"/>
      <c r="F12" s="180"/>
      <c r="G12" s="180"/>
      <c r="H12" s="180"/>
      <c r="I12" s="180"/>
      <c r="J12" s="180"/>
      <c r="K12" s="180"/>
      <c r="L12" s="180"/>
      <c r="M12" s="180"/>
      <c r="N12" s="180"/>
      <c r="O12" s="180"/>
      <c r="P12" s="180"/>
      <c r="Q12" s="180"/>
      <c r="R12" s="180"/>
      <c r="S12" s="180"/>
    </row>
    <row r="13" spans="2:19" ht="15.75" customHeight="1">
      <c r="B13" s="3" t="s">
        <v>16</v>
      </c>
      <c r="C13" s="182" t="s">
        <v>17</v>
      </c>
      <c r="D13" s="180"/>
      <c r="E13" s="180"/>
      <c r="F13" s="180"/>
      <c r="G13" s="180"/>
      <c r="H13" s="180"/>
      <c r="I13" s="180"/>
      <c r="J13" s="180"/>
      <c r="K13" s="180"/>
      <c r="L13" s="180"/>
      <c r="M13" s="180"/>
      <c r="N13" s="180"/>
      <c r="O13" s="180"/>
      <c r="P13" s="180"/>
      <c r="Q13" s="180"/>
      <c r="R13" s="180"/>
    </row>
    <row r="14" spans="2:19" ht="15.75" customHeight="1">
      <c r="B14" s="3"/>
      <c r="C14" s="184" t="s">
        <v>18</v>
      </c>
      <c r="D14" s="180"/>
      <c r="E14" s="180"/>
      <c r="F14" s="180"/>
      <c r="G14" s="180"/>
      <c r="H14" s="180"/>
      <c r="I14" s="180"/>
      <c r="J14" s="180"/>
      <c r="K14" s="180"/>
      <c r="L14" s="180"/>
      <c r="M14" s="180"/>
      <c r="N14" s="180"/>
      <c r="O14" s="180"/>
      <c r="P14" s="180"/>
      <c r="Q14" s="180"/>
      <c r="R14" s="180"/>
      <c r="S14" s="180"/>
    </row>
    <row r="15" spans="2:19" ht="15.75" customHeight="1">
      <c r="B15" s="3" t="s">
        <v>19</v>
      </c>
      <c r="C15" s="182" t="s">
        <v>20</v>
      </c>
      <c r="D15" s="180"/>
      <c r="E15" s="180"/>
      <c r="F15" s="180"/>
      <c r="G15" s="180"/>
      <c r="H15" s="180"/>
      <c r="I15" s="180"/>
      <c r="J15" s="180"/>
      <c r="K15" s="180"/>
      <c r="L15" s="180"/>
      <c r="M15" s="180"/>
      <c r="N15" s="180"/>
      <c r="O15" s="180"/>
      <c r="P15" s="180"/>
      <c r="Q15" s="180"/>
      <c r="R15" s="180"/>
    </row>
    <row r="16" spans="2:19" ht="15.75" customHeight="1">
      <c r="B16" s="3"/>
      <c r="C16" s="184" t="s">
        <v>21</v>
      </c>
      <c r="D16" s="180"/>
      <c r="E16" s="180"/>
      <c r="F16" s="180"/>
      <c r="G16" s="180"/>
      <c r="H16" s="180"/>
      <c r="I16" s="180"/>
      <c r="J16" s="180"/>
      <c r="K16" s="180"/>
      <c r="L16" s="180"/>
      <c r="M16" s="180"/>
      <c r="N16" s="180"/>
      <c r="O16" s="180"/>
      <c r="P16" s="180"/>
      <c r="Q16" s="180"/>
      <c r="R16" s="180"/>
      <c r="S16" s="180"/>
    </row>
    <row r="17" spans="2:20" ht="15.75" customHeight="1">
      <c r="B17" s="3" t="s">
        <v>22</v>
      </c>
      <c r="C17" s="182" t="s">
        <v>23</v>
      </c>
      <c r="D17" s="180"/>
      <c r="E17" s="180"/>
      <c r="F17" s="180"/>
      <c r="G17" s="180"/>
      <c r="H17" s="180"/>
      <c r="I17" s="180"/>
      <c r="J17" s="180"/>
      <c r="K17" s="180"/>
      <c r="L17" s="180"/>
      <c r="M17" s="180"/>
      <c r="N17" s="180"/>
      <c r="O17" s="180"/>
      <c r="P17" s="180"/>
      <c r="Q17" s="180"/>
      <c r="R17" s="180"/>
    </row>
    <row r="18" spans="2:20" ht="15.75" customHeight="1">
      <c r="B18" s="3"/>
      <c r="C18" s="184" t="s">
        <v>24</v>
      </c>
      <c r="D18" s="180"/>
      <c r="E18" s="180"/>
      <c r="F18" s="180"/>
      <c r="G18" s="180"/>
      <c r="H18" s="180"/>
      <c r="I18" s="180"/>
      <c r="J18" s="180"/>
      <c r="K18" s="180"/>
      <c r="L18" s="180"/>
      <c r="M18" s="180"/>
      <c r="N18" s="180"/>
      <c r="O18" s="180"/>
      <c r="P18" s="180"/>
      <c r="Q18" s="180"/>
      <c r="R18" s="180"/>
      <c r="S18" s="180"/>
    </row>
    <row r="19" spans="2:20" ht="15.75" customHeight="1">
      <c r="B19" s="3" t="s">
        <v>25</v>
      </c>
      <c r="C19" s="182" t="s">
        <v>26</v>
      </c>
      <c r="D19" s="180"/>
      <c r="E19" s="180"/>
      <c r="F19" s="180"/>
      <c r="G19" s="180"/>
      <c r="H19" s="180"/>
      <c r="I19" s="180"/>
      <c r="J19" s="180"/>
      <c r="K19" s="180"/>
      <c r="L19" s="180"/>
      <c r="M19" s="180"/>
      <c r="N19" s="180"/>
      <c r="O19" s="180"/>
      <c r="P19" s="180"/>
      <c r="Q19" s="180"/>
      <c r="R19" s="180"/>
    </row>
    <row r="20" spans="2:20" ht="15.75" customHeight="1">
      <c r="B20" s="3"/>
      <c r="C20" s="184" t="s">
        <v>27</v>
      </c>
      <c r="D20" s="180"/>
      <c r="E20" s="180"/>
      <c r="F20" s="180"/>
      <c r="G20" s="180"/>
      <c r="H20" s="180"/>
      <c r="I20" s="180"/>
      <c r="J20" s="180"/>
      <c r="K20" s="180"/>
      <c r="L20" s="180"/>
      <c r="M20" s="180"/>
      <c r="N20" s="180"/>
      <c r="O20" s="180"/>
      <c r="P20" s="180"/>
      <c r="Q20" s="180"/>
      <c r="R20" s="180"/>
      <c r="S20" s="180"/>
    </row>
    <row r="21" spans="2:20" ht="15.75" customHeight="1">
      <c r="B21" s="3" t="s">
        <v>28</v>
      </c>
      <c r="C21" s="182" t="s">
        <v>29</v>
      </c>
      <c r="D21" s="180"/>
      <c r="E21" s="180"/>
      <c r="F21" s="180"/>
      <c r="G21" s="180"/>
      <c r="H21" s="180"/>
      <c r="I21" s="180"/>
      <c r="J21" s="180"/>
      <c r="K21" s="180"/>
      <c r="L21" s="180"/>
      <c r="M21" s="180"/>
      <c r="N21" s="180"/>
      <c r="O21" s="180"/>
      <c r="P21" s="180"/>
      <c r="Q21" s="180"/>
      <c r="R21" s="180"/>
    </row>
    <row r="22" spans="2:20" ht="15.75" customHeight="1">
      <c r="B22" s="3"/>
      <c r="C22" s="184" t="s">
        <v>30</v>
      </c>
      <c r="D22" s="180"/>
      <c r="E22" s="180"/>
      <c r="F22" s="180"/>
      <c r="G22" s="180"/>
      <c r="H22" s="180"/>
      <c r="I22" s="180"/>
      <c r="J22" s="180"/>
      <c r="K22" s="180"/>
      <c r="L22" s="180"/>
      <c r="M22" s="180"/>
      <c r="N22" s="180"/>
      <c r="O22" s="180"/>
      <c r="P22" s="180"/>
      <c r="Q22" s="180"/>
      <c r="R22" s="180"/>
      <c r="S22" s="180"/>
    </row>
    <row r="23" spans="2:20" ht="19.2">
      <c r="B23" s="3" t="s">
        <v>31</v>
      </c>
      <c r="C23" s="182" t="s">
        <v>32</v>
      </c>
      <c r="D23" s="180"/>
      <c r="E23" s="180"/>
      <c r="F23" s="180"/>
      <c r="G23" s="180"/>
      <c r="H23" s="180"/>
      <c r="I23" s="180"/>
      <c r="J23" s="180"/>
      <c r="K23" s="180"/>
      <c r="L23" s="180"/>
      <c r="M23" s="180"/>
      <c r="N23" s="180"/>
      <c r="O23" s="180"/>
      <c r="P23" s="180"/>
      <c r="Q23" s="180"/>
      <c r="R23" s="180"/>
    </row>
    <row r="24" spans="2:20" ht="13.8">
      <c r="C24" s="184" t="s">
        <v>33</v>
      </c>
      <c r="D24" s="180"/>
      <c r="E24" s="180"/>
      <c r="F24" s="180"/>
      <c r="G24" s="180"/>
      <c r="H24" s="180"/>
      <c r="I24" s="180"/>
      <c r="J24" s="180"/>
      <c r="K24" s="180"/>
      <c r="L24" s="180"/>
      <c r="M24" s="180"/>
      <c r="N24" s="180"/>
      <c r="O24" s="180"/>
      <c r="P24" s="180"/>
      <c r="Q24" s="180"/>
      <c r="R24" s="180"/>
      <c r="S24" s="180"/>
    </row>
    <row r="25" spans="2:20" ht="19.2">
      <c r="B25" s="3" t="s">
        <v>34</v>
      </c>
      <c r="C25" s="182" t="s">
        <v>35</v>
      </c>
      <c r="D25" s="180"/>
      <c r="E25" s="180"/>
      <c r="F25" s="180"/>
      <c r="G25" s="180"/>
      <c r="H25" s="180"/>
      <c r="I25" s="180"/>
      <c r="J25" s="180"/>
      <c r="K25" s="180"/>
      <c r="L25" s="180"/>
      <c r="M25" s="180"/>
      <c r="N25" s="180"/>
      <c r="O25" s="180"/>
      <c r="P25" s="180"/>
      <c r="Q25" s="180"/>
      <c r="R25" s="180"/>
    </row>
    <row r="26" spans="2:20" ht="13.8">
      <c r="C26" s="184" t="s">
        <v>36</v>
      </c>
      <c r="D26" s="180"/>
      <c r="E26" s="180"/>
      <c r="F26" s="180"/>
      <c r="G26" s="180"/>
      <c r="H26" s="180"/>
      <c r="I26" s="180"/>
      <c r="J26" s="180"/>
      <c r="K26" s="180"/>
      <c r="L26" s="180"/>
      <c r="M26" s="180"/>
      <c r="N26" s="180"/>
      <c r="O26" s="180"/>
      <c r="P26" s="180"/>
      <c r="Q26" s="180"/>
      <c r="R26" s="180"/>
      <c r="S26" s="180"/>
    </row>
    <row r="27" spans="2:20" ht="18.600000000000001">
      <c r="C27" s="184"/>
      <c r="D27" s="180"/>
      <c r="E27" s="180"/>
      <c r="F27" s="180"/>
      <c r="G27" s="180"/>
      <c r="H27" s="180"/>
      <c r="I27" s="180"/>
      <c r="J27" s="180"/>
      <c r="K27" s="180"/>
      <c r="L27" s="180"/>
      <c r="M27" s="180"/>
      <c r="N27" s="180"/>
      <c r="O27" s="180"/>
      <c r="P27" s="180"/>
      <c r="Q27" s="180"/>
      <c r="R27" s="180"/>
      <c r="S27" s="180"/>
    </row>
    <row r="28" spans="2:20" ht="19.2">
      <c r="B28" s="1"/>
      <c r="C28" s="1"/>
      <c r="D28" s="1"/>
      <c r="E28" s="1"/>
      <c r="F28" s="1"/>
      <c r="G28" s="1"/>
      <c r="H28" s="1"/>
      <c r="I28" s="1"/>
    </row>
    <row r="29" spans="2:20" ht="19.2">
      <c r="B29" s="179" t="s">
        <v>37</v>
      </c>
      <c r="C29" s="180"/>
      <c r="D29" s="180"/>
      <c r="E29" s="180"/>
      <c r="F29" s="180"/>
      <c r="G29" s="180"/>
      <c r="H29" s="180"/>
      <c r="I29" s="180"/>
    </row>
    <row r="30" spans="2:20" ht="19.2">
      <c r="B30" s="3" t="s">
        <v>38</v>
      </c>
      <c r="C30" s="4">
        <v>166</v>
      </c>
    </row>
    <row r="31" spans="2:20" ht="19.2">
      <c r="B31" s="3" t="s">
        <v>39</v>
      </c>
      <c r="C31" s="4">
        <v>35</v>
      </c>
      <c r="D31" s="182" t="s">
        <v>40</v>
      </c>
      <c r="E31" s="180"/>
      <c r="F31" s="180"/>
      <c r="G31" s="180"/>
      <c r="H31" s="180"/>
      <c r="I31" s="180"/>
      <c r="J31" s="180"/>
      <c r="K31" s="180"/>
      <c r="L31" s="180"/>
      <c r="M31" s="180"/>
      <c r="N31" s="180"/>
      <c r="O31" s="180"/>
      <c r="P31" s="180"/>
      <c r="Q31" s="180"/>
      <c r="R31" s="180"/>
      <c r="S31" s="180"/>
      <c r="T31" s="180"/>
    </row>
    <row r="32" spans="2:20" ht="19.2">
      <c r="B32" s="3" t="s">
        <v>41</v>
      </c>
      <c r="C32" s="4">
        <v>5</v>
      </c>
      <c r="D32" s="182" t="s">
        <v>42</v>
      </c>
      <c r="E32" s="180"/>
      <c r="F32" s="180"/>
      <c r="G32" s="180"/>
      <c r="H32" s="180"/>
      <c r="I32" s="180"/>
      <c r="J32" s="180"/>
      <c r="K32" s="180"/>
      <c r="L32" s="180"/>
      <c r="M32" s="180"/>
      <c r="N32" s="180"/>
      <c r="O32" s="180"/>
      <c r="P32" s="180"/>
      <c r="Q32" s="180"/>
      <c r="R32" s="180"/>
      <c r="S32" s="180"/>
    </row>
    <row r="33" spans="2:19" ht="19.2">
      <c r="B33" s="3" t="s">
        <v>43</v>
      </c>
      <c r="C33" s="4">
        <v>3</v>
      </c>
      <c r="D33" s="182" t="s">
        <v>44</v>
      </c>
      <c r="E33" s="180"/>
      <c r="F33" s="180"/>
      <c r="G33" s="180"/>
      <c r="H33" s="180"/>
      <c r="I33" s="180"/>
      <c r="J33" s="180"/>
      <c r="K33" s="180"/>
      <c r="L33" s="180"/>
      <c r="M33" s="180"/>
      <c r="N33" s="180"/>
      <c r="O33" s="180"/>
      <c r="P33" s="180"/>
      <c r="Q33" s="180"/>
      <c r="R33" s="180"/>
      <c r="S33" s="180"/>
    </row>
    <row r="34" spans="2:19" ht="19.2">
      <c r="B34" s="3" t="s">
        <v>45</v>
      </c>
      <c r="C34" s="2">
        <f>SUM(C30:C33)</f>
        <v>209</v>
      </c>
    </row>
  </sheetData>
  <mergeCells count="30">
    <mergeCell ref="C22:S22"/>
    <mergeCell ref="D32:S32"/>
    <mergeCell ref="D33:S33"/>
    <mergeCell ref="C23:R23"/>
    <mergeCell ref="C24:S24"/>
    <mergeCell ref="C25:R25"/>
    <mergeCell ref="C26:S26"/>
    <mergeCell ref="C27:S27"/>
    <mergeCell ref="B29:I29"/>
    <mergeCell ref="D31:T31"/>
    <mergeCell ref="C17:R17"/>
    <mergeCell ref="C18:S18"/>
    <mergeCell ref="C19:R19"/>
    <mergeCell ref="C20:S20"/>
    <mergeCell ref="C21:R21"/>
    <mergeCell ref="C12:S12"/>
    <mergeCell ref="C13:R13"/>
    <mergeCell ref="C14:S14"/>
    <mergeCell ref="C15:R15"/>
    <mergeCell ref="C16:S16"/>
    <mergeCell ref="C7:R7"/>
    <mergeCell ref="C8:S8"/>
    <mergeCell ref="C9:R9"/>
    <mergeCell ref="C10:S10"/>
    <mergeCell ref="C11:R11"/>
    <mergeCell ref="B1:M1"/>
    <mergeCell ref="B2:Q2"/>
    <mergeCell ref="B3:Q3"/>
    <mergeCell ref="C5:R5"/>
    <mergeCell ref="C6:S6"/>
  </mergeCells>
  <phoneticPr fontId="3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M629"/>
  <sheetViews>
    <sheetView tabSelected="1" zoomScale="250" zoomScaleNormal="250" workbookViewId="0">
      <pane ySplit="2" topLeftCell="A161" activePane="bottomLeft" state="frozen"/>
      <selection pane="bottomLeft" activeCell="G162" sqref="G162"/>
    </sheetView>
  </sheetViews>
  <sheetFormatPr defaultColWidth="12.77734375" defaultRowHeight="5.4"/>
  <cols>
    <col min="1" max="1" width="2.77734375" style="131" customWidth="1"/>
    <col min="2" max="2" width="1.44140625" style="131" bestFit="1" customWidth="1"/>
    <col min="3" max="5" width="1.5546875" style="131" bestFit="1" customWidth="1"/>
    <col min="6" max="6" width="1.77734375" style="131" bestFit="1" customWidth="1"/>
    <col min="7" max="7" width="17.77734375" style="131" bestFit="1" customWidth="1"/>
    <col min="8" max="8" width="9.77734375" style="131" bestFit="1" customWidth="1"/>
    <col min="9" max="9" width="49.5546875" style="131" bestFit="1" customWidth="1"/>
    <col min="10" max="10" width="4.5546875" style="131" bestFit="1" customWidth="1"/>
    <col min="11" max="11" width="6.21875" style="131" bestFit="1" customWidth="1"/>
    <col min="12" max="12" width="12" style="131" bestFit="1" customWidth="1"/>
    <col min="13" max="13" width="12.44140625" style="131" bestFit="1" customWidth="1"/>
    <col min="14" max="14" width="5.5546875" style="131" bestFit="1" customWidth="1"/>
    <col min="15" max="15" width="11.21875" style="131" bestFit="1" customWidth="1"/>
    <col min="16" max="16" width="35.21875" style="131" bestFit="1" customWidth="1"/>
    <col min="17" max="17" width="32.44140625" style="131" bestFit="1" customWidth="1"/>
    <col min="18" max="18" width="32.21875" style="131" bestFit="1" customWidth="1"/>
    <col min="19" max="19" width="30.44140625" style="131" bestFit="1" customWidth="1"/>
    <col min="20" max="20" width="4.21875" style="131" bestFit="1" customWidth="1"/>
    <col min="21" max="21" width="6.77734375" style="131" bestFit="1" customWidth="1"/>
    <col min="22" max="22" width="7.44140625" style="131" bestFit="1" customWidth="1"/>
    <col min="23" max="23" width="5.21875" style="131" bestFit="1" customWidth="1"/>
    <col min="24" max="24" width="1.77734375" style="131" bestFit="1" customWidth="1"/>
    <col min="25" max="25" width="3.77734375" style="131" bestFit="1" customWidth="1"/>
    <col min="26" max="27" width="3.5546875" style="131" bestFit="1" customWidth="1"/>
    <col min="28" max="28" width="5.77734375" style="131" bestFit="1" customWidth="1"/>
    <col min="29" max="29" width="5" style="131" bestFit="1" customWidth="1"/>
    <col min="30" max="30" width="3.5546875" style="131" bestFit="1" customWidth="1"/>
    <col min="31" max="31" width="4.5546875" style="131" bestFit="1" customWidth="1"/>
    <col min="32" max="32" width="3.77734375" style="131" bestFit="1" customWidth="1"/>
    <col min="33" max="34" width="3.5546875" style="131" bestFit="1" customWidth="1"/>
    <col min="35" max="35" width="5.77734375" style="131" bestFit="1" customWidth="1"/>
    <col min="36" max="36" width="5" style="131" bestFit="1" customWidth="1"/>
    <col min="37" max="37" width="3.5546875" style="131" bestFit="1" customWidth="1"/>
    <col min="38" max="38" width="4.5546875" style="131" bestFit="1" customWidth="1"/>
    <col min="39" max="39" width="1.77734375" style="131" bestFit="1" customWidth="1"/>
    <col min="40" max="16384" width="12.77734375" style="131"/>
  </cols>
  <sheetData>
    <row r="1" spans="1:39" ht="6" thickTop="1">
      <c r="A1" s="169" t="s">
        <v>46</v>
      </c>
      <c r="B1" s="171" t="s">
        <v>47</v>
      </c>
      <c r="C1" s="172"/>
      <c r="D1" s="172"/>
      <c r="E1" s="172"/>
      <c r="F1" s="173"/>
      <c r="G1" s="174" t="s">
        <v>48</v>
      </c>
      <c r="H1" s="174" t="s">
        <v>49</v>
      </c>
      <c r="I1" s="174" t="s">
        <v>50</v>
      </c>
      <c r="J1" s="174" t="s">
        <v>53</v>
      </c>
      <c r="K1" s="174" t="s">
        <v>54</v>
      </c>
      <c r="L1" s="174" t="s">
        <v>55</v>
      </c>
      <c r="M1" s="174" t="s">
        <v>56</v>
      </c>
      <c r="N1" s="171" t="s">
        <v>57</v>
      </c>
      <c r="O1" s="173"/>
      <c r="P1" s="174" t="s">
        <v>58</v>
      </c>
      <c r="Q1" s="174" t="s">
        <v>51</v>
      </c>
      <c r="R1" s="174" t="s">
        <v>52</v>
      </c>
      <c r="S1" s="174" t="s">
        <v>2544</v>
      </c>
      <c r="T1" s="174" t="s">
        <v>59</v>
      </c>
      <c r="U1" s="174" t="s">
        <v>60</v>
      </c>
      <c r="V1" s="174" t="s">
        <v>61</v>
      </c>
      <c r="W1" s="174" t="s">
        <v>62</v>
      </c>
      <c r="X1" s="174" t="s">
        <v>63</v>
      </c>
      <c r="Y1" s="171" t="s">
        <v>64</v>
      </c>
      <c r="Z1" s="172"/>
      <c r="AA1" s="172"/>
      <c r="AB1" s="172"/>
      <c r="AC1" s="172"/>
      <c r="AD1" s="172"/>
      <c r="AE1" s="173"/>
      <c r="AF1" s="171" t="s">
        <v>65</v>
      </c>
      <c r="AG1" s="172"/>
      <c r="AH1" s="172"/>
      <c r="AI1" s="172"/>
      <c r="AJ1" s="172"/>
      <c r="AK1" s="172"/>
      <c r="AL1" s="173"/>
      <c r="AM1" s="174" t="s">
        <v>63</v>
      </c>
    </row>
    <row r="2" spans="1:39" ht="11.4" thickBot="1">
      <c r="A2" s="170"/>
      <c r="B2" s="132" t="s">
        <v>66</v>
      </c>
      <c r="C2" s="176" t="s">
        <v>67</v>
      </c>
      <c r="D2" s="177"/>
      <c r="E2" s="177"/>
      <c r="F2" s="178"/>
      <c r="G2" s="175"/>
      <c r="H2" s="175"/>
      <c r="I2" s="175"/>
      <c r="J2" s="175"/>
      <c r="K2" s="175"/>
      <c r="L2" s="175"/>
      <c r="M2" s="175"/>
      <c r="N2" s="133" t="s">
        <v>68</v>
      </c>
      <c r="O2" s="133" t="s">
        <v>69</v>
      </c>
      <c r="P2" s="175"/>
      <c r="Q2" s="175"/>
      <c r="R2" s="175"/>
      <c r="S2" s="175"/>
      <c r="T2" s="175"/>
      <c r="U2" s="175"/>
      <c r="V2" s="175"/>
      <c r="W2" s="175"/>
      <c r="X2" s="175"/>
      <c r="Y2" s="133" t="s">
        <v>70</v>
      </c>
      <c r="Z2" s="133" t="s">
        <v>71</v>
      </c>
      <c r="AA2" s="133" t="s">
        <v>72</v>
      </c>
      <c r="AB2" s="133" t="s">
        <v>73</v>
      </c>
      <c r="AC2" s="133" t="s">
        <v>74</v>
      </c>
      <c r="AD2" s="133" t="s">
        <v>75</v>
      </c>
      <c r="AE2" s="133" t="s">
        <v>76</v>
      </c>
      <c r="AF2" s="133" t="s">
        <v>70</v>
      </c>
      <c r="AG2" s="133" t="s">
        <v>71</v>
      </c>
      <c r="AH2" s="133" t="s">
        <v>72</v>
      </c>
      <c r="AI2" s="133" t="s">
        <v>73</v>
      </c>
      <c r="AJ2" s="133" t="s">
        <v>74</v>
      </c>
      <c r="AK2" s="133" t="s">
        <v>75</v>
      </c>
      <c r="AL2" s="133" t="s">
        <v>76</v>
      </c>
      <c r="AM2" s="175"/>
    </row>
    <row r="3" spans="1:39" ht="27.6" thickTop="1">
      <c r="A3" s="134">
        <v>1</v>
      </c>
      <c r="B3" s="135">
        <v>3</v>
      </c>
      <c r="C3" s="135">
        <v>1</v>
      </c>
      <c r="D3" s="135">
        <v>1</v>
      </c>
      <c r="E3" s="135">
        <v>1</v>
      </c>
      <c r="F3" s="135">
        <v>0</v>
      </c>
      <c r="G3" s="136" t="s">
        <v>77</v>
      </c>
      <c r="H3" s="136" t="s">
        <v>78</v>
      </c>
      <c r="I3" s="136" t="s">
        <v>79</v>
      </c>
      <c r="J3" s="135" t="s">
        <v>83</v>
      </c>
      <c r="K3" s="135" t="s">
        <v>84</v>
      </c>
      <c r="L3" s="135" t="s">
        <v>84</v>
      </c>
      <c r="M3" s="135" t="s">
        <v>84</v>
      </c>
      <c r="N3" s="135" t="s">
        <v>85</v>
      </c>
      <c r="O3" s="135" t="s">
        <v>86</v>
      </c>
      <c r="P3" s="136" t="s">
        <v>87</v>
      </c>
      <c r="Q3" s="136" t="s">
        <v>80</v>
      </c>
      <c r="R3" s="136" t="s">
        <v>81</v>
      </c>
      <c r="S3" s="136" t="s">
        <v>82</v>
      </c>
      <c r="T3" s="136"/>
      <c r="U3" s="136"/>
      <c r="V3" s="136"/>
      <c r="W3" s="136"/>
      <c r="X3" s="136"/>
      <c r="Y3" s="136"/>
      <c r="Z3" s="136"/>
      <c r="AA3" s="136"/>
      <c r="AB3" s="136"/>
      <c r="AC3" s="136"/>
      <c r="AD3" s="136"/>
      <c r="AE3" s="136"/>
      <c r="AF3" s="136"/>
      <c r="AG3" s="136"/>
      <c r="AH3" s="136"/>
      <c r="AI3" s="136"/>
      <c r="AJ3" s="136"/>
      <c r="AK3" s="136"/>
      <c r="AL3" s="136"/>
      <c r="AM3" s="136"/>
    </row>
    <row r="4" spans="1:39" ht="16.2">
      <c r="A4" s="137">
        <v>2</v>
      </c>
      <c r="B4" s="137">
        <v>3</v>
      </c>
      <c r="C4" s="137">
        <v>1</v>
      </c>
      <c r="D4" s="137">
        <v>1</v>
      </c>
      <c r="E4" s="137">
        <v>2</v>
      </c>
      <c r="F4" s="137">
        <v>0</v>
      </c>
      <c r="G4" s="138" t="s">
        <v>88</v>
      </c>
      <c r="H4" s="138" t="s">
        <v>89</v>
      </c>
      <c r="I4" s="138" t="s">
        <v>90</v>
      </c>
      <c r="J4" s="137" t="s">
        <v>83</v>
      </c>
      <c r="K4" s="139" t="s">
        <v>94</v>
      </c>
      <c r="L4" s="140" t="s">
        <v>95</v>
      </c>
      <c r="M4" s="140" t="s">
        <v>96</v>
      </c>
      <c r="N4" s="137" t="s">
        <v>85</v>
      </c>
      <c r="O4" s="137" t="s">
        <v>86</v>
      </c>
      <c r="P4" s="138" t="s">
        <v>97</v>
      </c>
      <c r="Q4" s="138" t="s">
        <v>91</v>
      </c>
      <c r="R4" s="138" t="s">
        <v>92</v>
      </c>
      <c r="S4" s="138" t="s">
        <v>93</v>
      </c>
      <c r="T4" s="138"/>
      <c r="U4" s="138"/>
      <c r="V4" s="138"/>
      <c r="W4" s="138"/>
      <c r="X4" s="138"/>
      <c r="Y4" s="138"/>
      <c r="Z4" s="138"/>
      <c r="AA4" s="138"/>
      <c r="AB4" s="138"/>
      <c r="AC4" s="138"/>
      <c r="AD4" s="138"/>
      <c r="AE4" s="138"/>
      <c r="AF4" s="138"/>
      <c r="AG4" s="138"/>
      <c r="AH4" s="138"/>
      <c r="AI4" s="138"/>
      <c r="AJ4" s="138"/>
      <c r="AK4" s="138"/>
      <c r="AL4" s="138"/>
      <c r="AM4" s="138"/>
    </row>
    <row r="5" spans="1:39" ht="43.2">
      <c r="A5" s="137">
        <v>3</v>
      </c>
      <c r="B5" s="137">
        <v>3</v>
      </c>
      <c r="C5" s="137">
        <v>1</v>
      </c>
      <c r="D5" s="137">
        <v>1</v>
      </c>
      <c r="E5" s="137">
        <v>3</v>
      </c>
      <c r="F5" s="137">
        <v>0</v>
      </c>
      <c r="G5" s="138" t="s">
        <v>98</v>
      </c>
      <c r="H5" s="138" t="s">
        <v>99</v>
      </c>
      <c r="I5" s="138" t="s">
        <v>100</v>
      </c>
      <c r="J5" s="137" t="s">
        <v>83</v>
      </c>
      <c r="K5" s="137" t="s">
        <v>84</v>
      </c>
      <c r="L5" s="137" t="s">
        <v>84</v>
      </c>
      <c r="M5" s="137" t="s">
        <v>84</v>
      </c>
      <c r="N5" s="137" t="s">
        <v>85</v>
      </c>
      <c r="O5" s="137" t="s">
        <v>86</v>
      </c>
      <c r="P5" s="138" t="s">
        <v>2649</v>
      </c>
      <c r="Q5" s="138" t="s">
        <v>101</v>
      </c>
      <c r="R5" s="138" t="s">
        <v>102</v>
      </c>
      <c r="S5" s="138" t="s">
        <v>93</v>
      </c>
      <c r="T5" s="138"/>
      <c r="U5" s="138"/>
      <c r="V5" s="138"/>
      <c r="W5" s="138"/>
      <c r="X5" s="138"/>
      <c r="Y5" s="138"/>
      <c r="Z5" s="138"/>
      <c r="AA5" s="138"/>
      <c r="AB5" s="138"/>
      <c r="AC5" s="138"/>
      <c r="AD5" s="138"/>
      <c r="AE5" s="138"/>
      <c r="AF5" s="138"/>
      <c r="AG5" s="138"/>
      <c r="AH5" s="138"/>
      <c r="AI5" s="138"/>
      <c r="AJ5" s="138"/>
      <c r="AK5" s="138"/>
      <c r="AL5" s="138"/>
      <c r="AM5" s="138"/>
    </row>
    <row r="6" spans="1:39" ht="70.2">
      <c r="A6" s="137">
        <v>4</v>
      </c>
      <c r="B6" s="137">
        <v>3</v>
      </c>
      <c r="C6" s="137">
        <v>1</v>
      </c>
      <c r="D6" s="137">
        <v>1</v>
      </c>
      <c r="E6" s="137">
        <v>4</v>
      </c>
      <c r="F6" s="137">
        <v>1</v>
      </c>
      <c r="G6" s="138" t="s">
        <v>103</v>
      </c>
      <c r="H6" s="138" t="s">
        <v>104</v>
      </c>
      <c r="I6" s="138" t="s">
        <v>2541</v>
      </c>
      <c r="J6" s="137" t="s">
        <v>83</v>
      </c>
      <c r="K6" s="139" t="s">
        <v>94</v>
      </c>
      <c r="L6" s="140" t="s">
        <v>95</v>
      </c>
      <c r="M6" s="140" t="s">
        <v>96</v>
      </c>
      <c r="N6" s="137" t="s">
        <v>108</v>
      </c>
      <c r="O6" s="137" t="s">
        <v>86</v>
      </c>
      <c r="P6" s="138" t="s">
        <v>2650</v>
      </c>
      <c r="Q6" s="138" t="s">
        <v>105</v>
      </c>
      <c r="R6" s="138" t="s">
        <v>106</v>
      </c>
      <c r="S6" s="138" t="s">
        <v>107</v>
      </c>
      <c r="T6" s="138"/>
      <c r="U6" s="138"/>
      <c r="V6" s="138"/>
      <c r="W6" s="138"/>
      <c r="X6" s="138"/>
      <c r="Y6" s="138"/>
      <c r="Z6" s="138"/>
      <c r="AA6" s="138"/>
      <c r="AB6" s="138"/>
      <c r="AC6" s="138"/>
      <c r="AD6" s="138"/>
      <c r="AE6" s="138"/>
      <c r="AF6" s="138"/>
      <c r="AG6" s="138"/>
      <c r="AH6" s="138"/>
      <c r="AI6" s="138"/>
      <c r="AJ6" s="138"/>
      <c r="AK6" s="138"/>
      <c r="AL6" s="138"/>
      <c r="AM6" s="138"/>
    </row>
    <row r="7" spans="1:39" ht="43.2">
      <c r="A7" s="137">
        <v>5</v>
      </c>
      <c r="B7" s="137">
        <v>3</v>
      </c>
      <c r="C7" s="137">
        <v>1</v>
      </c>
      <c r="D7" s="137">
        <v>1</v>
      </c>
      <c r="E7" s="137">
        <v>4</v>
      </c>
      <c r="F7" s="137">
        <v>2</v>
      </c>
      <c r="G7" s="138" t="s">
        <v>109</v>
      </c>
      <c r="H7" s="138" t="s">
        <v>110</v>
      </c>
      <c r="I7" s="138" t="s">
        <v>111</v>
      </c>
      <c r="J7" s="137" t="s">
        <v>83</v>
      </c>
      <c r="K7" s="137" t="s">
        <v>84</v>
      </c>
      <c r="L7" s="137" t="s">
        <v>84</v>
      </c>
      <c r="M7" s="137" t="s">
        <v>84</v>
      </c>
      <c r="N7" s="137" t="s">
        <v>108</v>
      </c>
      <c r="O7" s="137" t="s">
        <v>115</v>
      </c>
      <c r="P7" s="138" t="s">
        <v>2651</v>
      </c>
      <c r="Q7" s="138" t="s">
        <v>112</v>
      </c>
      <c r="R7" s="138" t="s">
        <v>113</v>
      </c>
      <c r="S7" s="138" t="s">
        <v>114</v>
      </c>
      <c r="T7" s="138"/>
      <c r="U7" s="138"/>
      <c r="V7" s="138"/>
      <c r="W7" s="138"/>
      <c r="X7" s="138"/>
      <c r="Y7" s="138"/>
      <c r="Z7" s="138"/>
      <c r="AA7" s="138"/>
      <c r="AB7" s="138"/>
      <c r="AC7" s="138"/>
      <c r="AD7" s="138"/>
      <c r="AE7" s="138"/>
      <c r="AF7" s="138"/>
      <c r="AG7" s="138"/>
      <c r="AH7" s="138"/>
      <c r="AI7" s="138"/>
      <c r="AJ7" s="138"/>
      <c r="AK7" s="138"/>
      <c r="AL7" s="138"/>
      <c r="AM7" s="138"/>
    </row>
    <row r="8" spans="1:39" ht="21.6">
      <c r="A8" s="137">
        <v>6</v>
      </c>
      <c r="B8" s="137">
        <v>3</v>
      </c>
      <c r="C8" s="137">
        <v>1</v>
      </c>
      <c r="D8" s="137">
        <v>1</v>
      </c>
      <c r="E8" s="137">
        <v>4</v>
      </c>
      <c r="F8" s="137">
        <v>3</v>
      </c>
      <c r="G8" s="138" t="s">
        <v>116</v>
      </c>
      <c r="H8" s="138" t="s">
        <v>117</v>
      </c>
      <c r="I8" s="138" t="s">
        <v>118</v>
      </c>
      <c r="J8" s="137" t="s">
        <v>83</v>
      </c>
      <c r="K8" s="137" t="s">
        <v>84</v>
      </c>
      <c r="L8" s="137" t="s">
        <v>84</v>
      </c>
      <c r="M8" s="137" t="s">
        <v>84</v>
      </c>
      <c r="N8" s="137" t="s">
        <v>108</v>
      </c>
      <c r="O8" s="137" t="s">
        <v>115</v>
      </c>
      <c r="P8" s="138" t="s">
        <v>122</v>
      </c>
      <c r="Q8" s="138" t="s">
        <v>119</v>
      </c>
      <c r="R8" s="138" t="s">
        <v>120</v>
      </c>
      <c r="S8" s="138" t="s">
        <v>121</v>
      </c>
      <c r="T8" s="138"/>
      <c r="U8" s="138"/>
      <c r="V8" s="138"/>
      <c r="W8" s="138"/>
      <c r="X8" s="138"/>
      <c r="Y8" s="138"/>
      <c r="Z8" s="138"/>
      <c r="AA8" s="138"/>
      <c r="AB8" s="138"/>
      <c r="AC8" s="138"/>
      <c r="AD8" s="138"/>
      <c r="AE8" s="138"/>
      <c r="AF8" s="138"/>
      <c r="AG8" s="138"/>
      <c r="AH8" s="138"/>
      <c r="AI8" s="138"/>
      <c r="AJ8" s="138"/>
      <c r="AK8" s="138"/>
      <c r="AL8" s="138"/>
      <c r="AM8" s="138"/>
    </row>
    <row r="9" spans="1:39" ht="27">
      <c r="A9" s="137">
        <v>7</v>
      </c>
      <c r="B9" s="137">
        <v>3</v>
      </c>
      <c r="C9" s="137">
        <v>1</v>
      </c>
      <c r="D9" s="137">
        <v>1</v>
      </c>
      <c r="E9" s="137">
        <v>5</v>
      </c>
      <c r="F9" s="137">
        <v>1</v>
      </c>
      <c r="G9" s="138" t="s">
        <v>123</v>
      </c>
      <c r="H9" s="138" t="s">
        <v>124</v>
      </c>
      <c r="I9" s="138" t="s">
        <v>125</v>
      </c>
      <c r="J9" s="137" t="s">
        <v>83</v>
      </c>
      <c r="K9" s="139" t="s">
        <v>94</v>
      </c>
      <c r="L9" s="140" t="s">
        <v>129</v>
      </c>
      <c r="M9" s="140" t="s">
        <v>130</v>
      </c>
      <c r="N9" s="137" t="s">
        <v>131</v>
      </c>
      <c r="O9" s="137" t="s">
        <v>115</v>
      </c>
      <c r="P9" s="138" t="s">
        <v>2652</v>
      </c>
      <c r="Q9" s="138" t="s">
        <v>126</v>
      </c>
      <c r="R9" s="138" t="s">
        <v>127</v>
      </c>
      <c r="S9" s="138" t="s">
        <v>128</v>
      </c>
      <c r="T9" s="138"/>
      <c r="U9" s="138"/>
      <c r="V9" s="138"/>
      <c r="W9" s="138"/>
      <c r="X9" s="138"/>
      <c r="Y9" s="138"/>
      <c r="Z9" s="138"/>
      <c r="AA9" s="138"/>
      <c r="AB9" s="138"/>
      <c r="AC9" s="138"/>
      <c r="AD9" s="138"/>
      <c r="AE9" s="138"/>
      <c r="AF9" s="138"/>
      <c r="AG9" s="138"/>
      <c r="AH9" s="138"/>
      <c r="AI9" s="138"/>
      <c r="AJ9" s="138"/>
      <c r="AK9" s="138"/>
      <c r="AL9" s="138"/>
      <c r="AM9" s="138"/>
    </row>
    <row r="10" spans="1:39" ht="21.6">
      <c r="A10" s="137">
        <v>8</v>
      </c>
      <c r="B10" s="137">
        <v>3</v>
      </c>
      <c r="C10" s="137">
        <v>1</v>
      </c>
      <c r="D10" s="137">
        <v>1</v>
      </c>
      <c r="E10" s="137">
        <v>5</v>
      </c>
      <c r="F10" s="137">
        <v>2</v>
      </c>
      <c r="G10" s="138" t="s">
        <v>132</v>
      </c>
      <c r="H10" s="138" t="s">
        <v>133</v>
      </c>
      <c r="I10" s="138" t="s">
        <v>134</v>
      </c>
      <c r="J10" s="137" t="s">
        <v>83</v>
      </c>
      <c r="K10" s="139" t="s">
        <v>94</v>
      </c>
      <c r="L10" s="140" t="s">
        <v>138</v>
      </c>
      <c r="M10" s="140" t="s">
        <v>139</v>
      </c>
      <c r="N10" s="137" t="s">
        <v>131</v>
      </c>
      <c r="O10" s="137" t="s">
        <v>115</v>
      </c>
      <c r="P10" s="138" t="s">
        <v>2653</v>
      </c>
      <c r="Q10" s="138" t="s">
        <v>135</v>
      </c>
      <c r="R10" s="138" t="s">
        <v>136</v>
      </c>
      <c r="S10" s="138" t="s">
        <v>137</v>
      </c>
      <c r="T10" s="138"/>
      <c r="U10" s="138"/>
      <c r="V10" s="138"/>
      <c r="W10" s="138"/>
      <c r="X10" s="138"/>
      <c r="Y10" s="138"/>
      <c r="Z10" s="138"/>
      <c r="AA10" s="138"/>
      <c r="AB10" s="138"/>
      <c r="AC10" s="138"/>
      <c r="AD10" s="138"/>
      <c r="AE10" s="138"/>
      <c r="AF10" s="138"/>
      <c r="AG10" s="138"/>
      <c r="AH10" s="138"/>
      <c r="AI10" s="138"/>
      <c r="AJ10" s="138"/>
      <c r="AK10" s="138"/>
      <c r="AL10" s="138"/>
      <c r="AM10" s="138"/>
    </row>
    <row r="11" spans="1:39" ht="21.6">
      <c r="A11" s="137">
        <v>9</v>
      </c>
      <c r="B11" s="137">
        <v>3</v>
      </c>
      <c r="C11" s="137">
        <v>1</v>
      </c>
      <c r="D11" s="137">
        <v>1</v>
      </c>
      <c r="E11" s="137">
        <v>5</v>
      </c>
      <c r="F11" s="137">
        <v>3</v>
      </c>
      <c r="G11" s="138" t="s">
        <v>140</v>
      </c>
      <c r="H11" s="138" t="s">
        <v>141</v>
      </c>
      <c r="I11" s="138" t="s">
        <v>142</v>
      </c>
      <c r="J11" s="137" t="s">
        <v>83</v>
      </c>
      <c r="K11" s="137" t="s">
        <v>84</v>
      </c>
      <c r="L11" s="137" t="s">
        <v>84</v>
      </c>
      <c r="M11" s="137" t="s">
        <v>84</v>
      </c>
      <c r="N11" s="137" t="s">
        <v>131</v>
      </c>
      <c r="O11" s="137" t="s">
        <v>115</v>
      </c>
      <c r="P11" s="138" t="s">
        <v>2654</v>
      </c>
      <c r="Q11" s="138" t="s">
        <v>143</v>
      </c>
      <c r="R11" s="138" t="s">
        <v>144</v>
      </c>
      <c r="S11" s="138" t="s">
        <v>145</v>
      </c>
      <c r="T11" s="138"/>
      <c r="U11" s="138"/>
      <c r="V11" s="138"/>
      <c r="W11" s="138"/>
      <c r="X11" s="138"/>
      <c r="Y11" s="138"/>
      <c r="Z11" s="138"/>
      <c r="AA11" s="138"/>
      <c r="AB11" s="138"/>
      <c r="AC11" s="138"/>
      <c r="AD11" s="138"/>
      <c r="AE11" s="138"/>
      <c r="AF11" s="138"/>
      <c r="AG11" s="138"/>
      <c r="AH11" s="138"/>
      <c r="AI11" s="138"/>
      <c r="AJ11" s="138"/>
      <c r="AK11" s="138"/>
      <c r="AL11" s="138"/>
      <c r="AM11" s="138"/>
    </row>
    <row r="12" spans="1:39" ht="21.6">
      <c r="A12" s="137">
        <v>10</v>
      </c>
      <c r="B12" s="137">
        <v>3</v>
      </c>
      <c r="C12" s="137">
        <v>1</v>
      </c>
      <c r="D12" s="137">
        <v>1</v>
      </c>
      <c r="E12" s="137">
        <v>5</v>
      </c>
      <c r="F12" s="137">
        <v>4</v>
      </c>
      <c r="G12" s="138" t="s">
        <v>146</v>
      </c>
      <c r="H12" s="138" t="s">
        <v>147</v>
      </c>
      <c r="I12" s="138" t="s">
        <v>148</v>
      </c>
      <c r="J12" s="137" t="s">
        <v>83</v>
      </c>
      <c r="K12" s="137" t="s">
        <v>84</v>
      </c>
      <c r="L12" s="137" t="s">
        <v>84</v>
      </c>
      <c r="M12" s="137" t="s">
        <v>84</v>
      </c>
      <c r="N12" s="137" t="s">
        <v>131</v>
      </c>
      <c r="O12" s="137" t="s">
        <v>115</v>
      </c>
      <c r="P12" s="138" t="s">
        <v>2655</v>
      </c>
      <c r="Q12" s="138" t="s">
        <v>149</v>
      </c>
      <c r="R12" s="138" t="s">
        <v>150</v>
      </c>
      <c r="S12" s="138" t="s">
        <v>151</v>
      </c>
      <c r="T12" s="138"/>
      <c r="U12" s="138"/>
      <c r="V12" s="138"/>
      <c r="W12" s="138"/>
      <c r="X12" s="138"/>
      <c r="Y12" s="138"/>
      <c r="Z12" s="138"/>
      <c r="AA12" s="138"/>
      <c r="AB12" s="138"/>
      <c r="AC12" s="138"/>
      <c r="AD12" s="138"/>
      <c r="AE12" s="138"/>
      <c r="AF12" s="138"/>
      <c r="AG12" s="138"/>
      <c r="AH12" s="138"/>
      <c r="AI12" s="138"/>
      <c r="AJ12" s="138"/>
      <c r="AK12" s="138"/>
      <c r="AL12" s="138"/>
      <c r="AM12" s="138"/>
    </row>
    <row r="13" spans="1:39" ht="10.8">
      <c r="A13" s="141">
        <v>11</v>
      </c>
      <c r="B13" s="141">
        <v>3</v>
      </c>
      <c r="C13" s="141">
        <v>1</v>
      </c>
      <c r="D13" s="141">
        <v>1</v>
      </c>
      <c r="E13" s="141">
        <v>5</v>
      </c>
      <c r="F13" s="141">
        <v>5</v>
      </c>
      <c r="G13" s="142" t="s">
        <v>152</v>
      </c>
      <c r="H13" s="142" t="s">
        <v>153</v>
      </c>
      <c r="I13" s="141" t="s">
        <v>84</v>
      </c>
      <c r="J13" s="141" t="s">
        <v>154</v>
      </c>
      <c r="K13" s="141" t="s">
        <v>155</v>
      </c>
      <c r="L13" s="142" t="s">
        <v>156</v>
      </c>
      <c r="M13" s="142" t="s">
        <v>157</v>
      </c>
      <c r="N13" s="141" t="s">
        <v>84</v>
      </c>
      <c r="O13" s="141" t="s">
        <v>84</v>
      </c>
      <c r="P13" s="141" t="s">
        <v>84</v>
      </c>
      <c r="Q13" s="141" t="s">
        <v>84</v>
      </c>
      <c r="R13" s="141" t="s">
        <v>84</v>
      </c>
      <c r="S13" s="141" t="s">
        <v>84</v>
      </c>
      <c r="T13" s="142"/>
      <c r="U13" s="142"/>
      <c r="V13" s="142"/>
      <c r="W13" s="142"/>
      <c r="X13" s="142"/>
      <c r="Y13" s="142"/>
      <c r="Z13" s="142"/>
      <c r="AA13" s="142"/>
      <c r="AB13" s="142"/>
      <c r="AC13" s="142"/>
      <c r="AD13" s="142"/>
      <c r="AE13" s="142"/>
      <c r="AF13" s="142"/>
      <c r="AG13" s="142"/>
      <c r="AH13" s="142"/>
      <c r="AI13" s="142"/>
      <c r="AJ13" s="142"/>
      <c r="AK13" s="142"/>
      <c r="AL13" s="142"/>
      <c r="AM13" s="142"/>
    </row>
    <row r="14" spans="1:39" ht="27">
      <c r="A14" s="137">
        <v>12</v>
      </c>
      <c r="B14" s="137">
        <v>3</v>
      </c>
      <c r="C14" s="137">
        <v>1</v>
      </c>
      <c r="D14" s="137">
        <v>1</v>
      </c>
      <c r="E14" s="137">
        <v>6</v>
      </c>
      <c r="F14" s="137">
        <v>0</v>
      </c>
      <c r="G14" s="138" t="s">
        <v>158</v>
      </c>
      <c r="H14" s="138" t="s">
        <v>159</v>
      </c>
      <c r="I14" s="138" t="s">
        <v>160</v>
      </c>
      <c r="J14" s="137" t="s">
        <v>83</v>
      </c>
      <c r="K14" s="137" t="s">
        <v>84</v>
      </c>
      <c r="L14" s="137" t="s">
        <v>84</v>
      </c>
      <c r="M14" s="137" t="s">
        <v>84</v>
      </c>
      <c r="N14" s="137" t="s">
        <v>85</v>
      </c>
      <c r="O14" s="137" t="s">
        <v>115</v>
      </c>
      <c r="P14" s="138" t="s">
        <v>2656</v>
      </c>
      <c r="Q14" s="138" t="s">
        <v>161</v>
      </c>
      <c r="R14" s="138" t="s">
        <v>162</v>
      </c>
      <c r="S14" s="138" t="s">
        <v>163</v>
      </c>
      <c r="T14" s="138"/>
      <c r="U14" s="138"/>
      <c r="V14" s="138"/>
      <c r="W14" s="138"/>
      <c r="X14" s="138"/>
      <c r="Y14" s="138"/>
      <c r="Z14" s="138"/>
      <c r="AA14" s="138"/>
      <c r="AB14" s="138"/>
      <c r="AC14" s="138"/>
      <c r="AD14" s="138"/>
      <c r="AE14" s="138"/>
      <c r="AF14" s="138"/>
      <c r="AG14" s="138"/>
      <c r="AH14" s="138"/>
      <c r="AI14" s="138"/>
      <c r="AJ14" s="138"/>
      <c r="AK14" s="138"/>
      <c r="AL14" s="138"/>
      <c r="AM14" s="138"/>
    </row>
    <row r="15" spans="1:39">
      <c r="A15" s="141">
        <v>13</v>
      </c>
      <c r="B15" s="141">
        <v>3</v>
      </c>
      <c r="C15" s="141">
        <v>1</v>
      </c>
      <c r="D15" s="141">
        <v>1</v>
      </c>
      <c r="E15" s="141">
        <v>7</v>
      </c>
      <c r="F15" s="141">
        <v>0</v>
      </c>
      <c r="G15" s="142" t="s">
        <v>164</v>
      </c>
      <c r="H15" s="142" t="s">
        <v>165</v>
      </c>
      <c r="I15" s="141" t="s">
        <v>84</v>
      </c>
      <c r="J15" s="141" t="s">
        <v>154</v>
      </c>
      <c r="K15" s="141" t="s">
        <v>155</v>
      </c>
      <c r="L15" s="142" t="s">
        <v>166</v>
      </c>
      <c r="M15" s="142" t="s">
        <v>167</v>
      </c>
      <c r="N15" s="141" t="s">
        <v>84</v>
      </c>
      <c r="O15" s="141" t="s">
        <v>84</v>
      </c>
      <c r="P15" s="141" t="s">
        <v>84</v>
      </c>
      <c r="Q15" s="141" t="s">
        <v>84</v>
      </c>
      <c r="R15" s="141" t="s">
        <v>84</v>
      </c>
      <c r="S15" s="141" t="s">
        <v>84</v>
      </c>
      <c r="T15" s="142"/>
      <c r="U15" s="142"/>
      <c r="V15" s="142"/>
      <c r="W15" s="142"/>
      <c r="X15" s="142"/>
      <c r="Y15" s="142"/>
      <c r="Z15" s="142"/>
      <c r="AA15" s="142"/>
      <c r="AB15" s="142"/>
      <c r="AC15" s="142"/>
      <c r="AD15" s="142"/>
      <c r="AE15" s="142"/>
      <c r="AF15" s="142"/>
      <c r="AG15" s="142"/>
      <c r="AH15" s="142"/>
      <c r="AI15" s="142"/>
      <c r="AJ15" s="142"/>
      <c r="AK15" s="142"/>
      <c r="AL15" s="142"/>
      <c r="AM15" s="142"/>
    </row>
    <row r="16" spans="1:39">
      <c r="A16" s="141">
        <v>14</v>
      </c>
      <c r="B16" s="141">
        <v>3</v>
      </c>
      <c r="C16" s="141">
        <v>1</v>
      </c>
      <c r="D16" s="141">
        <v>1</v>
      </c>
      <c r="E16" s="141">
        <v>7</v>
      </c>
      <c r="F16" s="141">
        <v>1</v>
      </c>
      <c r="G16" s="142" t="s">
        <v>168</v>
      </c>
      <c r="H16" s="142" t="s">
        <v>169</v>
      </c>
      <c r="I16" s="141" t="s">
        <v>84</v>
      </c>
      <c r="J16" s="141" t="s">
        <v>154</v>
      </c>
      <c r="K16" s="141" t="s">
        <v>155</v>
      </c>
      <c r="L16" s="142" t="s">
        <v>170</v>
      </c>
      <c r="M16" s="142" t="s">
        <v>167</v>
      </c>
      <c r="N16" s="141" t="s">
        <v>84</v>
      </c>
      <c r="O16" s="141" t="s">
        <v>84</v>
      </c>
      <c r="P16" s="141" t="s">
        <v>84</v>
      </c>
      <c r="Q16" s="141" t="s">
        <v>84</v>
      </c>
      <c r="R16" s="141" t="s">
        <v>84</v>
      </c>
      <c r="S16" s="141" t="s">
        <v>84</v>
      </c>
      <c r="T16" s="142"/>
      <c r="U16" s="142"/>
      <c r="V16" s="142"/>
      <c r="W16" s="142"/>
      <c r="X16" s="142"/>
      <c r="Y16" s="142"/>
      <c r="Z16" s="142"/>
      <c r="AA16" s="142"/>
      <c r="AB16" s="142"/>
      <c r="AC16" s="142"/>
      <c r="AD16" s="142"/>
      <c r="AE16" s="142"/>
      <c r="AF16" s="142"/>
      <c r="AG16" s="142"/>
      <c r="AH16" s="142"/>
      <c r="AI16" s="142"/>
      <c r="AJ16" s="142"/>
      <c r="AK16" s="142"/>
      <c r="AL16" s="142"/>
      <c r="AM16" s="142"/>
    </row>
    <row r="17" spans="1:39" ht="32.4">
      <c r="A17" s="137">
        <v>15</v>
      </c>
      <c r="B17" s="137">
        <v>3</v>
      </c>
      <c r="C17" s="137">
        <v>1</v>
      </c>
      <c r="D17" s="137">
        <v>1</v>
      </c>
      <c r="E17" s="137">
        <v>8</v>
      </c>
      <c r="F17" s="137">
        <v>0</v>
      </c>
      <c r="G17" s="138" t="s">
        <v>171</v>
      </c>
      <c r="H17" s="138" t="s">
        <v>172</v>
      </c>
      <c r="I17" s="138" t="s">
        <v>173</v>
      </c>
      <c r="J17" s="137" t="s">
        <v>83</v>
      </c>
      <c r="K17" s="137" t="s">
        <v>84</v>
      </c>
      <c r="L17" s="137" t="s">
        <v>84</v>
      </c>
      <c r="M17" s="137" t="s">
        <v>84</v>
      </c>
      <c r="N17" s="137" t="s">
        <v>85</v>
      </c>
      <c r="O17" s="137" t="s">
        <v>115</v>
      </c>
      <c r="P17" s="138" t="s">
        <v>177</v>
      </c>
      <c r="Q17" s="138" t="s">
        <v>174</v>
      </c>
      <c r="R17" s="138" t="s">
        <v>175</v>
      </c>
      <c r="S17" s="138" t="s">
        <v>176</v>
      </c>
      <c r="T17" s="138"/>
      <c r="U17" s="138"/>
      <c r="V17" s="138"/>
      <c r="W17" s="138"/>
      <c r="X17" s="138"/>
      <c r="Y17" s="138"/>
      <c r="Z17" s="138"/>
      <c r="AA17" s="138"/>
      <c r="AB17" s="138"/>
      <c r="AC17" s="138"/>
      <c r="AD17" s="138"/>
      <c r="AE17" s="138"/>
      <c r="AF17" s="138"/>
      <c r="AG17" s="138"/>
      <c r="AH17" s="138"/>
      <c r="AI17" s="138"/>
      <c r="AJ17" s="138"/>
      <c r="AK17" s="138"/>
      <c r="AL17" s="138"/>
      <c r="AM17" s="138"/>
    </row>
    <row r="18" spans="1:39" ht="54">
      <c r="A18" s="137">
        <v>16</v>
      </c>
      <c r="B18" s="137">
        <v>3</v>
      </c>
      <c r="C18" s="137">
        <v>1</v>
      </c>
      <c r="D18" s="137">
        <v>1</v>
      </c>
      <c r="E18" s="137">
        <v>9</v>
      </c>
      <c r="F18" s="137">
        <v>0</v>
      </c>
      <c r="G18" s="138" t="s">
        <v>178</v>
      </c>
      <c r="H18" s="138" t="s">
        <v>179</v>
      </c>
      <c r="I18" s="138" t="s">
        <v>180</v>
      </c>
      <c r="J18" s="137" t="s">
        <v>83</v>
      </c>
      <c r="K18" s="137" t="s">
        <v>84</v>
      </c>
      <c r="L18" s="137" t="s">
        <v>84</v>
      </c>
      <c r="M18" s="137" t="s">
        <v>84</v>
      </c>
      <c r="N18" s="137" t="s">
        <v>85</v>
      </c>
      <c r="O18" s="137" t="s">
        <v>115</v>
      </c>
      <c r="P18" s="138" t="s">
        <v>184</v>
      </c>
      <c r="Q18" s="138" t="s">
        <v>181</v>
      </c>
      <c r="R18" s="138" t="s">
        <v>182</v>
      </c>
      <c r="S18" s="138" t="s">
        <v>183</v>
      </c>
      <c r="T18" s="138"/>
      <c r="U18" s="138"/>
      <c r="V18" s="138"/>
      <c r="W18" s="138"/>
      <c r="X18" s="138"/>
      <c r="Y18" s="138"/>
      <c r="Z18" s="138"/>
      <c r="AA18" s="138"/>
      <c r="AB18" s="138"/>
      <c r="AC18" s="138"/>
      <c r="AD18" s="138"/>
      <c r="AE18" s="138"/>
      <c r="AF18" s="138"/>
      <c r="AG18" s="138"/>
      <c r="AH18" s="138"/>
      <c r="AI18" s="138"/>
      <c r="AJ18" s="138"/>
      <c r="AK18" s="138"/>
      <c r="AL18" s="138"/>
      <c r="AM18" s="138"/>
    </row>
    <row r="19" spans="1:39" ht="27">
      <c r="A19" s="137">
        <v>17</v>
      </c>
      <c r="B19" s="137">
        <v>3</v>
      </c>
      <c r="C19" s="137">
        <v>1</v>
      </c>
      <c r="D19" s="137">
        <v>1</v>
      </c>
      <c r="E19" s="137">
        <v>10</v>
      </c>
      <c r="F19" s="137">
        <v>0</v>
      </c>
      <c r="G19" s="138" t="s">
        <v>185</v>
      </c>
      <c r="H19" s="138" t="s">
        <v>186</v>
      </c>
      <c r="I19" s="138" t="s">
        <v>187</v>
      </c>
      <c r="J19" s="137" t="s">
        <v>83</v>
      </c>
      <c r="K19" s="137" t="s">
        <v>84</v>
      </c>
      <c r="L19" s="137" t="s">
        <v>84</v>
      </c>
      <c r="M19" s="137" t="s">
        <v>84</v>
      </c>
      <c r="N19" s="137" t="s">
        <v>108</v>
      </c>
      <c r="O19" s="137" t="s">
        <v>115</v>
      </c>
      <c r="P19" s="138" t="s">
        <v>2657</v>
      </c>
      <c r="Q19" s="138" t="s">
        <v>188</v>
      </c>
      <c r="R19" s="138" t="s">
        <v>189</v>
      </c>
      <c r="S19" s="138" t="s">
        <v>190</v>
      </c>
      <c r="T19" s="138"/>
      <c r="U19" s="138"/>
      <c r="V19" s="138"/>
      <c r="W19" s="138"/>
      <c r="X19" s="138"/>
      <c r="Y19" s="138"/>
      <c r="Z19" s="138"/>
      <c r="AA19" s="138"/>
      <c r="AB19" s="138"/>
      <c r="AC19" s="138"/>
      <c r="AD19" s="138"/>
      <c r="AE19" s="138"/>
      <c r="AF19" s="138"/>
      <c r="AG19" s="138"/>
      <c r="AH19" s="138"/>
      <c r="AI19" s="138"/>
      <c r="AJ19" s="138"/>
      <c r="AK19" s="138"/>
      <c r="AL19" s="138"/>
      <c r="AM19" s="138"/>
    </row>
    <row r="20" spans="1:39" ht="27">
      <c r="A20" s="137">
        <v>18</v>
      </c>
      <c r="B20" s="137">
        <v>3</v>
      </c>
      <c r="C20" s="137">
        <v>1</v>
      </c>
      <c r="D20" s="137">
        <v>1</v>
      </c>
      <c r="E20" s="137">
        <v>11</v>
      </c>
      <c r="F20" s="137">
        <v>0</v>
      </c>
      <c r="G20" s="138" t="s">
        <v>191</v>
      </c>
      <c r="H20" s="138" t="s">
        <v>192</v>
      </c>
      <c r="I20" s="138" t="s">
        <v>193</v>
      </c>
      <c r="J20" s="137" t="s">
        <v>83</v>
      </c>
      <c r="K20" s="139" t="s">
        <v>197</v>
      </c>
      <c r="L20" s="140" t="s">
        <v>198</v>
      </c>
      <c r="M20" s="140" t="s">
        <v>199</v>
      </c>
      <c r="N20" s="137" t="s">
        <v>108</v>
      </c>
      <c r="O20" s="137" t="s">
        <v>115</v>
      </c>
      <c r="P20" s="138" t="s">
        <v>2658</v>
      </c>
      <c r="Q20" s="138" t="s">
        <v>194</v>
      </c>
      <c r="R20" s="138" t="s">
        <v>195</v>
      </c>
      <c r="S20" s="138" t="s">
        <v>196</v>
      </c>
      <c r="T20" s="138"/>
      <c r="U20" s="138"/>
      <c r="V20" s="138"/>
      <c r="W20" s="138"/>
      <c r="X20" s="138"/>
      <c r="Y20" s="138"/>
      <c r="Z20" s="138"/>
      <c r="AA20" s="138"/>
      <c r="AB20" s="138"/>
      <c r="AC20" s="138"/>
      <c r="AD20" s="138"/>
      <c r="AE20" s="138"/>
      <c r="AF20" s="138"/>
      <c r="AG20" s="138"/>
      <c r="AH20" s="138"/>
      <c r="AI20" s="138"/>
      <c r="AJ20" s="138"/>
      <c r="AK20" s="138"/>
      <c r="AL20" s="138"/>
      <c r="AM20" s="138"/>
    </row>
    <row r="21" spans="1:39" ht="32.4">
      <c r="A21" s="137">
        <v>19</v>
      </c>
      <c r="B21" s="137">
        <v>3</v>
      </c>
      <c r="C21" s="137">
        <v>1</v>
      </c>
      <c r="D21" s="137">
        <v>1</v>
      </c>
      <c r="E21" s="137">
        <v>11</v>
      </c>
      <c r="F21" s="137">
        <v>1</v>
      </c>
      <c r="G21" s="138" t="s">
        <v>200</v>
      </c>
      <c r="H21" s="138" t="s">
        <v>201</v>
      </c>
      <c r="I21" s="138" t="s">
        <v>202</v>
      </c>
      <c r="J21" s="137" t="s">
        <v>83</v>
      </c>
      <c r="K21" s="137" t="s">
        <v>84</v>
      </c>
      <c r="L21" s="137" t="s">
        <v>84</v>
      </c>
      <c r="M21" s="137" t="s">
        <v>84</v>
      </c>
      <c r="N21" s="137" t="s">
        <v>108</v>
      </c>
      <c r="O21" s="137" t="s">
        <v>115</v>
      </c>
      <c r="P21" s="138" t="s">
        <v>2659</v>
      </c>
      <c r="Q21" s="138" t="s">
        <v>203</v>
      </c>
      <c r="R21" s="138" t="s">
        <v>204</v>
      </c>
      <c r="S21" s="138" t="s">
        <v>205</v>
      </c>
      <c r="T21" s="138"/>
      <c r="U21" s="138"/>
      <c r="V21" s="138"/>
      <c r="W21" s="138"/>
      <c r="X21" s="138"/>
      <c r="Y21" s="138"/>
      <c r="Z21" s="138"/>
      <c r="AA21" s="138"/>
      <c r="AB21" s="138"/>
      <c r="AC21" s="138"/>
      <c r="AD21" s="138"/>
      <c r="AE21" s="138"/>
      <c r="AF21" s="138"/>
      <c r="AG21" s="138"/>
      <c r="AH21" s="138"/>
      <c r="AI21" s="138"/>
      <c r="AJ21" s="138"/>
      <c r="AK21" s="138"/>
      <c r="AL21" s="138"/>
      <c r="AM21" s="138"/>
    </row>
    <row r="22" spans="1:39">
      <c r="A22" s="141">
        <v>20</v>
      </c>
      <c r="B22" s="141">
        <v>3</v>
      </c>
      <c r="C22" s="141">
        <v>1</v>
      </c>
      <c r="D22" s="141">
        <v>1</v>
      </c>
      <c r="E22" s="141">
        <v>12</v>
      </c>
      <c r="F22" s="141">
        <v>0</v>
      </c>
      <c r="G22" s="142" t="s">
        <v>206</v>
      </c>
      <c r="H22" s="142" t="s">
        <v>207</v>
      </c>
      <c r="I22" s="141" t="s">
        <v>84</v>
      </c>
      <c r="J22" s="141" t="s">
        <v>154</v>
      </c>
      <c r="K22" s="141" t="s">
        <v>155</v>
      </c>
      <c r="L22" s="142" t="s">
        <v>208</v>
      </c>
      <c r="M22" s="142" t="s">
        <v>167</v>
      </c>
      <c r="N22" s="141" t="s">
        <v>84</v>
      </c>
      <c r="O22" s="141" t="s">
        <v>84</v>
      </c>
      <c r="P22" s="141" t="s">
        <v>84</v>
      </c>
      <c r="Q22" s="141" t="s">
        <v>84</v>
      </c>
      <c r="R22" s="141" t="s">
        <v>84</v>
      </c>
      <c r="S22" s="141" t="s">
        <v>84</v>
      </c>
      <c r="T22" s="142"/>
      <c r="U22" s="142"/>
      <c r="V22" s="142"/>
      <c r="W22" s="142"/>
      <c r="X22" s="142"/>
      <c r="Y22" s="142"/>
      <c r="Z22" s="142"/>
      <c r="AA22" s="142"/>
      <c r="AB22" s="142"/>
      <c r="AC22" s="142"/>
      <c r="AD22" s="142"/>
      <c r="AE22" s="142"/>
      <c r="AF22" s="142"/>
      <c r="AG22" s="142"/>
      <c r="AH22" s="142"/>
      <c r="AI22" s="142"/>
      <c r="AJ22" s="142"/>
      <c r="AK22" s="142"/>
      <c r="AL22" s="142"/>
      <c r="AM22" s="142"/>
    </row>
    <row r="23" spans="1:39" ht="21.6">
      <c r="A23" s="137">
        <v>21</v>
      </c>
      <c r="B23" s="137">
        <v>3</v>
      </c>
      <c r="C23" s="137">
        <v>1</v>
      </c>
      <c r="D23" s="137">
        <v>1</v>
      </c>
      <c r="E23" s="137">
        <v>13</v>
      </c>
      <c r="F23" s="137">
        <v>0</v>
      </c>
      <c r="G23" s="138" t="s">
        <v>209</v>
      </c>
      <c r="H23" s="138" t="s">
        <v>210</v>
      </c>
      <c r="I23" s="138" t="s">
        <v>211</v>
      </c>
      <c r="J23" s="137" t="s">
        <v>83</v>
      </c>
      <c r="K23" s="137" t="s">
        <v>84</v>
      </c>
      <c r="L23" s="137" t="s">
        <v>84</v>
      </c>
      <c r="M23" s="137" t="s">
        <v>84</v>
      </c>
      <c r="N23" s="137" t="s">
        <v>131</v>
      </c>
      <c r="O23" s="137" t="s">
        <v>115</v>
      </c>
      <c r="P23" s="138" t="s">
        <v>2660</v>
      </c>
      <c r="Q23" s="138" t="s">
        <v>212</v>
      </c>
      <c r="R23" s="138" t="s">
        <v>213</v>
      </c>
      <c r="S23" s="138" t="s">
        <v>214</v>
      </c>
      <c r="T23" s="138"/>
      <c r="U23" s="138"/>
      <c r="V23" s="138"/>
      <c r="W23" s="138"/>
      <c r="X23" s="138"/>
      <c r="Y23" s="138"/>
      <c r="Z23" s="138"/>
      <c r="AA23" s="138"/>
      <c r="AB23" s="138"/>
      <c r="AC23" s="138"/>
      <c r="AD23" s="138"/>
      <c r="AE23" s="138"/>
      <c r="AF23" s="138"/>
      <c r="AG23" s="138"/>
      <c r="AH23" s="138"/>
      <c r="AI23" s="138"/>
      <c r="AJ23" s="138"/>
      <c r="AK23" s="138"/>
      <c r="AL23" s="138"/>
      <c r="AM23" s="138"/>
    </row>
    <row r="24" spans="1:39" ht="21.6">
      <c r="A24" s="137">
        <v>22</v>
      </c>
      <c r="B24" s="137">
        <v>3</v>
      </c>
      <c r="C24" s="137">
        <v>1</v>
      </c>
      <c r="D24" s="137">
        <v>1</v>
      </c>
      <c r="E24" s="137">
        <v>14</v>
      </c>
      <c r="F24" s="137">
        <v>0</v>
      </c>
      <c r="G24" s="138" t="s">
        <v>215</v>
      </c>
      <c r="H24" s="138" t="s">
        <v>216</v>
      </c>
      <c r="I24" s="138" t="s">
        <v>217</v>
      </c>
      <c r="J24" s="137" t="s">
        <v>83</v>
      </c>
      <c r="K24" s="137" t="s">
        <v>84</v>
      </c>
      <c r="L24" s="137" t="s">
        <v>84</v>
      </c>
      <c r="M24" s="137" t="s">
        <v>84</v>
      </c>
      <c r="N24" s="137" t="s">
        <v>85</v>
      </c>
      <c r="O24" s="137" t="s">
        <v>115</v>
      </c>
      <c r="P24" s="138" t="s">
        <v>2661</v>
      </c>
      <c r="Q24" s="138" t="s">
        <v>218</v>
      </c>
      <c r="R24" s="138" t="s">
        <v>219</v>
      </c>
      <c r="S24" s="138" t="s">
        <v>220</v>
      </c>
      <c r="T24" s="138"/>
      <c r="U24" s="138"/>
      <c r="V24" s="138"/>
      <c r="W24" s="138"/>
      <c r="X24" s="138"/>
      <c r="Y24" s="138"/>
      <c r="Z24" s="138"/>
      <c r="AA24" s="138"/>
      <c r="AB24" s="138"/>
      <c r="AC24" s="138"/>
      <c r="AD24" s="138"/>
      <c r="AE24" s="138"/>
      <c r="AF24" s="138"/>
      <c r="AG24" s="138"/>
      <c r="AH24" s="138"/>
      <c r="AI24" s="138"/>
      <c r="AJ24" s="138"/>
      <c r="AK24" s="138"/>
      <c r="AL24" s="138"/>
      <c r="AM24" s="138"/>
    </row>
    <row r="25" spans="1:39" ht="27">
      <c r="A25" s="137">
        <v>23</v>
      </c>
      <c r="B25" s="137">
        <v>3</v>
      </c>
      <c r="C25" s="137">
        <v>1</v>
      </c>
      <c r="D25" s="137">
        <v>1</v>
      </c>
      <c r="E25" s="137">
        <v>15</v>
      </c>
      <c r="F25" s="137">
        <v>0</v>
      </c>
      <c r="G25" s="138" t="s">
        <v>221</v>
      </c>
      <c r="H25" s="138" t="s">
        <v>222</v>
      </c>
      <c r="I25" s="138" t="s">
        <v>223</v>
      </c>
      <c r="J25" s="137" t="s">
        <v>83</v>
      </c>
      <c r="K25" s="139" t="s">
        <v>197</v>
      </c>
      <c r="L25" s="140" t="s">
        <v>227</v>
      </c>
      <c r="M25" s="140" t="s">
        <v>228</v>
      </c>
      <c r="N25" s="137" t="s">
        <v>229</v>
      </c>
      <c r="O25" s="137" t="s">
        <v>230</v>
      </c>
      <c r="P25" s="138" t="s">
        <v>2662</v>
      </c>
      <c r="Q25" s="138" t="s">
        <v>224</v>
      </c>
      <c r="R25" s="138" t="s">
        <v>225</v>
      </c>
      <c r="S25" s="138" t="s">
        <v>226</v>
      </c>
      <c r="T25" s="138"/>
      <c r="U25" s="138"/>
      <c r="V25" s="138"/>
      <c r="W25" s="138"/>
      <c r="X25" s="138"/>
      <c r="Y25" s="138"/>
      <c r="Z25" s="138"/>
      <c r="AA25" s="138"/>
      <c r="AB25" s="138"/>
      <c r="AC25" s="138"/>
      <c r="AD25" s="138"/>
      <c r="AE25" s="138"/>
      <c r="AF25" s="138"/>
      <c r="AG25" s="138"/>
      <c r="AH25" s="138"/>
      <c r="AI25" s="138"/>
      <c r="AJ25" s="138"/>
      <c r="AK25" s="138"/>
      <c r="AL25" s="138"/>
      <c r="AM25" s="138"/>
    </row>
    <row r="26" spans="1:39" ht="37.799999999999997">
      <c r="A26" s="137">
        <v>24</v>
      </c>
      <c r="B26" s="137">
        <v>3</v>
      </c>
      <c r="C26" s="137">
        <v>1</v>
      </c>
      <c r="D26" s="137">
        <v>2</v>
      </c>
      <c r="E26" s="137">
        <v>1</v>
      </c>
      <c r="F26" s="137">
        <v>0</v>
      </c>
      <c r="G26" s="138" t="s">
        <v>231</v>
      </c>
      <c r="H26" s="138" t="s">
        <v>232</v>
      </c>
      <c r="I26" s="138" t="s">
        <v>233</v>
      </c>
      <c r="J26" s="137" t="s">
        <v>83</v>
      </c>
      <c r="K26" s="137" t="s">
        <v>84</v>
      </c>
      <c r="L26" s="137" t="s">
        <v>84</v>
      </c>
      <c r="M26" s="137" t="s">
        <v>84</v>
      </c>
      <c r="N26" s="137" t="s">
        <v>108</v>
      </c>
      <c r="O26" s="137" t="s">
        <v>115</v>
      </c>
      <c r="P26" s="140" t="s">
        <v>237</v>
      </c>
      <c r="Q26" s="138" t="s">
        <v>234</v>
      </c>
      <c r="R26" s="138" t="s">
        <v>235</v>
      </c>
      <c r="S26" s="138" t="s">
        <v>236</v>
      </c>
      <c r="T26" s="138"/>
      <c r="U26" s="138"/>
      <c r="V26" s="138"/>
      <c r="W26" s="138"/>
      <c r="X26" s="138"/>
      <c r="Y26" s="138"/>
      <c r="Z26" s="138"/>
      <c r="AA26" s="138"/>
      <c r="AB26" s="138"/>
      <c r="AC26" s="138"/>
      <c r="AD26" s="138"/>
      <c r="AE26" s="138"/>
      <c r="AF26" s="138"/>
      <c r="AG26" s="138"/>
      <c r="AH26" s="138"/>
      <c r="AI26" s="138"/>
      <c r="AJ26" s="138"/>
      <c r="AK26" s="138"/>
      <c r="AL26" s="138"/>
      <c r="AM26" s="138"/>
    </row>
    <row r="27" spans="1:39" ht="16.2">
      <c r="A27" s="137">
        <v>25</v>
      </c>
      <c r="B27" s="137">
        <v>3</v>
      </c>
      <c r="C27" s="137">
        <v>1</v>
      </c>
      <c r="D27" s="137">
        <v>2</v>
      </c>
      <c r="E27" s="137">
        <v>2</v>
      </c>
      <c r="F27" s="137">
        <v>0</v>
      </c>
      <c r="G27" s="138" t="s">
        <v>238</v>
      </c>
      <c r="H27" s="138" t="s">
        <v>239</v>
      </c>
      <c r="I27" s="138" t="s">
        <v>2663</v>
      </c>
      <c r="J27" s="137" t="s">
        <v>83</v>
      </c>
      <c r="K27" s="137" t="s">
        <v>84</v>
      </c>
      <c r="L27" s="137" t="s">
        <v>84</v>
      </c>
      <c r="M27" s="137" t="s">
        <v>84</v>
      </c>
      <c r="N27" s="137" t="s">
        <v>108</v>
      </c>
      <c r="O27" s="137" t="s">
        <v>115</v>
      </c>
      <c r="P27" s="140" t="s">
        <v>242</v>
      </c>
      <c r="Q27" s="138" t="s">
        <v>2540</v>
      </c>
      <c r="R27" s="138" t="s">
        <v>240</v>
      </c>
      <c r="S27" s="138" t="s">
        <v>241</v>
      </c>
      <c r="T27" s="138"/>
      <c r="U27" s="138"/>
      <c r="V27" s="138"/>
      <c r="W27" s="138"/>
      <c r="X27" s="138"/>
      <c r="Y27" s="138"/>
      <c r="Z27" s="138"/>
      <c r="AA27" s="138"/>
      <c r="AB27" s="138"/>
      <c r="AC27" s="138"/>
      <c r="AD27" s="138"/>
      <c r="AE27" s="138"/>
      <c r="AF27" s="138"/>
      <c r="AG27" s="138"/>
      <c r="AH27" s="138"/>
      <c r="AI27" s="138"/>
      <c r="AJ27" s="138"/>
      <c r="AK27" s="138"/>
      <c r="AL27" s="138"/>
      <c r="AM27" s="138"/>
    </row>
    <row r="28" spans="1:39" ht="256.2">
      <c r="A28" s="137">
        <v>26</v>
      </c>
      <c r="B28" s="137">
        <v>3</v>
      </c>
      <c r="C28" s="137">
        <v>1</v>
      </c>
      <c r="D28" s="137">
        <v>3</v>
      </c>
      <c r="E28" s="137">
        <v>0</v>
      </c>
      <c r="F28" s="137">
        <v>0</v>
      </c>
      <c r="G28" s="138" t="s">
        <v>243</v>
      </c>
      <c r="H28" s="138" t="s">
        <v>244</v>
      </c>
      <c r="I28" s="138" t="s">
        <v>2664</v>
      </c>
      <c r="J28" s="137" t="s">
        <v>83</v>
      </c>
      <c r="K28" s="137" t="s">
        <v>84</v>
      </c>
      <c r="L28" s="137" t="s">
        <v>84</v>
      </c>
      <c r="M28" s="137" t="s">
        <v>84</v>
      </c>
      <c r="N28" s="137" t="s">
        <v>131</v>
      </c>
      <c r="O28" s="137" t="s">
        <v>248</v>
      </c>
      <c r="P28" s="140" t="s">
        <v>249</v>
      </c>
      <c r="Q28" s="138" t="s">
        <v>245</v>
      </c>
      <c r="R28" s="138" t="s">
        <v>246</v>
      </c>
      <c r="S28" s="138" t="s">
        <v>247</v>
      </c>
      <c r="T28" s="138"/>
      <c r="U28" s="138"/>
      <c r="V28" s="138"/>
      <c r="W28" s="138"/>
      <c r="X28" s="138"/>
      <c r="Y28" s="138"/>
      <c r="Z28" s="138"/>
      <c r="AA28" s="138"/>
      <c r="AB28" s="138"/>
      <c r="AC28" s="138"/>
      <c r="AD28" s="138"/>
      <c r="AE28" s="138"/>
      <c r="AF28" s="138"/>
      <c r="AG28" s="138"/>
      <c r="AH28" s="138"/>
      <c r="AI28" s="138"/>
      <c r="AJ28" s="138"/>
      <c r="AK28" s="138"/>
      <c r="AL28" s="138"/>
      <c r="AM28" s="138"/>
    </row>
    <row r="29" spans="1:39" ht="21.6">
      <c r="A29" s="137">
        <v>27</v>
      </c>
      <c r="B29" s="137">
        <v>3</v>
      </c>
      <c r="C29" s="137">
        <v>1</v>
      </c>
      <c r="D29" s="137">
        <v>3</v>
      </c>
      <c r="E29" s="137">
        <v>1</v>
      </c>
      <c r="F29" s="137">
        <v>0</v>
      </c>
      <c r="G29" s="138" t="s">
        <v>250</v>
      </c>
      <c r="H29" s="138" t="s">
        <v>251</v>
      </c>
      <c r="I29" s="138" t="s">
        <v>252</v>
      </c>
      <c r="J29" s="137" t="s">
        <v>83</v>
      </c>
      <c r="K29" s="137" t="s">
        <v>84</v>
      </c>
      <c r="L29" s="137" t="s">
        <v>84</v>
      </c>
      <c r="M29" s="137" t="s">
        <v>84</v>
      </c>
      <c r="N29" s="137" t="s">
        <v>230</v>
      </c>
      <c r="O29" s="137" t="s">
        <v>248</v>
      </c>
      <c r="P29" s="140" t="s">
        <v>256</v>
      </c>
      <c r="Q29" s="138" t="s">
        <v>253</v>
      </c>
      <c r="R29" s="138" t="s">
        <v>254</v>
      </c>
      <c r="S29" s="138" t="s">
        <v>255</v>
      </c>
      <c r="T29" s="138"/>
      <c r="U29" s="138"/>
      <c r="V29" s="138"/>
      <c r="W29" s="138"/>
      <c r="X29" s="138"/>
      <c r="Y29" s="138"/>
      <c r="Z29" s="138"/>
      <c r="AA29" s="138"/>
      <c r="AB29" s="138"/>
      <c r="AC29" s="138"/>
      <c r="AD29" s="138"/>
      <c r="AE29" s="138"/>
      <c r="AF29" s="138"/>
      <c r="AG29" s="138"/>
      <c r="AH29" s="138"/>
      <c r="AI29" s="138"/>
      <c r="AJ29" s="138"/>
      <c r="AK29" s="138"/>
      <c r="AL29" s="138"/>
      <c r="AM29" s="138"/>
    </row>
    <row r="30" spans="1:39" ht="16.2">
      <c r="A30" s="137">
        <v>28</v>
      </c>
      <c r="B30" s="137">
        <v>3</v>
      </c>
      <c r="C30" s="137">
        <v>1</v>
      </c>
      <c r="D30" s="137">
        <v>4</v>
      </c>
      <c r="E30" s="137">
        <v>0</v>
      </c>
      <c r="F30" s="137">
        <v>0</v>
      </c>
      <c r="G30" s="138" t="s">
        <v>257</v>
      </c>
      <c r="H30" s="138" t="s">
        <v>258</v>
      </c>
      <c r="I30" s="138" t="s">
        <v>259</v>
      </c>
      <c r="J30" s="137" t="s">
        <v>83</v>
      </c>
      <c r="K30" s="137" t="s">
        <v>84</v>
      </c>
      <c r="L30" s="137" t="s">
        <v>84</v>
      </c>
      <c r="M30" s="137" t="s">
        <v>84</v>
      </c>
      <c r="N30" s="137" t="s">
        <v>263</v>
      </c>
      <c r="O30" s="137" t="s">
        <v>230</v>
      </c>
      <c r="P30" s="140" t="s">
        <v>264</v>
      </c>
      <c r="Q30" s="138" t="s">
        <v>260</v>
      </c>
      <c r="R30" s="138" t="s">
        <v>261</v>
      </c>
      <c r="S30" s="138" t="s">
        <v>262</v>
      </c>
      <c r="T30" s="138"/>
      <c r="U30" s="138"/>
      <c r="V30" s="138"/>
      <c r="W30" s="138"/>
      <c r="X30" s="138"/>
      <c r="Y30" s="138"/>
      <c r="Z30" s="138"/>
      <c r="AA30" s="138"/>
      <c r="AB30" s="138"/>
      <c r="AC30" s="138"/>
      <c r="AD30" s="138"/>
      <c r="AE30" s="138"/>
      <c r="AF30" s="138"/>
      <c r="AG30" s="138"/>
      <c r="AH30" s="138"/>
      <c r="AI30" s="138"/>
      <c r="AJ30" s="138"/>
      <c r="AK30" s="138"/>
      <c r="AL30" s="138"/>
      <c r="AM30" s="138"/>
    </row>
    <row r="31" spans="1:39" ht="37.799999999999997">
      <c r="A31" s="137">
        <v>29</v>
      </c>
      <c r="B31" s="137">
        <v>3</v>
      </c>
      <c r="C31" s="137">
        <v>1</v>
      </c>
      <c r="D31" s="137">
        <v>5</v>
      </c>
      <c r="E31" s="137">
        <v>1</v>
      </c>
      <c r="F31" s="137">
        <v>0</v>
      </c>
      <c r="G31" s="138" t="s">
        <v>265</v>
      </c>
      <c r="H31" s="138" t="s">
        <v>266</v>
      </c>
      <c r="I31" s="138" t="s">
        <v>267</v>
      </c>
      <c r="J31" s="137" t="s">
        <v>83</v>
      </c>
      <c r="K31" s="137" t="s">
        <v>84</v>
      </c>
      <c r="L31" s="137" t="s">
        <v>84</v>
      </c>
      <c r="M31" s="137" t="s">
        <v>84</v>
      </c>
      <c r="N31" s="137" t="s">
        <v>230</v>
      </c>
      <c r="O31" s="137" t="s">
        <v>230</v>
      </c>
      <c r="P31" s="138" t="s">
        <v>2665</v>
      </c>
      <c r="Q31" s="138" t="s">
        <v>268</v>
      </c>
      <c r="R31" s="138" t="s">
        <v>269</v>
      </c>
      <c r="S31" s="138" t="s">
        <v>270</v>
      </c>
      <c r="T31" s="138"/>
      <c r="U31" s="138"/>
      <c r="V31" s="138"/>
      <c r="W31" s="138"/>
      <c r="X31" s="138"/>
      <c r="Y31" s="138"/>
      <c r="Z31" s="138"/>
      <c r="AA31" s="138"/>
      <c r="AB31" s="138"/>
      <c r="AC31" s="138"/>
      <c r="AD31" s="138"/>
      <c r="AE31" s="138"/>
      <c r="AF31" s="138"/>
      <c r="AG31" s="138"/>
      <c r="AH31" s="138"/>
      <c r="AI31" s="138"/>
      <c r="AJ31" s="138"/>
      <c r="AK31" s="138"/>
      <c r="AL31" s="138"/>
      <c r="AM31" s="138"/>
    </row>
    <row r="32" spans="1:39" ht="37.799999999999997">
      <c r="A32" s="137">
        <v>30</v>
      </c>
      <c r="B32" s="137">
        <v>3</v>
      </c>
      <c r="C32" s="137">
        <v>1</v>
      </c>
      <c r="D32" s="137">
        <v>5</v>
      </c>
      <c r="E32" s="137">
        <v>2</v>
      </c>
      <c r="F32" s="137">
        <v>0</v>
      </c>
      <c r="G32" s="138" t="s">
        <v>271</v>
      </c>
      <c r="H32" s="138" t="s">
        <v>272</v>
      </c>
      <c r="I32" s="138" t="s">
        <v>273</v>
      </c>
      <c r="J32" s="137" t="s">
        <v>83</v>
      </c>
      <c r="K32" s="137" t="s">
        <v>84</v>
      </c>
      <c r="L32" s="137" t="s">
        <v>84</v>
      </c>
      <c r="M32" s="137" t="s">
        <v>84</v>
      </c>
      <c r="N32" s="137" t="s">
        <v>230</v>
      </c>
      <c r="O32" s="137" t="s">
        <v>230</v>
      </c>
      <c r="P32" s="138" t="s">
        <v>2666</v>
      </c>
      <c r="Q32" s="138" t="s">
        <v>274</v>
      </c>
      <c r="R32" s="138" t="s">
        <v>275</v>
      </c>
      <c r="S32" s="138" t="s">
        <v>276</v>
      </c>
      <c r="T32" s="138"/>
      <c r="U32" s="138"/>
      <c r="V32" s="138"/>
      <c r="W32" s="138"/>
      <c r="X32" s="138"/>
      <c r="Y32" s="138"/>
      <c r="Z32" s="138"/>
      <c r="AA32" s="138"/>
      <c r="AB32" s="138"/>
      <c r="AC32" s="138"/>
      <c r="AD32" s="138"/>
      <c r="AE32" s="138"/>
      <c r="AF32" s="138"/>
      <c r="AG32" s="138"/>
      <c r="AH32" s="138"/>
      <c r="AI32" s="138"/>
      <c r="AJ32" s="138"/>
      <c r="AK32" s="138"/>
      <c r="AL32" s="138"/>
      <c r="AM32" s="138"/>
    </row>
    <row r="33" spans="1:39">
      <c r="A33" s="141">
        <v>31</v>
      </c>
      <c r="B33" s="141">
        <v>3</v>
      </c>
      <c r="C33" s="141">
        <v>1</v>
      </c>
      <c r="D33" s="141">
        <v>6</v>
      </c>
      <c r="E33" s="141">
        <v>0</v>
      </c>
      <c r="F33" s="141">
        <v>0</v>
      </c>
      <c r="G33" s="142" t="s">
        <v>277</v>
      </c>
      <c r="H33" s="142" t="s">
        <v>278</v>
      </c>
      <c r="I33" s="141" t="s">
        <v>84</v>
      </c>
      <c r="J33" s="141" t="s">
        <v>154</v>
      </c>
      <c r="K33" s="141" t="s">
        <v>155</v>
      </c>
      <c r="L33" s="142" t="s">
        <v>279</v>
      </c>
      <c r="M33" s="142" t="s">
        <v>280</v>
      </c>
      <c r="N33" s="141" t="s">
        <v>84</v>
      </c>
      <c r="O33" s="141" t="s">
        <v>84</v>
      </c>
      <c r="P33" s="141" t="s">
        <v>84</v>
      </c>
      <c r="Q33" s="141" t="s">
        <v>84</v>
      </c>
      <c r="R33" s="141" t="s">
        <v>84</v>
      </c>
      <c r="S33" s="141" t="s">
        <v>84</v>
      </c>
      <c r="T33" s="142"/>
      <c r="U33" s="142"/>
      <c r="V33" s="142"/>
      <c r="W33" s="142"/>
      <c r="X33" s="142"/>
      <c r="Y33" s="142"/>
      <c r="Z33" s="142"/>
      <c r="AA33" s="142"/>
      <c r="AB33" s="142"/>
      <c r="AC33" s="142"/>
      <c r="AD33" s="142"/>
      <c r="AE33" s="142"/>
      <c r="AF33" s="142"/>
      <c r="AG33" s="142"/>
      <c r="AH33" s="142"/>
      <c r="AI33" s="142"/>
      <c r="AJ33" s="142"/>
      <c r="AK33" s="142"/>
      <c r="AL33" s="142"/>
      <c r="AM33" s="142"/>
    </row>
    <row r="34" spans="1:39">
      <c r="A34" s="141">
        <v>32</v>
      </c>
      <c r="B34" s="141">
        <v>3</v>
      </c>
      <c r="C34" s="141">
        <v>1</v>
      </c>
      <c r="D34" s="141">
        <v>7</v>
      </c>
      <c r="E34" s="141">
        <v>0</v>
      </c>
      <c r="F34" s="141">
        <v>0</v>
      </c>
      <c r="G34" s="142" t="s">
        <v>281</v>
      </c>
      <c r="H34" s="142" t="s">
        <v>282</v>
      </c>
      <c r="I34" s="141" t="s">
        <v>84</v>
      </c>
      <c r="J34" s="141" t="s">
        <v>154</v>
      </c>
      <c r="K34" s="141" t="s">
        <v>155</v>
      </c>
      <c r="L34" s="142" t="s">
        <v>283</v>
      </c>
      <c r="M34" s="142" t="s">
        <v>167</v>
      </c>
      <c r="N34" s="141" t="s">
        <v>84</v>
      </c>
      <c r="O34" s="141" t="s">
        <v>84</v>
      </c>
      <c r="P34" s="141" t="s">
        <v>84</v>
      </c>
      <c r="Q34" s="141" t="s">
        <v>84</v>
      </c>
      <c r="R34" s="141" t="s">
        <v>84</v>
      </c>
      <c r="S34" s="141" t="s">
        <v>84</v>
      </c>
      <c r="T34" s="142"/>
      <c r="U34" s="142"/>
      <c r="V34" s="142"/>
      <c r="W34" s="142"/>
      <c r="X34" s="142"/>
      <c r="Y34" s="142"/>
      <c r="Z34" s="142"/>
      <c r="AA34" s="142"/>
      <c r="AB34" s="142"/>
      <c r="AC34" s="142"/>
      <c r="AD34" s="142"/>
      <c r="AE34" s="142"/>
      <c r="AF34" s="142"/>
      <c r="AG34" s="142"/>
      <c r="AH34" s="142"/>
      <c r="AI34" s="142"/>
      <c r="AJ34" s="142"/>
      <c r="AK34" s="142"/>
      <c r="AL34" s="142"/>
      <c r="AM34" s="142"/>
    </row>
    <row r="35" spans="1:39" ht="48.6">
      <c r="A35" s="137">
        <v>33</v>
      </c>
      <c r="B35" s="137">
        <v>3</v>
      </c>
      <c r="C35" s="137">
        <v>1</v>
      </c>
      <c r="D35" s="137">
        <v>8</v>
      </c>
      <c r="E35" s="137">
        <v>1</v>
      </c>
      <c r="F35" s="137">
        <v>0</v>
      </c>
      <c r="G35" s="138" t="s">
        <v>284</v>
      </c>
      <c r="H35" s="138" t="s">
        <v>285</v>
      </c>
      <c r="I35" s="138" t="s">
        <v>286</v>
      </c>
      <c r="J35" s="137" t="s">
        <v>83</v>
      </c>
      <c r="K35" s="137" t="s">
        <v>84</v>
      </c>
      <c r="L35" s="137" t="s">
        <v>84</v>
      </c>
      <c r="M35" s="137" t="s">
        <v>84</v>
      </c>
      <c r="N35" s="137" t="s">
        <v>131</v>
      </c>
      <c r="O35" s="137" t="s">
        <v>290</v>
      </c>
      <c r="P35" s="138" t="s">
        <v>2667</v>
      </c>
      <c r="Q35" s="138" t="s">
        <v>287</v>
      </c>
      <c r="R35" s="138" t="s">
        <v>288</v>
      </c>
      <c r="S35" s="138" t="s">
        <v>289</v>
      </c>
      <c r="T35" s="138"/>
      <c r="U35" s="138"/>
      <c r="V35" s="138"/>
      <c r="W35" s="138"/>
      <c r="X35" s="138"/>
      <c r="Y35" s="138"/>
      <c r="Z35" s="138"/>
      <c r="AA35" s="138"/>
      <c r="AB35" s="138"/>
      <c r="AC35" s="138"/>
      <c r="AD35" s="138"/>
      <c r="AE35" s="138"/>
      <c r="AF35" s="138"/>
      <c r="AG35" s="138"/>
      <c r="AH35" s="138"/>
      <c r="AI35" s="138"/>
      <c r="AJ35" s="138"/>
      <c r="AK35" s="138"/>
      <c r="AL35" s="138"/>
      <c r="AM35" s="138"/>
    </row>
    <row r="36" spans="1:39" ht="16.2">
      <c r="A36" s="137">
        <v>34</v>
      </c>
      <c r="B36" s="137">
        <v>3</v>
      </c>
      <c r="C36" s="137">
        <v>1</v>
      </c>
      <c r="D36" s="137">
        <v>8</v>
      </c>
      <c r="E36" s="137">
        <v>2</v>
      </c>
      <c r="F36" s="137">
        <v>0</v>
      </c>
      <c r="G36" s="138" t="s">
        <v>291</v>
      </c>
      <c r="H36" s="138" t="s">
        <v>292</v>
      </c>
      <c r="I36" s="138" t="s">
        <v>293</v>
      </c>
      <c r="J36" s="137" t="s">
        <v>83</v>
      </c>
      <c r="K36" s="137" t="s">
        <v>84</v>
      </c>
      <c r="L36" s="137" t="s">
        <v>84</v>
      </c>
      <c r="M36" s="137" t="s">
        <v>84</v>
      </c>
      <c r="N36" s="137" t="s">
        <v>263</v>
      </c>
      <c r="O36" s="137" t="s">
        <v>296</v>
      </c>
      <c r="P36" s="138" t="s">
        <v>2668</v>
      </c>
      <c r="Q36" s="138" t="s">
        <v>294</v>
      </c>
      <c r="R36" s="138" t="s">
        <v>2669</v>
      </c>
      <c r="S36" s="138" t="s">
        <v>295</v>
      </c>
      <c r="T36" s="138"/>
      <c r="U36" s="138"/>
      <c r="V36" s="138"/>
      <c r="W36" s="138"/>
      <c r="X36" s="138"/>
      <c r="Y36" s="138"/>
      <c r="Z36" s="138"/>
      <c r="AA36" s="138"/>
      <c r="AB36" s="138"/>
      <c r="AC36" s="138"/>
      <c r="AD36" s="138"/>
      <c r="AE36" s="138"/>
      <c r="AF36" s="138"/>
      <c r="AG36" s="138"/>
      <c r="AH36" s="138"/>
      <c r="AI36" s="138"/>
      <c r="AJ36" s="138"/>
      <c r="AK36" s="138"/>
      <c r="AL36" s="138"/>
      <c r="AM36" s="138"/>
    </row>
    <row r="37" spans="1:39" ht="48.6">
      <c r="A37" s="137">
        <v>35</v>
      </c>
      <c r="B37" s="137">
        <v>3</v>
      </c>
      <c r="C37" s="137">
        <v>1</v>
      </c>
      <c r="D37" s="137">
        <v>8</v>
      </c>
      <c r="E37" s="137">
        <v>3</v>
      </c>
      <c r="F37" s="137">
        <v>0</v>
      </c>
      <c r="G37" s="138" t="s">
        <v>297</v>
      </c>
      <c r="H37" s="138" t="s">
        <v>298</v>
      </c>
      <c r="I37" s="138" t="s">
        <v>299</v>
      </c>
      <c r="J37" s="137" t="s">
        <v>83</v>
      </c>
      <c r="K37" s="137" t="s">
        <v>84</v>
      </c>
      <c r="L37" s="137" t="s">
        <v>84</v>
      </c>
      <c r="M37" s="137" t="s">
        <v>84</v>
      </c>
      <c r="N37" s="137" t="s">
        <v>131</v>
      </c>
      <c r="O37" s="137" t="s">
        <v>303</v>
      </c>
      <c r="P37" s="138" t="s">
        <v>2670</v>
      </c>
      <c r="Q37" s="138" t="s">
        <v>300</v>
      </c>
      <c r="R37" s="138" t="s">
        <v>301</v>
      </c>
      <c r="S37" s="138" t="s">
        <v>302</v>
      </c>
      <c r="T37" s="138"/>
      <c r="U37" s="138"/>
      <c r="V37" s="138"/>
      <c r="W37" s="138"/>
      <c r="X37" s="138"/>
      <c r="Y37" s="138"/>
      <c r="Z37" s="138"/>
      <c r="AA37" s="138"/>
      <c r="AB37" s="138"/>
      <c r="AC37" s="138"/>
      <c r="AD37" s="138"/>
      <c r="AE37" s="138"/>
      <c r="AF37" s="138"/>
      <c r="AG37" s="138"/>
      <c r="AH37" s="138"/>
      <c r="AI37" s="138"/>
      <c r="AJ37" s="138"/>
      <c r="AK37" s="138"/>
      <c r="AL37" s="138"/>
      <c r="AM37" s="138"/>
    </row>
    <row r="38" spans="1:39" ht="43.2">
      <c r="A38" s="137">
        <v>36</v>
      </c>
      <c r="B38" s="137">
        <v>3</v>
      </c>
      <c r="C38" s="137">
        <v>1</v>
      </c>
      <c r="D38" s="137">
        <v>8</v>
      </c>
      <c r="E38" s="137">
        <v>4</v>
      </c>
      <c r="F38" s="137">
        <v>0</v>
      </c>
      <c r="G38" s="138" t="s">
        <v>304</v>
      </c>
      <c r="H38" s="138" t="s">
        <v>305</v>
      </c>
      <c r="I38" s="138" t="s">
        <v>2542</v>
      </c>
      <c r="J38" s="137" t="s">
        <v>83</v>
      </c>
      <c r="K38" s="137" t="s">
        <v>84</v>
      </c>
      <c r="L38" s="137" t="s">
        <v>84</v>
      </c>
      <c r="M38" s="137" t="s">
        <v>84</v>
      </c>
      <c r="N38" s="137" t="s">
        <v>131</v>
      </c>
      <c r="O38" s="137" t="s">
        <v>115</v>
      </c>
      <c r="P38" s="138" t="s">
        <v>2671</v>
      </c>
      <c r="Q38" s="138" t="s">
        <v>306</v>
      </c>
      <c r="R38" s="138" t="s">
        <v>307</v>
      </c>
      <c r="S38" s="138" t="s">
        <v>308</v>
      </c>
      <c r="T38" s="138"/>
      <c r="U38" s="138"/>
      <c r="V38" s="138"/>
      <c r="W38" s="138"/>
      <c r="X38" s="138"/>
      <c r="Y38" s="138"/>
      <c r="Z38" s="138"/>
      <c r="AA38" s="138"/>
      <c r="AB38" s="138"/>
      <c r="AC38" s="138"/>
      <c r="AD38" s="138"/>
      <c r="AE38" s="138"/>
      <c r="AF38" s="138"/>
      <c r="AG38" s="138"/>
      <c r="AH38" s="138"/>
      <c r="AI38" s="138"/>
      <c r="AJ38" s="138"/>
      <c r="AK38" s="138"/>
      <c r="AL38" s="138"/>
      <c r="AM38" s="138"/>
    </row>
    <row r="39" spans="1:39" ht="27">
      <c r="A39" s="137">
        <v>37</v>
      </c>
      <c r="B39" s="137">
        <v>3</v>
      </c>
      <c r="C39" s="137">
        <v>1</v>
      </c>
      <c r="D39" s="137">
        <v>8</v>
      </c>
      <c r="E39" s="137">
        <v>5</v>
      </c>
      <c r="F39" s="137">
        <v>0</v>
      </c>
      <c r="G39" s="138" t="s">
        <v>309</v>
      </c>
      <c r="H39" s="138" t="s">
        <v>310</v>
      </c>
      <c r="I39" s="138" t="s">
        <v>311</v>
      </c>
      <c r="J39" s="137" t="s">
        <v>83</v>
      </c>
      <c r="K39" s="137" t="s">
        <v>84</v>
      </c>
      <c r="L39" s="137" t="s">
        <v>84</v>
      </c>
      <c r="M39" s="137" t="s">
        <v>84</v>
      </c>
      <c r="N39" s="137" t="s">
        <v>131</v>
      </c>
      <c r="O39" s="137" t="s">
        <v>115</v>
      </c>
      <c r="P39" s="138" t="s">
        <v>2672</v>
      </c>
      <c r="Q39" s="138" t="s">
        <v>312</v>
      </c>
      <c r="R39" s="138" t="s">
        <v>313</v>
      </c>
      <c r="S39" s="138" t="s">
        <v>314</v>
      </c>
      <c r="T39" s="138"/>
      <c r="U39" s="138"/>
      <c r="V39" s="138"/>
      <c r="W39" s="138"/>
      <c r="X39" s="138"/>
      <c r="Y39" s="138"/>
      <c r="Z39" s="138"/>
      <c r="AA39" s="138"/>
      <c r="AB39" s="138"/>
      <c r="AC39" s="138"/>
      <c r="AD39" s="138"/>
      <c r="AE39" s="138"/>
      <c r="AF39" s="138"/>
      <c r="AG39" s="138"/>
      <c r="AH39" s="138"/>
      <c r="AI39" s="138"/>
      <c r="AJ39" s="138"/>
      <c r="AK39" s="138"/>
      <c r="AL39" s="138"/>
      <c r="AM39" s="138"/>
    </row>
    <row r="40" spans="1:39" ht="21.6">
      <c r="A40" s="137">
        <v>38</v>
      </c>
      <c r="B40" s="137">
        <v>3</v>
      </c>
      <c r="C40" s="137">
        <v>1</v>
      </c>
      <c r="D40" s="137">
        <v>8</v>
      </c>
      <c r="E40" s="137">
        <v>6</v>
      </c>
      <c r="F40" s="137">
        <v>0</v>
      </c>
      <c r="G40" s="138" t="s">
        <v>315</v>
      </c>
      <c r="H40" s="138" t="s">
        <v>316</v>
      </c>
      <c r="I40" s="138" t="s">
        <v>317</v>
      </c>
      <c r="J40" s="137" t="s">
        <v>83</v>
      </c>
      <c r="K40" s="137" t="s">
        <v>84</v>
      </c>
      <c r="L40" s="137" t="s">
        <v>84</v>
      </c>
      <c r="M40" s="137" t="s">
        <v>84</v>
      </c>
      <c r="N40" s="137" t="s">
        <v>263</v>
      </c>
      <c r="O40" s="137" t="s">
        <v>263</v>
      </c>
      <c r="P40" s="138" t="s">
        <v>321</v>
      </c>
      <c r="Q40" s="138" t="s">
        <v>318</v>
      </c>
      <c r="R40" s="138" t="s">
        <v>319</v>
      </c>
      <c r="S40" s="138" t="s">
        <v>320</v>
      </c>
      <c r="T40" s="138"/>
      <c r="U40" s="138"/>
      <c r="V40" s="138"/>
      <c r="W40" s="138"/>
      <c r="X40" s="138"/>
      <c r="Y40" s="138"/>
      <c r="Z40" s="138"/>
      <c r="AA40" s="138"/>
      <c r="AB40" s="138"/>
      <c r="AC40" s="138"/>
      <c r="AD40" s="138"/>
      <c r="AE40" s="138"/>
      <c r="AF40" s="138"/>
      <c r="AG40" s="138"/>
      <c r="AH40" s="138"/>
      <c r="AI40" s="138"/>
      <c r="AJ40" s="138"/>
      <c r="AK40" s="138"/>
      <c r="AL40" s="138"/>
      <c r="AM40" s="138"/>
    </row>
    <row r="41" spans="1:39" ht="16.2">
      <c r="A41" s="137">
        <v>39</v>
      </c>
      <c r="B41" s="137">
        <v>3</v>
      </c>
      <c r="C41" s="137">
        <v>1</v>
      </c>
      <c r="D41" s="137">
        <v>8</v>
      </c>
      <c r="E41" s="137">
        <v>7</v>
      </c>
      <c r="F41" s="137">
        <v>0</v>
      </c>
      <c r="G41" s="138" t="s">
        <v>322</v>
      </c>
      <c r="H41" s="138" t="s">
        <v>323</v>
      </c>
      <c r="I41" s="138" t="s">
        <v>324</v>
      </c>
      <c r="J41" s="137" t="s">
        <v>83</v>
      </c>
      <c r="K41" s="137" t="s">
        <v>84</v>
      </c>
      <c r="L41" s="137" t="s">
        <v>84</v>
      </c>
      <c r="M41" s="137" t="s">
        <v>84</v>
      </c>
      <c r="N41" s="137" t="s">
        <v>263</v>
      </c>
      <c r="O41" s="137" t="s">
        <v>263</v>
      </c>
      <c r="P41" s="138" t="s">
        <v>327</v>
      </c>
      <c r="Q41" s="138" t="s">
        <v>325</v>
      </c>
      <c r="R41" s="138" t="s">
        <v>2543</v>
      </c>
      <c r="S41" s="138" t="s">
        <v>326</v>
      </c>
      <c r="T41" s="138"/>
      <c r="U41" s="138"/>
      <c r="V41" s="138"/>
      <c r="W41" s="138"/>
      <c r="X41" s="138"/>
      <c r="Y41" s="138"/>
      <c r="Z41" s="138"/>
      <c r="AA41" s="138"/>
      <c r="AB41" s="138"/>
      <c r="AC41" s="138"/>
      <c r="AD41" s="138"/>
      <c r="AE41" s="138"/>
      <c r="AF41" s="138"/>
      <c r="AG41" s="138"/>
      <c r="AH41" s="138"/>
      <c r="AI41" s="138"/>
      <c r="AJ41" s="138"/>
      <c r="AK41" s="138"/>
      <c r="AL41" s="138"/>
      <c r="AM41" s="138"/>
    </row>
    <row r="42" spans="1:39" ht="21.6">
      <c r="A42" s="137">
        <v>40</v>
      </c>
      <c r="B42" s="137">
        <v>3</v>
      </c>
      <c r="C42" s="137">
        <v>1</v>
      </c>
      <c r="D42" s="137">
        <v>9</v>
      </c>
      <c r="E42" s="137">
        <v>1</v>
      </c>
      <c r="F42" s="137">
        <v>0</v>
      </c>
      <c r="G42" s="138" t="s">
        <v>328</v>
      </c>
      <c r="H42" s="138" t="s">
        <v>329</v>
      </c>
      <c r="I42" s="138" t="s">
        <v>330</v>
      </c>
      <c r="J42" s="137" t="s">
        <v>83</v>
      </c>
      <c r="K42" s="137" t="s">
        <v>84</v>
      </c>
      <c r="L42" s="137" t="s">
        <v>84</v>
      </c>
      <c r="M42" s="137" t="s">
        <v>84</v>
      </c>
      <c r="N42" s="137" t="s">
        <v>230</v>
      </c>
      <c r="O42" s="137" t="s">
        <v>334</v>
      </c>
      <c r="P42" s="138" t="s">
        <v>335</v>
      </c>
      <c r="Q42" s="138" t="s">
        <v>331</v>
      </c>
      <c r="R42" s="138" t="s">
        <v>332</v>
      </c>
      <c r="S42" s="138" t="s">
        <v>333</v>
      </c>
      <c r="T42" s="138"/>
      <c r="U42" s="138"/>
      <c r="V42" s="138"/>
      <c r="W42" s="138"/>
      <c r="X42" s="138"/>
      <c r="Y42" s="138"/>
      <c r="Z42" s="138"/>
      <c r="AA42" s="138"/>
      <c r="AB42" s="138"/>
      <c r="AC42" s="138"/>
      <c r="AD42" s="138"/>
      <c r="AE42" s="138"/>
      <c r="AF42" s="138"/>
      <c r="AG42" s="138"/>
      <c r="AH42" s="138"/>
      <c r="AI42" s="138"/>
      <c r="AJ42" s="138"/>
      <c r="AK42" s="138"/>
      <c r="AL42" s="138"/>
      <c r="AM42" s="138"/>
    </row>
    <row r="43" spans="1:39" ht="16.2">
      <c r="A43" s="137">
        <v>41</v>
      </c>
      <c r="B43" s="137">
        <v>3</v>
      </c>
      <c r="C43" s="137">
        <v>1</v>
      </c>
      <c r="D43" s="137">
        <v>9</v>
      </c>
      <c r="E43" s="137">
        <v>2</v>
      </c>
      <c r="F43" s="137">
        <v>0</v>
      </c>
      <c r="G43" s="138" t="s">
        <v>336</v>
      </c>
      <c r="H43" s="138" t="s">
        <v>337</v>
      </c>
      <c r="I43" s="138" t="s">
        <v>338</v>
      </c>
      <c r="J43" s="137" t="s">
        <v>83</v>
      </c>
      <c r="K43" s="137" t="s">
        <v>84</v>
      </c>
      <c r="L43" s="137" t="s">
        <v>84</v>
      </c>
      <c r="M43" s="137" t="s">
        <v>84</v>
      </c>
      <c r="N43" s="137" t="s">
        <v>131</v>
      </c>
      <c r="O43" s="137" t="s">
        <v>86</v>
      </c>
      <c r="P43" s="138" t="s">
        <v>342</v>
      </c>
      <c r="Q43" s="138" t="s">
        <v>339</v>
      </c>
      <c r="R43" s="138" t="s">
        <v>340</v>
      </c>
      <c r="S43" s="138" t="s">
        <v>341</v>
      </c>
      <c r="T43" s="138"/>
      <c r="U43" s="138"/>
      <c r="V43" s="138"/>
      <c r="W43" s="138"/>
      <c r="X43" s="138"/>
      <c r="Y43" s="138"/>
      <c r="Z43" s="138"/>
      <c r="AA43" s="138"/>
      <c r="AB43" s="138"/>
      <c r="AC43" s="138"/>
      <c r="AD43" s="138"/>
      <c r="AE43" s="138"/>
      <c r="AF43" s="138"/>
      <c r="AG43" s="138"/>
      <c r="AH43" s="138"/>
      <c r="AI43" s="138"/>
      <c r="AJ43" s="138"/>
      <c r="AK43" s="138"/>
      <c r="AL43" s="138"/>
      <c r="AM43" s="138"/>
    </row>
    <row r="44" spans="1:39">
      <c r="A44" s="141">
        <v>42</v>
      </c>
      <c r="B44" s="141">
        <v>3</v>
      </c>
      <c r="C44" s="141">
        <v>1</v>
      </c>
      <c r="D44" s="141">
        <v>9</v>
      </c>
      <c r="E44" s="141">
        <v>3</v>
      </c>
      <c r="F44" s="141">
        <v>0</v>
      </c>
      <c r="G44" s="142" t="s">
        <v>343</v>
      </c>
      <c r="H44" s="142" t="s">
        <v>344</v>
      </c>
      <c r="I44" s="141" t="s">
        <v>84</v>
      </c>
      <c r="J44" s="141" t="s">
        <v>154</v>
      </c>
      <c r="K44" s="141" t="s">
        <v>155</v>
      </c>
      <c r="L44" s="142" t="s">
        <v>345</v>
      </c>
      <c r="M44" s="142" t="s">
        <v>167</v>
      </c>
      <c r="N44" s="141" t="s">
        <v>84</v>
      </c>
      <c r="O44" s="141" t="s">
        <v>84</v>
      </c>
      <c r="P44" s="141" t="s">
        <v>84</v>
      </c>
      <c r="Q44" s="141" t="s">
        <v>84</v>
      </c>
      <c r="R44" s="141" t="s">
        <v>84</v>
      </c>
      <c r="S44" s="141" t="s">
        <v>84</v>
      </c>
      <c r="T44" s="142"/>
      <c r="U44" s="142"/>
      <c r="V44" s="142"/>
      <c r="W44" s="142"/>
      <c r="X44" s="142"/>
      <c r="Y44" s="142"/>
      <c r="Z44" s="142"/>
      <c r="AA44" s="142"/>
      <c r="AB44" s="142"/>
      <c r="AC44" s="142"/>
      <c r="AD44" s="142"/>
      <c r="AE44" s="142"/>
      <c r="AF44" s="142"/>
      <c r="AG44" s="142"/>
      <c r="AH44" s="142"/>
      <c r="AI44" s="142"/>
      <c r="AJ44" s="142"/>
      <c r="AK44" s="142"/>
      <c r="AL44" s="142"/>
      <c r="AM44" s="142"/>
    </row>
    <row r="45" spans="1:39" ht="38.4" thickBot="1">
      <c r="A45" s="143">
        <v>43</v>
      </c>
      <c r="B45" s="143">
        <v>3</v>
      </c>
      <c r="C45" s="143">
        <v>1</v>
      </c>
      <c r="D45" s="143">
        <v>9</v>
      </c>
      <c r="E45" s="143">
        <v>4</v>
      </c>
      <c r="F45" s="143">
        <v>0</v>
      </c>
      <c r="G45" s="144" t="s">
        <v>346</v>
      </c>
      <c r="H45" s="144" t="s">
        <v>347</v>
      </c>
      <c r="I45" s="138" t="s">
        <v>348</v>
      </c>
      <c r="J45" s="143" t="s">
        <v>83</v>
      </c>
      <c r="K45" s="143" t="s">
        <v>84</v>
      </c>
      <c r="L45" s="137" t="s">
        <v>84</v>
      </c>
      <c r="M45" s="137" t="s">
        <v>84</v>
      </c>
      <c r="N45" s="143" t="s">
        <v>230</v>
      </c>
      <c r="O45" s="143" t="s">
        <v>86</v>
      </c>
      <c r="P45" s="138" t="s">
        <v>2673</v>
      </c>
      <c r="Q45" s="138" t="s">
        <v>349</v>
      </c>
      <c r="R45" s="138" t="s">
        <v>350</v>
      </c>
      <c r="S45" s="138" t="s">
        <v>351</v>
      </c>
      <c r="T45" s="144"/>
      <c r="U45" s="144"/>
      <c r="V45" s="138"/>
      <c r="W45" s="144"/>
      <c r="X45" s="144"/>
      <c r="Y45" s="144"/>
      <c r="Z45" s="144"/>
      <c r="AA45" s="144"/>
      <c r="AB45" s="144"/>
      <c r="AC45" s="144"/>
      <c r="AD45" s="144"/>
      <c r="AE45" s="144"/>
      <c r="AF45" s="144"/>
      <c r="AG45" s="144"/>
      <c r="AH45" s="144"/>
      <c r="AI45" s="144"/>
      <c r="AJ45" s="144"/>
      <c r="AK45" s="144"/>
      <c r="AL45" s="144"/>
      <c r="AM45" s="144"/>
    </row>
    <row r="46" spans="1:39" ht="65.400000000000006" thickTop="1">
      <c r="A46" s="135">
        <v>44</v>
      </c>
      <c r="B46" s="135">
        <v>3</v>
      </c>
      <c r="C46" s="135">
        <v>2</v>
      </c>
      <c r="D46" s="135">
        <v>1</v>
      </c>
      <c r="E46" s="135">
        <v>1</v>
      </c>
      <c r="F46" s="135">
        <v>0</v>
      </c>
      <c r="G46" s="136" t="s">
        <v>352</v>
      </c>
      <c r="H46" s="136" t="s">
        <v>353</v>
      </c>
      <c r="I46" s="136" t="s">
        <v>2674</v>
      </c>
      <c r="J46" s="135" t="s">
        <v>83</v>
      </c>
      <c r="K46" s="135" t="s">
        <v>84</v>
      </c>
      <c r="L46" s="135" t="s">
        <v>84</v>
      </c>
      <c r="M46" s="135" t="s">
        <v>84</v>
      </c>
      <c r="N46" s="135" t="s">
        <v>357</v>
      </c>
      <c r="O46" s="135" t="s">
        <v>358</v>
      </c>
      <c r="P46" s="136" t="s">
        <v>2675</v>
      </c>
      <c r="Q46" s="136" t="s">
        <v>354</v>
      </c>
      <c r="R46" s="136" t="s">
        <v>355</v>
      </c>
      <c r="S46" s="136" t="s">
        <v>356</v>
      </c>
      <c r="T46" s="136"/>
      <c r="U46" s="136"/>
      <c r="V46" s="136"/>
      <c r="W46" s="136"/>
      <c r="X46" s="136"/>
      <c r="Y46" s="136"/>
      <c r="Z46" s="136"/>
      <c r="AA46" s="136"/>
      <c r="AB46" s="136"/>
      <c r="AC46" s="136"/>
      <c r="AD46" s="136"/>
      <c r="AE46" s="136"/>
      <c r="AF46" s="136"/>
      <c r="AG46" s="136"/>
      <c r="AH46" s="136"/>
      <c r="AI46" s="136"/>
      <c r="AJ46" s="136"/>
      <c r="AK46" s="136"/>
      <c r="AL46" s="136"/>
      <c r="AM46" s="136"/>
    </row>
    <row r="47" spans="1:39" ht="54">
      <c r="A47" s="137">
        <v>45</v>
      </c>
      <c r="B47" s="137">
        <v>3</v>
      </c>
      <c r="C47" s="137">
        <v>2</v>
      </c>
      <c r="D47" s="137">
        <v>1</v>
      </c>
      <c r="E47" s="137">
        <v>2</v>
      </c>
      <c r="F47" s="137">
        <v>0</v>
      </c>
      <c r="G47" s="138" t="s">
        <v>359</v>
      </c>
      <c r="H47" s="138" t="s">
        <v>360</v>
      </c>
      <c r="I47" s="138" t="s">
        <v>2676</v>
      </c>
      <c r="J47" s="137" t="s">
        <v>83</v>
      </c>
      <c r="K47" s="137" t="s">
        <v>84</v>
      </c>
      <c r="L47" s="137" t="s">
        <v>84</v>
      </c>
      <c r="M47" s="137" t="s">
        <v>84</v>
      </c>
      <c r="N47" s="137" t="s">
        <v>357</v>
      </c>
      <c r="O47" s="137" t="s">
        <v>358</v>
      </c>
      <c r="P47" s="138" t="s">
        <v>2677</v>
      </c>
      <c r="Q47" s="138" t="s">
        <v>361</v>
      </c>
      <c r="R47" s="138" t="s">
        <v>362</v>
      </c>
      <c r="S47" s="138" t="s">
        <v>363</v>
      </c>
      <c r="T47" s="138"/>
      <c r="U47" s="138"/>
      <c r="V47" s="138"/>
      <c r="W47" s="138"/>
      <c r="X47" s="138"/>
      <c r="Y47" s="138"/>
      <c r="Z47" s="138"/>
      <c r="AA47" s="138"/>
      <c r="AB47" s="138"/>
      <c r="AC47" s="138"/>
      <c r="AD47" s="138"/>
      <c r="AE47" s="138"/>
      <c r="AF47" s="138"/>
      <c r="AG47" s="138"/>
      <c r="AH47" s="138"/>
      <c r="AI47" s="138"/>
      <c r="AJ47" s="138"/>
      <c r="AK47" s="138"/>
      <c r="AL47" s="138"/>
      <c r="AM47" s="138"/>
    </row>
    <row r="48" spans="1:39" ht="86.4">
      <c r="A48" s="137">
        <v>46</v>
      </c>
      <c r="B48" s="137">
        <v>3</v>
      </c>
      <c r="C48" s="137">
        <v>2</v>
      </c>
      <c r="D48" s="137">
        <v>1</v>
      </c>
      <c r="E48" s="137">
        <v>3</v>
      </c>
      <c r="F48" s="137">
        <v>0</v>
      </c>
      <c r="G48" s="138" t="s">
        <v>364</v>
      </c>
      <c r="H48" s="138" t="s">
        <v>365</v>
      </c>
      <c r="I48" s="138" t="s">
        <v>2678</v>
      </c>
      <c r="J48" s="137" t="s">
        <v>83</v>
      </c>
      <c r="K48" s="137" t="s">
        <v>84</v>
      </c>
      <c r="L48" s="137" t="s">
        <v>84</v>
      </c>
      <c r="M48" s="137" t="s">
        <v>84</v>
      </c>
      <c r="N48" s="137" t="s">
        <v>369</v>
      </c>
      <c r="O48" s="137" t="s">
        <v>369</v>
      </c>
      <c r="P48" s="138" t="s">
        <v>2679</v>
      </c>
      <c r="Q48" s="138" t="s">
        <v>366</v>
      </c>
      <c r="R48" s="138" t="s">
        <v>367</v>
      </c>
      <c r="S48" s="138" t="s">
        <v>368</v>
      </c>
      <c r="T48" s="138"/>
      <c r="U48" s="138"/>
      <c r="V48" s="138"/>
      <c r="W48" s="138"/>
      <c r="X48" s="138"/>
      <c r="Y48" s="138"/>
      <c r="Z48" s="138"/>
      <c r="AA48" s="138"/>
      <c r="AB48" s="138"/>
      <c r="AC48" s="138"/>
      <c r="AD48" s="138"/>
      <c r="AE48" s="138"/>
      <c r="AF48" s="138"/>
      <c r="AG48" s="138"/>
      <c r="AH48" s="138"/>
      <c r="AI48" s="138"/>
      <c r="AJ48" s="138"/>
      <c r="AK48" s="138"/>
      <c r="AL48" s="138"/>
      <c r="AM48" s="138"/>
    </row>
    <row r="49" spans="1:39" ht="27">
      <c r="A49" s="137">
        <v>47</v>
      </c>
      <c r="B49" s="137">
        <v>3</v>
      </c>
      <c r="C49" s="137">
        <v>2</v>
      </c>
      <c r="D49" s="137">
        <v>1</v>
      </c>
      <c r="E49" s="137">
        <v>4</v>
      </c>
      <c r="F49" s="137">
        <v>0</v>
      </c>
      <c r="G49" s="138" t="s">
        <v>370</v>
      </c>
      <c r="H49" s="138" t="s">
        <v>371</v>
      </c>
      <c r="I49" s="138" t="s">
        <v>372</v>
      </c>
      <c r="J49" s="137" t="s">
        <v>83</v>
      </c>
      <c r="K49" s="137" t="s">
        <v>84</v>
      </c>
      <c r="L49" s="137" t="s">
        <v>84</v>
      </c>
      <c r="M49" s="137" t="s">
        <v>84</v>
      </c>
      <c r="N49" s="137" t="s">
        <v>357</v>
      </c>
      <c r="O49" s="137" t="s">
        <v>358</v>
      </c>
      <c r="P49" s="138" t="s">
        <v>2680</v>
      </c>
      <c r="Q49" s="138" t="s">
        <v>373</v>
      </c>
      <c r="R49" s="138" t="s">
        <v>374</v>
      </c>
      <c r="S49" s="138" t="s">
        <v>375</v>
      </c>
      <c r="T49" s="138"/>
      <c r="U49" s="138"/>
      <c r="V49" s="138"/>
      <c r="W49" s="138"/>
      <c r="X49" s="138"/>
      <c r="Y49" s="138"/>
      <c r="Z49" s="138"/>
      <c r="AA49" s="138"/>
      <c r="AB49" s="138"/>
      <c r="AC49" s="138"/>
      <c r="AD49" s="138"/>
      <c r="AE49" s="138"/>
      <c r="AF49" s="138"/>
      <c r="AG49" s="138"/>
      <c r="AH49" s="138"/>
      <c r="AI49" s="138"/>
      <c r="AJ49" s="138"/>
      <c r="AK49" s="138"/>
      <c r="AL49" s="138"/>
      <c r="AM49" s="138"/>
    </row>
    <row r="50" spans="1:39" ht="43.2">
      <c r="A50" s="137">
        <v>48</v>
      </c>
      <c r="B50" s="137">
        <v>3</v>
      </c>
      <c r="C50" s="137">
        <v>2</v>
      </c>
      <c r="D50" s="137">
        <v>2</v>
      </c>
      <c r="E50" s="137">
        <v>1</v>
      </c>
      <c r="F50" s="137">
        <v>0</v>
      </c>
      <c r="G50" s="138" t="s">
        <v>376</v>
      </c>
      <c r="H50" s="138" t="s">
        <v>377</v>
      </c>
      <c r="I50" s="138" t="s">
        <v>378</v>
      </c>
      <c r="J50" s="137" t="s">
        <v>83</v>
      </c>
      <c r="K50" s="137" t="s">
        <v>84</v>
      </c>
      <c r="L50" s="137" t="s">
        <v>84</v>
      </c>
      <c r="M50" s="137" t="s">
        <v>84</v>
      </c>
      <c r="N50" s="137" t="s">
        <v>229</v>
      </c>
      <c r="O50" s="137" t="s">
        <v>382</v>
      </c>
      <c r="P50" s="138" t="s">
        <v>2681</v>
      </c>
      <c r="Q50" s="138" t="s">
        <v>379</v>
      </c>
      <c r="R50" s="138" t="s">
        <v>380</v>
      </c>
      <c r="S50" s="138" t="s">
        <v>381</v>
      </c>
      <c r="T50" s="138"/>
      <c r="U50" s="138"/>
      <c r="V50" s="138"/>
      <c r="W50" s="138"/>
      <c r="X50" s="138"/>
      <c r="Y50" s="138"/>
      <c r="Z50" s="138"/>
      <c r="AA50" s="138"/>
      <c r="AB50" s="138"/>
      <c r="AC50" s="138"/>
      <c r="AD50" s="138"/>
      <c r="AE50" s="138"/>
      <c r="AF50" s="138"/>
      <c r="AG50" s="138"/>
      <c r="AH50" s="138"/>
      <c r="AI50" s="138"/>
      <c r="AJ50" s="138"/>
      <c r="AK50" s="138"/>
      <c r="AL50" s="138"/>
      <c r="AM50" s="138"/>
    </row>
    <row r="51" spans="1:39" ht="43.2">
      <c r="A51" s="137">
        <v>49</v>
      </c>
      <c r="B51" s="137">
        <v>3</v>
      </c>
      <c r="C51" s="137">
        <v>2</v>
      </c>
      <c r="D51" s="137">
        <v>2</v>
      </c>
      <c r="E51" s="137">
        <v>2</v>
      </c>
      <c r="F51" s="137">
        <v>0</v>
      </c>
      <c r="G51" s="138" t="s">
        <v>383</v>
      </c>
      <c r="H51" s="138" t="s">
        <v>384</v>
      </c>
      <c r="I51" s="138" t="s">
        <v>385</v>
      </c>
      <c r="J51" s="137" t="s">
        <v>83</v>
      </c>
      <c r="K51" s="137" t="s">
        <v>84</v>
      </c>
      <c r="L51" s="137" t="s">
        <v>84</v>
      </c>
      <c r="M51" s="137" t="s">
        <v>84</v>
      </c>
      <c r="N51" s="137" t="s">
        <v>229</v>
      </c>
      <c r="O51" s="137" t="s">
        <v>382</v>
      </c>
      <c r="P51" s="138" t="s">
        <v>2682</v>
      </c>
      <c r="Q51" s="138" t="s">
        <v>386</v>
      </c>
      <c r="R51" s="138" t="s">
        <v>387</v>
      </c>
      <c r="S51" s="138" t="s">
        <v>388</v>
      </c>
      <c r="T51" s="138"/>
      <c r="U51" s="138"/>
      <c r="V51" s="138"/>
      <c r="W51" s="138"/>
      <c r="X51" s="138"/>
      <c r="Y51" s="138"/>
      <c r="Z51" s="138"/>
      <c r="AA51" s="138"/>
      <c r="AB51" s="138"/>
      <c r="AC51" s="138"/>
      <c r="AD51" s="138"/>
      <c r="AE51" s="138"/>
      <c r="AF51" s="138"/>
      <c r="AG51" s="138"/>
      <c r="AH51" s="138"/>
      <c r="AI51" s="138"/>
      <c r="AJ51" s="138"/>
      <c r="AK51" s="138"/>
      <c r="AL51" s="138"/>
      <c r="AM51" s="138"/>
    </row>
    <row r="52" spans="1:39" ht="118.8">
      <c r="A52" s="137">
        <v>50</v>
      </c>
      <c r="B52" s="137">
        <v>3</v>
      </c>
      <c r="C52" s="137">
        <v>2</v>
      </c>
      <c r="D52" s="137">
        <v>2</v>
      </c>
      <c r="E52" s="137">
        <v>3</v>
      </c>
      <c r="F52" s="137">
        <v>1</v>
      </c>
      <c r="G52" s="138" t="s">
        <v>389</v>
      </c>
      <c r="H52" s="138" t="s">
        <v>390</v>
      </c>
      <c r="I52" s="138" t="s">
        <v>391</v>
      </c>
      <c r="J52" s="137" t="s">
        <v>83</v>
      </c>
      <c r="K52" s="137" t="s">
        <v>94</v>
      </c>
      <c r="L52" s="140" t="s">
        <v>395</v>
      </c>
      <c r="M52" s="140" t="s">
        <v>396</v>
      </c>
      <c r="N52" s="137" t="s">
        <v>108</v>
      </c>
      <c r="O52" s="137" t="s">
        <v>115</v>
      </c>
      <c r="P52" s="138" t="s">
        <v>2683</v>
      </c>
      <c r="Q52" s="138" t="s">
        <v>392</v>
      </c>
      <c r="R52" s="138" t="s">
        <v>393</v>
      </c>
      <c r="S52" s="138" t="s">
        <v>394</v>
      </c>
      <c r="T52" s="138"/>
      <c r="U52" s="138"/>
      <c r="V52" s="138"/>
      <c r="W52" s="138"/>
      <c r="X52" s="138"/>
      <c r="Y52" s="138"/>
      <c r="Z52" s="138"/>
      <c r="AA52" s="138"/>
      <c r="AB52" s="138"/>
      <c r="AC52" s="138"/>
      <c r="AD52" s="138"/>
      <c r="AE52" s="138"/>
      <c r="AF52" s="138"/>
      <c r="AG52" s="138"/>
      <c r="AH52" s="138"/>
      <c r="AI52" s="138"/>
      <c r="AJ52" s="138"/>
      <c r="AK52" s="138"/>
      <c r="AL52" s="138"/>
      <c r="AM52" s="138"/>
    </row>
    <row r="53" spans="1:39" ht="91.8">
      <c r="A53" s="137">
        <v>51</v>
      </c>
      <c r="B53" s="137">
        <v>3</v>
      </c>
      <c r="C53" s="137">
        <v>2</v>
      </c>
      <c r="D53" s="137">
        <v>2</v>
      </c>
      <c r="E53" s="137">
        <v>3</v>
      </c>
      <c r="F53" s="137">
        <v>2</v>
      </c>
      <c r="G53" s="138" t="s">
        <v>397</v>
      </c>
      <c r="H53" s="138" t="s">
        <v>398</v>
      </c>
      <c r="I53" s="138" t="s">
        <v>399</v>
      </c>
      <c r="J53" s="137" t="s">
        <v>83</v>
      </c>
      <c r="K53" s="137" t="s">
        <v>84</v>
      </c>
      <c r="L53" s="137" t="s">
        <v>84</v>
      </c>
      <c r="M53" s="137" t="s">
        <v>84</v>
      </c>
      <c r="N53" s="137" t="s">
        <v>108</v>
      </c>
      <c r="O53" s="137" t="s">
        <v>115</v>
      </c>
      <c r="P53" s="138" t="s">
        <v>2684</v>
      </c>
      <c r="Q53" s="138" t="s">
        <v>400</v>
      </c>
      <c r="R53" s="138" t="s">
        <v>401</v>
      </c>
      <c r="S53" s="138" t="s">
        <v>402</v>
      </c>
      <c r="T53" s="138"/>
      <c r="U53" s="138"/>
      <c r="V53" s="138"/>
      <c r="W53" s="138"/>
      <c r="X53" s="138"/>
      <c r="Y53" s="138"/>
      <c r="Z53" s="138"/>
      <c r="AA53" s="138"/>
      <c r="AB53" s="138"/>
      <c r="AC53" s="138"/>
      <c r="AD53" s="138"/>
      <c r="AE53" s="138"/>
      <c r="AF53" s="138"/>
      <c r="AG53" s="138"/>
      <c r="AH53" s="138"/>
      <c r="AI53" s="138"/>
      <c r="AJ53" s="138"/>
      <c r="AK53" s="138"/>
      <c r="AL53" s="138"/>
      <c r="AM53" s="138"/>
    </row>
    <row r="54" spans="1:39" ht="70.2">
      <c r="A54" s="137">
        <v>52</v>
      </c>
      <c r="B54" s="137">
        <v>3</v>
      </c>
      <c r="C54" s="137">
        <v>2</v>
      </c>
      <c r="D54" s="137">
        <v>2</v>
      </c>
      <c r="E54" s="137">
        <v>3</v>
      </c>
      <c r="F54" s="137">
        <v>3</v>
      </c>
      <c r="G54" s="138" t="s">
        <v>403</v>
      </c>
      <c r="H54" s="138" t="s">
        <v>404</v>
      </c>
      <c r="I54" s="138" t="s">
        <v>405</v>
      </c>
      <c r="J54" s="137" t="s">
        <v>83</v>
      </c>
      <c r="K54" s="137" t="s">
        <v>84</v>
      </c>
      <c r="L54" s="137" t="s">
        <v>84</v>
      </c>
      <c r="M54" s="137" t="s">
        <v>84</v>
      </c>
      <c r="N54" s="137" t="s">
        <v>229</v>
      </c>
      <c r="O54" s="137" t="s">
        <v>382</v>
      </c>
      <c r="P54" s="138" t="s">
        <v>2685</v>
      </c>
      <c r="Q54" s="138" t="s">
        <v>406</v>
      </c>
      <c r="R54" s="138" t="s">
        <v>407</v>
      </c>
      <c r="S54" s="138" t="s">
        <v>408</v>
      </c>
      <c r="T54" s="138"/>
      <c r="U54" s="138"/>
      <c r="V54" s="138"/>
      <c r="W54" s="138"/>
      <c r="X54" s="138"/>
      <c r="Y54" s="138"/>
      <c r="Z54" s="138"/>
      <c r="AA54" s="138"/>
      <c r="AB54" s="138"/>
      <c r="AC54" s="138"/>
      <c r="AD54" s="138"/>
      <c r="AE54" s="138"/>
      <c r="AF54" s="138"/>
      <c r="AG54" s="138"/>
      <c r="AH54" s="138"/>
      <c r="AI54" s="138"/>
      <c r="AJ54" s="138"/>
      <c r="AK54" s="138"/>
      <c r="AL54" s="138"/>
      <c r="AM54" s="138"/>
    </row>
    <row r="55" spans="1:39" ht="59.4">
      <c r="A55" s="137">
        <v>53</v>
      </c>
      <c r="B55" s="137">
        <v>3</v>
      </c>
      <c r="C55" s="137">
        <v>2</v>
      </c>
      <c r="D55" s="137">
        <v>2</v>
      </c>
      <c r="E55" s="137">
        <v>3</v>
      </c>
      <c r="F55" s="137">
        <v>4</v>
      </c>
      <c r="G55" s="138" t="s">
        <v>409</v>
      </c>
      <c r="H55" s="138" t="s">
        <v>410</v>
      </c>
      <c r="I55" s="138" t="s">
        <v>411</v>
      </c>
      <c r="J55" s="137" t="s">
        <v>83</v>
      </c>
      <c r="K55" s="137" t="s">
        <v>84</v>
      </c>
      <c r="L55" s="137" t="s">
        <v>84</v>
      </c>
      <c r="M55" s="137" t="s">
        <v>84</v>
      </c>
      <c r="N55" s="137" t="s">
        <v>108</v>
      </c>
      <c r="O55" s="137" t="s">
        <v>115</v>
      </c>
      <c r="P55" s="138" t="s">
        <v>2686</v>
      </c>
      <c r="Q55" s="138" t="s">
        <v>412</v>
      </c>
      <c r="R55" s="138" t="s">
        <v>413</v>
      </c>
      <c r="S55" s="138" t="s">
        <v>414</v>
      </c>
      <c r="T55" s="138"/>
      <c r="U55" s="138"/>
      <c r="V55" s="138"/>
      <c r="W55" s="138"/>
      <c r="X55" s="138"/>
      <c r="Y55" s="138"/>
      <c r="Z55" s="138"/>
      <c r="AA55" s="138"/>
      <c r="AB55" s="138"/>
      <c r="AC55" s="138"/>
      <c r="AD55" s="138"/>
      <c r="AE55" s="138"/>
      <c r="AF55" s="138"/>
      <c r="AG55" s="138"/>
      <c r="AH55" s="138"/>
      <c r="AI55" s="138"/>
      <c r="AJ55" s="138"/>
      <c r="AK55" s="138"/>
      <c r="AL55" s="138"/>
      <c r="AM55" s="138"/>
    </row>
    <row r="56" spans="1:39" ht="86.4">
      <c r="A56" s="137">
        <v>54</v>
      </c>
      <c r="B56" s="137">
        <v>3</v>
      </c>
      <c r="C56" s="137">
        <v>2</v>
      </c>
      <c r="D56" s="137">
        <v>2</v>
      </c>
      <c r="E56" s="137">
        <v>3</v>
      </c>
      <c r="F56" s="137">
        <v>5</v>
      </c>
      <c r="G56" s="138" t="s">
        <v>415</v>
      </c>
      <c r="H56" s="138" t="s">
        <v>416</v>
      </c>
      <c r="I56" s="138" t="s">
        <v>417</v>
      </c>
      <c r="J56" s="137" t="s">
        <v>83</v>
      </c>
      <c r="K56" s="137" t="s">
        <v>84</v>
      </c>
      <c r="L56" s="137" t="s">
        <v>84</v>
      </c>
      <c r="M56" s="137" t="s">
        <v>84</v>
      </c>
      <c r="N56" s="137" t="s">
        <v>357</v>
      </c>
      <c r="O56" s="137" t="s">
        <v>115</v>
      </c>
      <c r="P56" s="138" t="s">
        <v>421</v>
      </c>
      <c r="Q56" s="138" t="s">
        <v>418</v>
      </c>
      <c r="R56" s="138" t="s">
        <v>419</v>
      </c>
      <c r="S56" s="138" t="s">
        <v>420</v>
      </c>
      <c r="T56" s="138"/>
      <c r="U56" s="138"/>
      <c r="V56" s="138"/>
      <c r="W56" s="138"/>
      <c r="X56" s="138"/>
      <c r="Y56" s="138"/>
      <c r="Z56" s="138"/>
      <c r="AA56" s="138"/>
      <c r="AB56" s="138"/>
      <c r="AC56" s="138"/>
      <c r="AD56" s="138"/>
      <c r="AE56" s="138"/>
      <c r="AF56" s="138"/>
      <c r="AG56" s="138"/>
      <c r="AH56" s="138"/>
      <c r="AI56" s="138"/>
      <c r="AJ56" s="138"/>
      <c r="AK56" s="138"/>
      <c r="AL56" s="138"/>
      <c r="AM56" s="138"/>
    </row>
    <row r="57" spans="1:39" ht="48.6">
      <c r="A57" s="137">
        <v>55</v>
      </c>
      <c r="B57" s="137">
        <v>3</v>
      </c>
      <c r="C57" s="137">
        <v>2</v>
      </c>
      <c r="D57" s="137">
        <v>2</v>
      </c>
      <c r="E57" s="137">
        <v>4</v>
      </c>
      <c r="F57" s="137">
        <v>0</v>
      </c>
      <c r="G57" s="138" t="s">
        <v>422</v>
      </c>
      <c r="H57" s="138" t="s">
        <v>423</v>
      </c>
      <c r="I57" s="138" t="s">
        <v>424</v>
      </c>
      <c r="J57" s="137" t="s">
        <v>83</v>
      </c>
      <c r="K57" s="137" t="s">
        <v>84</v>
      </c>
      <c r="L57" s="137" t="s">
        <v>84</v>
      </c>
      <c r="M57" s="137" t="s">
        <v>84</v>
      </c>
      <c r="N57" s="137" t="s">
        <v>357</v>
      </c>
      <c r="O57" s="137" t="s">
        <v>115</v>
      </c>
      <c r="P57" s="138" t="s">
        <v>2687</v>
      </c>
      <c r="Q57" s="138" t="s">
        <v>425</v>
      </c>
      <c r="R57" s="138" t="s">
        <v>426</v>
      </c>
      <c r="S57" s="138" t="s">
        <v>427</v>
      </c>
      <c r="T57" s="138"/>
      <c r="U57" s="138"/>
      <c r="V57" s="138"/>
      <c r="W57" s="138"/>
      <c r="X57" s="138"/>
      <c r="Y57" s="138"/>
      <c r="Z57" s="138"/>
      <c r="AA57" s="138"/>
      <c r="AB57" s="138"/>
      <c r="AC57" s="138"/>
      <c r="AD57" s="138"/>
      <c r="AE57" s="138"/>
      <c r="AF57" s="138"/>
      <c r="AG57" s="138"/>
      <c r="AH57" s="138"/>
      <c r="AI57" s="138"/>
      <c r="AJ57" s="138"/>
      <c r="AK57" s="138"/>
      <c r="AL57" s="138"/>
      <c r="AM57" s="138"/>
    </row>
    <row r="58" spans="1:39" ht="75.599999999999994">
      <c r="A58" s="137">
        <v>56</v>
      </c>
      <c r="B58" s="137">
        <v>3</v>
      </c>
      <c r="C58" s="137">
        <v>2</v>
      </c>
      <c r="D58" s="137">
        <v>2</v>
      </c>
      <c r="E58" s="137">
        <v>5</v>
      </c>
      <c r="F58" s="137">
        <v>1</v>
      </c>
      <c r="G58" s="138" t="s">
        <v>428</v>
      </c>
      <c r="H58" s="138" t="s">
        <v>429</v>
      </c>
      <c r="I58" s="138" t="s">
        <v>430</v>
      </c>
      <c r="J58" s="137" t="s">
        <v>83</v>
      </c>
      <c r="K58" s="137" t="s">
        <v>84</v>
      </c>
      <c r="L58" s="137" t="s">
        <v>84</v>
      </c>
      <c r="M58" s="137" t="s">
        <v>84</v>
      </c>
      <c r="N58" s="137" t="s">
        <v>357</v>
      </c>
      <c r="O58" s="137" t="s">
        <v>115</v>
      </c>
      <c r="P58" s="138" t="s">
        <v>2688</v>
      </c>
      <c r="Q58" s="138" t="s">
        <v>431</v>
      </c>
      <c r="R58" s="138" t="s">
        <v>432</v>
      </c>
      <c r="S58" s="138" t="s">
        <v>433</v>
      </c>
      <c r="T58" s="138"/>
      <c r="U58" s="138"/>
      <c r="V58" s="138"/>
      <c r="W58" s="138"/>
      <c r="X58" s="138"/>
      <c r="Y58" s="138"/>
      <c r="Z58" s="138"/>
      <c r="AA58" s="138"/>
      <c r="AB58" s="138"/>
      <c r="AC58" s="138"/>
      <c r="AD58" s="138"/>
      <c r="AE58" s="138"/>
      <c r="AF58" s="138"/>
      <c r="AG58" s="138"/>
      <c r="AH58" s="138"/>
      <c r="AI58" s="138"/>
      <c r="AJ58" s="138"/>
      <c r="AK58" s="138"/>
      <c r="AL58" s="138"/>
      <c r="AM58" s="138"/>
    </row>
    <row r="59" spans="1:39" ht="43.2">
      <c r="A59" s="137">
        <v>57</v>
      </c>
      <c r="B59" s="137">
        <v>3</v>
      </c>
      <c r="C59" s="137">
        <v>2</v>
      </c>
      <c r="D59" s="137">
        <v>2</v>
      </c>
      <c r="E59" s="137">
        <v>5</v>
      </c>
      <c r="F59" s="137">
        <v>2</v>
      </c>
      <c r="G59" s="138" t="s">
        <v>434</v>
      </c>
      <c r="H59" s="138" t="s">
        <v>435</v>
      </c>
      <c r="I59" s="138" t="s">
        <v>436</v>
      </c>
      <c r="J59" s="137" t="s">
        <v>83</v>
      </c>
      <c r="K59" s="137" t="s">
        <v>84</v>
      </c>
      <c r="L59" s="137" t="s">
        <v>84</v>
      </c>
      <c r="M59" s="137" t="s">
        <v>84</v>
      </c>
      <c r="N59" s="137" t="s">
        <v>357</v>
      </c>
      <c r="O59" s="137" t="s">
        <v>115</v>
      </c>
      <c r="P59" s="138" t="s">
        <v>2689</v>
      </c>
      <c r="Q59" s="138" t="s">
        <v>437</v>
      </c>
      <c r="R59" s="138" t="s">
        <v>438</v>
      </c>
      <c r="S59" s="138" t="s">
        <v>439</v>
      </c>
      <c r="T59" s="138"/>
      <c r="U59" s="138"/>
      <c r="V59" s="138"/>
      <c r="W59" s="138"/>
      <c r="X59" s="138"/>
      <c r="Y59" s="138"/>
      <c r="Z59" s="138"/>
      <c r="AA59" s="138"/>
      <c r="AB59" s="138"/>
      <c r="AC59" s="138"/>
      <c r="AD59" s="138"/>
      <c r="AE59" s="138"/>
      <c r="AF59" s="138"/>
      <c r="AG59" s="138"/>
      <c r="AH59" s="138"/>
      <c r="AI59" s="138"/>
      <c r="AJ59" s="138"/>
      <c r="AK59" s="138"/>
      <c r="AL59" s="138"/>
      <c r="AM59" s="138"/>
    </row>
    <row r="60" spans="1:39" ht="102.6">
      <c r="A60" s="137">
        <v>58</v>
      </c>
      <c r="B60" s="137">
        <v>3</v>
      </c>
      <c r="C60" s="137">
        <v>2</v>
      </c>
      <c r="D60" s="137">
        <v>2</v>
      </c>
      <c r="E60" s="137">
        <v>6</v>
      </c>
      <c r="F60" s="137">
        <v>0</v>
      </c>
      <c r="G60" s="138" t="s">
        <v>440</v>
      </c>
      <c r="H60" s="138" t="s">
        <v>441</v>
      </c>
      <c r="I60" s="138" t="s">
        <v>442</v>
      </c>
      <c r="J60" s="137" t="s">
        <v>83</v>
      </c>
      <c r="K60" s="137" t="s">
        <v>84</v>
      </c>
      <c r="L60" s="137" t="s">
        <v>84</v>
      </c>
      <c r="M60" s="137" t="s">
        <v>84</v>
      </c>
      <c r="N60" s="137" t="s">
        <v>357</v>
      </c>
      <c r="O60" s="137" t="s">
        <v>115</v>
      </c>
      <c r="P60" s="138" t="s">
        <v>2690</v>
      </c>
      <c r="Q60" s="138" t="s">
        <v>443</v>
      </c>
      <c r="R60" s="138" t="s">
        <v>444</v>
      </c>
      <c r="S60" s="138" t="s">
        <v>445</v>
      </c>
      <c r="T60" s="138"/>
      <c r="U60" s="138"/>
      <c r="V60" s="138"/>
      <c r="W60" s="138"/>
      <c r="X60" s="138"/>
      <c r="Y60" s="138"/>
      <c r="Z60" s="138"/>
      <c r="AA60" s="138"/>
      <c r="AB60" s="138"/>
      <c r="AC60" s="138"/>
      <c r="AD60" s="138"/>
      <c r="AE60" s="138"/>
      <c r="AF60" s="138"/>
      <c r="AG60" s="138"/>
      <c r="AH60" s="138"/>
      <c r="AI60" s="138"/>
      <c r="AJ60" s="138"/>
      <c r="AK60" s="138"/>
      <c r="AL60" s="138"/>
      <c r="AM60" s="138"/>
    </row>
    <row r="61" spans="1:39" ht="270">
      <c r="A61" s="137">
        <v>59</v>
      </c>
      <c r="B61" s="137">
        <v>3</v>
      </c>
      <c r="C61" s="137">
        <v>2</v>
      </c>
      <c r="D61" s="137">
        <v>2</v>
      </c>
      <c r="E61" s="137">
        <v>7</v>
      </c>
      <c r="F61" s="137">
        <v>1</v>
      </c>
      <c r="G61" s="138" t="s">
        <v>446</v>
      </c>
      <c r="H61" s="138" t="s">
        <v>447</v>
      </c>
      <c r="I61" s="138" t="s">
        <v>448</v>
      </c>
      <c r="J61" s="137" t="s">
        <v>83</v>
      </c>
      <c r="K61" s="137" t="s">
        <v>84</v>
      </c>
      <c r="L61" s="137" t="s">
        <v>84</v>
      </c>
      <c r="M61" s="137" t="s">
        <v>84</v>
      </c>
      <c r="N61" s="137" t="s">
        <v>357</v>
      </c>
      <c r="O61" s="137" t="s">
        <v>115</v>
      </c>
      <c r="P61" s="138" t="s">
        <v>2691</v>
      </c>
      <c r="Q61" s="138" t="s">
        <v>449</v>
      </c>
      <c r="R61" s="138" t="s">
        <v>450</v>
      </c>
      <c r="S61" s="138" t="s">
        <v>451</v>
      </c>
      <c r="T61" s="138"/>
      <c r="U61" s="138"/>
      <c r="V61" s="138"/>
      <c r="W61" s="138"/>
      <c r="X61" s="138"/>
      <c r="Y61" s="138"/>
      <c r="Z61" s="138"/>
      <c r="AA61" s="138"/>
      <c r="AB61" s="138"/>
      <c r="AC61" s="138"/>
      <c r="AD61" s="138"/>
      <c r="AE61" s="138"/>
      <c r="AF61" s="138"/>
      <c r="AG61" s="138"/>
      <c r="AH61" s="138"/>
      <c r="AI61" s="138"/>
      <c r="AJ61" s="138"/>
      <c r="AK61" s="138"/>
      <c r="AL61" s="138"/>
      <c r="AM61" s="138"/>
    </row>
    <row r="62" spans="1:39" ht="91.8">
      <c r="A62" s="137">
        <v>60</v>
      </c>
      <c r="B62" s="137">
        <v>3</v>
      </c>
      <c r="C62" s="137">
        <v>2</v>
      </c>
      <c r="D62" s="137">
        <v>2</v>
      </c>
      <c r="E62" s="137">
        <v>7</v>
      </c>
      <c r="F62" s="137">
        <v>2</v>
      </c>
      <c r="G62" s="138" t="s">
        <v>452</v>
      </c>
      <c r="H62" s="138" t="s">
        <v>453</v>
      </c>
      <c r="I62" s="138" t="s">
        <v>454</v>
      </c>
      <c r="J62" s="137" t="s">
        <v>83</v>
      </c>
      <c r="K62" s="137" t="s">
        <v>84</v>
      </c>
      <c r="L62" s="137" t="s">
        <v>84</v>
      </c>
      <c r="M62" s="137" t="s">
        <v>84</v>
      </c>
      <c r="N62" s="137" t="s">
        <v>357</v>
      </c>
      <c r="O62" s="137" t="s">
        <v>115</v>
      </c>
      <c r="P62" s="138" t="s">
        <v>2692</v>
      </c>
      <c r="Q62" s="138" t="s">
        <v>455</v>
      </c>
      <c r="R62" s="138" t="s">
        <v>456</v>
      </c>
      <c r="S62" s="138" t="s">
        <v>457</v>
      </c>
      <c r="T62" s="138"/>
      <c r="U62" s="138"/>
      <c r="V62" s="138"/>
      <c r="W62" s="138"/>
      <c r="X62" s="138"/>
      <c r="Y62" s="138"/>
      <c r="Z62" s="138"/>
      <c r="AA62" s="138"/>
      <c r="AB62" s="138"/>
      <c r="AC62" s="138"/>
      <c r="AD62" s="138"/>
      <c r="AE62" s="138"/>
      <c r="AF62" s="138"/>
      <c r="AG62" s="138"/>
      <c r="AH62" s="138"/>
      <c r="AI62" s="138"/>
      <c r="AJ62" s="138"/>
      <c r="AK62" s="138"/>
      <c r="AL62" s="138"/>
      <c r="AM62" s="138"/>
    </row>
    <row r="63" spans="1:39" ht="86.4">
      <c r="A63" s="137">
        <v>61</v>
      </c>
      <c r="B63" s="137">
        <v>3</v>
      </c>
      <c r="C63" s="137">
        <v>2</v>
      </c>
      <c r="D63" s="137">
        <v>2</v>
      </c>
      <c r="E63" s="137">
        <v>8</v>
      </c>
      <c r="F63" s="137">
        <v>0</v>
      </c>
      <c r="G63" s="138" t="s">
        <v>458</v>
      </c>
      <c r="H63" s="145" t="s">
        <v>459</v>
      </c>
      <c r="I63" s="138" t="s">
        <v>460</v>
      </c>
      <c r="J63" s="137" t="s">
        <v>83</v>
      </c>
      <c r="K63" s="137" t="s">
        <v>84</v>
      </c>
      <c r="L63" s="137" t="s">
        <v>84</v>
      </c>
      <c r="M63" s="137" t="s">
        <v>84</v>
      </c>
      <c r="N63" s="137" t="s">
        <v>357</v>
      </c>
      <c r="O63" s="137" t="s">
        <v>115</v>
      </c>
      <c r="P63" s="138" t="s">
        <v>2693</v>
      </c>
      <c r="Q63" s="138" t="s">
        <v>461</v>
      </c>
      <c r="R63" s="138" t="s">
        <v>462</v>
      </c>
      <c r="S63" s="138" t="s">
        <v>463</v>
      </c>
      <c r="T63" s="138"/>
      <c r="U63" s="138"/>
      <c r="V63" s="138"/>
      <c r="W63" s="138"/>
      <c r="X63" s="138"/>
      <c r="Y63" s="138"/>
      <c r="Z63" s="138"/>
      <c r="AA63" s="138"/>
      <c r="AB63" s="138"/>
      <c r="AC63" s="138"/>
      <c r="AD63" s="138"/>
      <c r="AE63" s="138"/>
      <c r="AF63" s="138"/>
      <c r="AG63" s="138"/>
      <c r="AH63" s="138"/>
      <c r="AI63" s="138"/>
      <c r="AJ63" s="138"/>
      <c r="AK63" s="138"/>
      <c r="AL63" s="138"/>
      <c r="AM63" s="138"/>
    </row>
    <row r="64" spans="1:39">
      <c r="A64" s="141">
        <v>62</v>
      </c>
      <c r="B64" s="141">
        <v>3</v>
      </c>
      <c r="C64" s="141">
        <v>2</v>
      </c>
      <c r="D64" s="141">
        <v>2</v>
      </c>
      <c r="E64" s="141">
        <v>9</v>
      </c>
      <c r="F64" s="141">
        <v>0</v>
      </c>
      <c r="G64" s="142" t="s">
        <v>464</v>
      </c>
      <c r="H64" s="142" t="s">
        <v>465</v>
      </c>
      <c r="I64" s="141" t="s">
        <v>84</v>
      </c>
      <c r="J64" s="141" t="s">
        <v>154</v>
      </c>
      <c r="K64" s="141" t="s">
        <v>155</v>
      </c>
      <c r="L64" s="142" t="s">
        <v>466</v>
      </c>
      <c r="M64" s="142" t="s">
        <v>167</v>
      </c>
      <c r="N64" s="141" t="s">
        <v>84</v>
      </c>
      <c r="O64" s="141" t="s">
        <v>84</v>
      </c>
      <c r="P64" s="141" t="s">
        <v>84</v>
      </c>
      <c r="Q64" s="141" t="s">
        <v>84</v>
      </c>
      <c r="R64" s="141" t="s">
        <v>84</v>
      </c>
      <c r="S64" s="141" t="s">
        <v>84</v>
      </c>
      <c r="T64" s="142"/>
      <c r="U64" s="142"/>
      <c r="V64" s="142"/>
      <c r="W64" s="142"/>
      <c r="X64" s="142"/>
      <c r="Y64" s="142"/>
      <c r="Z64" s="142"/>
      <c r="AA64" s="142"/>
      <c r="AB64" s="142"/>
      <c r="AC64" s="142"/>
      <c r="AD64" s="142"/>
      <c r="AE64" s="142"/>
      <c r="AF64" s="142"/>
      <c r="AG64" s="142"/>
      <c r="AH64" s="142"/>
      <c r="AI64" s="142"/>
      <c r="AJ64" s="142"/>
      <c r="AK64" s="142"/>
      <c r="AL64" s="142"/>
      <c r="AM64" s="142"/>
    </row>
    <row r="65" spans="1:39" ht="102.6">
      <c r="A65" s="137">
        <v>63</v>
      </c>
      <c r="B65" s="137">
        <v>3</v>
      </c>
      <c r="C65" s="137">
        <v>2</v>
      </c>
      <c r="D65" s="137">
        <v>2</v>
      </c>
      <c r="E65" s="137">
        <v>10</v>
      </c>
      <c r="F65" s="137">
        <v>0</v>
      </c>
      <c r="G65" s="138" t="s">
        <v>467</v>
      </c>
      <c r="H65" s="138" t="s">
        <v>468</v>
      </c>
      <c r="I65" s="138" t="s">
        <v>469</v>
      </c>
      <c r="J65" s="137" t="s">
        <v>83</v>
      </c>
      <c r="K65" s="137" t="s">
        <v>84</v>
      </c>
      <c r="L65" s="137" t="s">
        <v>84</v>
      </c>
      <c r="M65" s="137" t="s">
        <v>84</v>
      </c>
      <c r="N65" s="137" t="s">
        <v>357</v>
      </c>
      <c r="O65" s="137" t="s">
        <v>115</v>
      </c>
      <c r="P65" s="138" t="s">
        <v>2694</v>
      </c>
      <c r="Q65" s="138" t="s">
        <v>470</v>
      </c>
      <c r="R65" s="138" t="s">
        <v>471</v>
      </c>
      <c r="S65" s="138" t="s">
        <v>472</v>
      </c>
      <c r="T65" s="138"/>
      <c r="U65" s="138"/>
      <c r="V65" s="138"/>
      <c r="W65" s="138"/>
      <c r="X65" s="138"/>
      <c r="Y65" s="138"/>
      <c r="Z65" s="138"/>
      <c r="AA65" s="138"/>
      <c r="AB65" s="138"/>
      <c r="AC65" s="138"/>
      <c r="AD65" s="138"/>
      <c r="AE65" s="138"/>
      <c r="AF65" s="138"/>
      <c r="AG65" s="138"/>
      <c r="AH65" s="138"/>
      <c r="AI65" s="138"/>
      <c r="AJ65" s="138"/>
      <c r="AK65" s="138"/>
      <c r="AL65" s="138"/>
      <c r="AM65" s="138"/>
    </row>
    <row r="66" spans="1:39" ht="113.4">
      <c r="A66" s="137">
        <v>64</v>
      </c>
      <c r="B66" s="137">
        <v>3</v>
      </c>
      <c r="C66" s="137">
        <v>2</v>
      </c>
      <c r="D66" s="137">
        <v>2</v>
      </c>
      <c r="E66" s="137">
        <v>11</v>
      </c>
      <c r="F66" s="137">
        <v>0</v>
      </c>
      <c r="G66" s="138" t="s">
        <v>473</v>
      </c>
      <c r="H66" s="138" t="s">
        <v>474</v>
      </c>
      <c r="I66" s="138" t="s">
        <v>2695</v>
      </c>
      <c r="J66" s="137" t="s">
        <v>83</v>
      </c>
      <c r="K66" s="137" t="s">
        <v>84</v>
      </c>
      <c r="L66" s="137" t="s">
        <v>84</v>
      </c>
      <c r="M66" s="137" t="s">
        <v>84</v>
      </c>
      <c r="N66" s="137" t="s">
        <v>357</v>
      </c>
      <c r="O66" s="137" t="s">
        <v>115</v>
      </c>
      <c r="P66" s="138" t="s">
        <v>2696</v>
      </c>
      <c r="Q66" s="138" t="s">
        <v>475</v>
      </c>
      <c r="R66" s="138" t="s">
        <v>476</v>
      </c>
      <c r="S66" s="138" t="s">
        <v>477</v>
      </c>
      <c r="T66" s="138"/>
      <c r="U66" s="138"/>
      <c r="V66" s="138"/>
      <c r="W66" s="138"/>
      <c r="X66" s="138"/>
      <c r="Y66" s="138"/>
      <c r="Z66" s="138"/>
      <c r="AA66" s="138"/>
      <c r="AB66" s="138"/>
      <c r="AC66" s="138"/>
      <c r="AD66" s="138"/>
      <c r="AE66" s="138"/>
      <c r="AF66" s="138"/>
      <c r="AG66" s="138"/>
      <c r="AH66" s="138"/>
      <c r="AI66" s="138"/>
      <c r="AJ66" s="138"/>
      <c r="AK66" s="138"/>
      <c r="AL66" s="138"/>
      <c r="AM66" s="138"/>
    </row>
    <row r="67" spans="1:39" ht="91.8">
      <c r="A67" s="137">
        <v>65</v>
      </c>
      <c r="B67" s="137">
        <v>3</v>
      </c>
      <c r="C67" s="137">
        <v>2</v>
      </c>
      <c r="D67" s="137">
        <v>2</v>
      </c>
      <c r="E67" s="137">
        <v>11</v>
      </c>
      <c r="F67" s="137">
        <v>1</v>
      </c>
      <c r="G67" s="138" t="s">
        <v>478</v>
      </c>
      <c r="H67" s="138" t="s">
        <v>479</v>
      </c>
      <c r="I67" s="138" t="s">
        <v>480</v>
      </c>
      <c r="J67" s="137" t="s">
        <v>83</v>
      </c>
      <c r="K67" s="137" t="s">
        <v>84</v>
      </c>
      <c r="L67" s="137" t="s">
        <v>84</v>
      </c>
      <c r="M67" s="137" t="s">
        <v>84</v>
      </c>
      <c r="N67" s="137" t="s">
        <v>229</v>
      </c>
      <c r="O67" s="137" t="s">
        <v>229</v>
      </c>
      <c r="P67" s="138" t="s">
        <v>2697</v>
      </c>
      <c r="Q67" s="138" t="s">
        <v>2698</v>
      </c>
      <c r="R67" s="138" t="s">
        <v>2699</v>
      </c>
      <c r="S67" s="138" t="s">
        <v>481</v>
      </c>
      <c r="T67" s="138"/>
      <c r="U67" s="138"/>
      <c r="V67" s="138"/>
      <c r="W67" s="138"/>
      <c r="X67" s="138"/>
      <c r="Y67" s="138"/>
      <c r="Z67" s="138"/>
      <c r="AA67" s="138"/>
      <c r="AB67" s="138"/>
      <c r="AC67" s="138"/>
      <c r="AD67" s="138"/>
      <c r="AE67" s="138"/>
      <c r="AF67" s="138"/>
      <c r="AG67" s="138"/>
      <c r="AH67" s="138"/>
      <c r="AI67" s="138"/>
      <c r="AJ67" s="138"/>
      <c r="AK67" s="138"/>
      <c r="AL67" s="138"/>
      <c r="AM67" s="138"/>
    </row>
    <row r="68" spans="1:39" ht="70.2">
      <c r="A68" s="137">
        <v>66</v>
      </c>
      <c r="B68" s="137">
        <v>3</v>
      </c>
      <c r="C68" s="137">
        <v>2</v>
      </c>
      <c r="D68" s="137">
        <v>2</v>
      </c>
      <c r="E68" s="137">
        <v>11</v>
      </c>
      <c r="F68" s="137">
        <v>2</v>
      </c>
      <c r="G68" s="138" t="s">
        <v>482</v>
      </c>
      <c r="H68" s="138" t="s">
        <v>483</v>
      </c>
      <c r="I68" s="138" t="s">
        <v>2700</v>
      </c>
      <c r="J68" s="137" t="s">
        <v>83</v>
      </c>
      <c r="K68" s="137" t="s">
        <v>84</v>
      </c>
      <c r="L68" s="137" t="s">
        <v>84</v>
      </c>
      <c r="M68" s="137" t="s">
        <v>84</v>
      </c>
      <c r="N68" s="137" t="s">
        <v>229</v>
      </c>
      <c r="O68" s="137" t="s">
        <v>229</v>
      </c>
      <c r="P68" s="138" t="s">
        <v>2701</v>
      </c>
      <c r="Q68" s="138" t="s">
        <v>484</v>
      </c>
      <c r="R68" s="138" t="s">
        <v>485</v>
      </c>
      <c r="S68" s="138" t="s">
        <v>486</v>
      </c>
      <c r="T68" s="138"/>
      <c r="U68" s="138"/>
      <c r="V68" s="138"/>
      <c r="W68" s="138"/>
      <c r="X68" s="138"/>
      <c r="Y68" s="138"/>
      <c r="Z68" s="138"/>
      <c r="AA68" s="138"/>
      <c r="AB68" s="138"/>
      <c r="AC68" s="138"/>
      <c r="AD68" s="138"/>
      <c r="AE68" s="138"/>
      <c r="AF68" s="138"/>
      <c r="AG68" s="138"/>
      <c r="AH68" s="138"/>
      <c r="AI68" s="138"/>
      <c r="AJ68" s="138"/>
      <c r="AK68" s="138"/>
      <c r="AL68" s="138"/>
      <c r="AM68" s="138"/>
    </row>
    <row r="69" spans="1:39" ht="43.2">
      <c r="A69" s="137">
        <v>67</v>
      </c>
      <c r="B69" s="137">
        <v>3</v>
      </c>
      <c r="C69" s="137">
        <v>2</v>
      </c>
      <c r="D69" s="137">
        <v>2</v>
      </c>
      <c r="E69" s="137">
        <v>12</v>
      </c>
      <c r="F69" s="137">
        <v>0</v>
      </c>
      <c r="G69" s="138" t="s">
        <v>487</v>
      </c>
      <c r="H69" s="138" t="s">
        <v>488</v>
      </c>
      <c r="I69" s="138" t="s">
        <v>489</v>
      </c>
      <c r="J69" s="137" t="s">
        <v>83</v>
      </c>
      <c r="K69" s="137" t="s">
        <v>84</v>
      </c>
      <c r="L69" s="137" t="s">
        <v>84</v>
      </c>
      <c r="M69" s="137" t="s">
        <v>84</v>
      </c>
      <c r="N69" s="137" t="s">
        <v>229</v>
      </c>
      <c r="O69" s="137" t="s">
        <v>492</v>
      </c>
      <c r="P69" s="138" t="s">
        <v>2702</v>
      </c>
      <c r="Q69" s="138" t="s">
        <v>2703</v>
      </c>
      <c r="R69" s="138" t="s">
        <v>490</v>
      </c>
      <c r="S69" s="138" t="s">
        <v>491</v>
      </c>
      <c r="T69" s="138"/>
      <c r="U69" s="138"/>
      <c r="V69" s="138"/>
      <c r="W69" s="138"/>
      <c r="X69" s="138"/>
      <c r="Y69" s="138"/>
      <c r="Z69" s="138"/>
      <c r="AA69" s="138"/>
      <c r="AB69" s="138"/>
      <c r="AC69" s="138"/>
      <c r="AD69" s="138"/>
      <c r="AE69" s="138"/>
      <c r="AF69" s="138"/>
      <c r="AG69" s="138"/>
      <c r="AH69" s="138"/>
      <c r="AI69" s="138"/>
      <c r="AJ69" s="138"/>
      <c r="AK69" s="138"/>
      <c r="AL69" s="138"/>
      <c r="AM69" s="138"/>
    </row>
    <row r="70" spans="1:39" ht="43.2">
      <c r="A70" s="137">
        <v>68</v>
      </c>
      <c r="B70" s="143">
        <v>3</v>
      </c>
      <c r="C70" s="143">
        <v>2</v>
      </c>
      <c r="D70" s="143">
        <v>2</v>
      </c>
      <c r="E70" s="143">
        <v>13</v>
      </c>
      <c r="F70" s="143">
        <v>0</v>
      </c>
      <c r="G70" s="144" t="s">
        <v>493</v>
      </c>
      <c r="H70" s="144" t="s">
        <v>494</v>
      </c>
      <c r="I70" s="138" t="s">
        <v>495</v>
      </c>
      <c r="J70" s="137" t="s">
        <v>83</v>
      </c>
      <c r="K70" s="137" t="s">
        <v>84</v>
      </c>
      <c r="L70" s="137" t="s">
        <v>84</v>
      </c>
      <c r="M70" s="137" t="s">
        <v>84</v>
      </c>
      <c r="N70" s="143" t="s">
        <v>229</v>
      </c>
      <c r="O70" s="137" t="s">
        <v>492</v>
      </c>
      <c r="P70" s="138" t="s">
        <v>2704</v>
      </c>
      <c r="Q70" s="138" t="s">
        <v>496</v>
      </c>
      <c r="R70" s="138" t="s">
        <v>497</v>
      </c>
      <c r="S70" s="138" t="s">
        <v>498</v>
      </c>
      <c r="T70" s="144"/>
      <c r="U70" s="144"/>
      <c r="V70" s="138"/>
      <c r="W70" s="144"/>
      <c r="X70" s="144"/>
      <c r="Y70" s="144"/>
      <c r="Z70" s="144"/>
      <c r="AA70" s="144"/>
      <c r="AB70" s="144"/>
      <c r="AC70" s="144"/>
      <c r="AD70" s="144"/>
      <c r="AE70" s="144"/>
      <c r="AF70" s="144"/>
      <c r="AG70" s="144"/>
      <c r="AH70" s="144"/>
      <c r="AI70" s="144"/>
      <c r="AJ70" s="144"/>
      <c r="AK70" s="144"/>
      <c r="AL70" s="144"/>
      <c r="AM70" s="144"/>
    </row>
    <row r="71" spans="1:39" ht="38.4" thickBot="1">
      <c r="A71" s="143">
        <v>69</v>
      </c>
      <c r="B71" s="143">
        <v>3</v>
      </c>
      <c r="C71" s="143">
        <v>2</v>
      </c>
      <c r="D71" s="143">
        <v>2</v>
      </c>
      <c r="E71" s="143">
        <v>13</v>
      </c>
      <c r="F71" s="143">
        <v>1</v>
      </c>
      <c r="G71" s="144" t="s">
        <v>499</v>
      </c>
      <c r="H71" s="144" t="s">
        <v>500</v>
      </c>
      <c r="I71" s="138" t="s">
        <v>501</v>
      </c>
      <c r="J71" s="137" t="s">
        <v>83</v>
      </c>
      <c r="K71" s="143" t="s">
        <v>84</v>
      </c>
      <c r="L71" s="137" t="s">
        <v>84</v>
      </c>
      <c r="M71" s="137" t="s">
        <v>84</v>
      </c>
      <c r="N71" s="143" t="s">
        <v>229</v>
      </c>
      <c r="O71" s="137" t="s">
        <v>492</v>
      </c>
      <c r="P71" s="138" t="s">
        <v>2705</v>
      </c>
      <c r="Q71" s="144" t="s">
        <v>502</v>
      </c>
      <c r="R71" s="144" t="s">
        <v>503</v>
      </c>
      <c r="S71" s="144" t="s">
        <v>504</v>
      </c>
      <c r="T71" s="144"/>
      <c r="U71" s="144"/>
      <c r="V71" s="138"/>
      <c r="W71" s="144"/>
      <c r="X71" s="144"/>
      <c r="Y71" s="144"/>
      <c r="Z71" s="144"/>
      <c r="AA71" s="144"/>
      <c r="AB71" s="144"/>
      <c r="AC71" s="144"/>
      <c r="AD71" s="144"/>
      <c r="AE71" s="144"/>
      <c r="AF71" s="144"/>
      <c r="AG71" s="144"/>
      <c r="AH71" s="144"/>
      <c r="AI71" s="144"/>
      <c r="AJ71" s="144"/>
      <c r="AK71" s="144"/>
      <c r="AL71" s="144"/>
      <c r="AM71" s="144"/>
    </row>
    <row r="72" spans="1:39" ht="33" thickTop="1">
      <c r="A72" s="135">
        <v>70</v>
      </c>
      <c r="B72" s="135">
        <v>3</v>
      </c>
      <c r="C72" s="135">
        <v>3</v>
      </c>
      <c r="D72" s="135">
        <v>1</v>
      </c>
      <c r="E72" s="135">
        <v>1</v>
      </c>
      <c r="F72" s="135">
        <v>0</v>
      </c>
      <c r="G72" s="136" t="s">
        <v>505</v>
      </c>
      <c r="H72" s="136" t="s">
        <v>506</v>
      </c>
      <c r="I72" s="136" t="s">
        <v>507</v>
      </c>
      <c r="J72" s="135" t="s">
        <v>83</v>
      </c>
      <c r="K72" s="135" t="s">
        <v>84</v>
      </c>
      <c r="L72" s="135" t="s">
        <v>84</v>
      </c>
      <c r="M72" s="135" t="s">
        <v>84</v>
      </c>
      <c r="N72" s="135" t="s">
        <v>229</v>
      </c>
      <c r="O72" s="135" t="s">
        <v>511</v>
      </c>
      <c r="P72" s="136" t="s">
        <v>2706</v>
      </c>
      <c r="Q72" s="146" t="s">
        <v>508</v>
      </c>
      <c r="R72" s="147" t="s">
        <v>509</v>
      </c>
      <c r="S72" s="148" t="s">
        <v>510</v>
      </c>
      <c r="T72" s="136"/>
      <c r="U72" s="136"/>
      <c r="V72" s="136"/>
      <c r="W72" s="136"/>
      <c r="X72" s="136"/>
      <c r="Y72" s="136"/>
      <c r="Z72" s="136"/>
      <c r="AA72" s="136"/>
      <c r="AB72" s="136"/>
      <c r="AC72" s="136"/>
      <c r="AD72" s="136"/>
      <c r="AE72" s="136"/>
      <c r="AF72" s="136"/>
      <c r="AG72" s="136"/>
      <c r="AH72" s="136"/>
      <c r="AI72" s="136"/>
      <c r="AJ72" s="136"/>
      <c r="AK72" s="136"/>
      <c r="AL72" s="136"/>
      <c r="AM72" s="136"/>
    </row>
    <row r="73" spans="1:39" ht="32.4">
      <c r="A73" s="137">
        <v>71</v>
      </c>
      <c r="B73" s="137">
        <v>3</v>
      </c>
      <c r="C73" s="137">
        <v>3</v>
      </c>
      <c r="D73" s="137">
        <v>1</v>
      </c>
      <c r="E73" s="137">
        <v>2</v>
      </c>
      <c r="F73" s="137">
        <v>0</v>
      </c>
      <c r="G73" s="138" t="s">
        <v>512</v>
      </c>
      <c r="H73" s="138" t="s">
        <v>513</v>
      </c>
      <c r="I73" s="138" t="s">
        <v>514</v>
      </c>
      <c r="J73" s="137" t="s">
        <v>83</v>
      </c>
      <c r="K73" s="137" t="s">
        <v>84</v>
      </c>
      <c r="L73" s="137" t="s">
        <v>84</v>
      </c>
      <c r="M73" s="137" t="s">
        <v>84</v>
      </c>
      <c r="N73" s="137" t="s">
        <v>229</v>
      </c>
      <c r="O73" s="137" t="s">
        <v>511</v>
      </c>
      <c r="P73" s="138" t="s">
        <v>2707</v>
      </c>
      <c r="Q73" s="149" t="s">
        <v>515</v>
      </c>
      <c r="R73" s="149" t="s">
        <v>516</v>
      </c>
      <c r="S73" s="149" t="s">
        <v>517</v>
      </c>
      <c r="T73" s="138"/>
      <c r="U73" s="138"/>
      <c r="V73" s="138"/>
      <c r="W73" s="138"/>
      <c r="X73" s="138"/>
      <c r="Y73" s="138"/>
      <c r="Z73" s="138"/>
      <c r="AA73" s="138"/>
      <c r="AB73" s="138"/>
      <c r="AC73" s="138"/>
      <c r="AD73" s="138"/>
      <c r="AE73" s="138"/>
      <c r="AF73" s="138"/>
      <c r="AG73" s="138"/>
      <c r="AH73" s="138"/>
      <c r="AI73" s="138"/>
      <c r="AJ73" s="138"/>
      <c r="AK73" s="138"/>
      <c r="AL73" s="138"/>
      <c r="AM73" s="138"/>
    </row>
    <row r="74" spans="1:39" ht="32.4">
      <c r="A74" s="137">
        <v>72</v>
      </c>
      <c r="B74" s="137">
        <v>3</v>
      </c>
      <c r="C74" s="137">
        <v>3</v>
      </c>
      <c r="D74" s="137">
        <v>1</v>
      </c>
      <c r="E74" s="137">
        <v>3</v>
      </c>
      <c r="F74" s="137">
        <v>0</v>
      </c>
      <c r="G74" s="138" t="s">
        <v>518</v>
      </c>
      <c r="H74" s="138" t="s">
        <v>519</v>
      </c>
      <c r="I74" s="138" t="s">
        <v>520</v>
      </c>
      <c r="J74" s="137" t="s">
        <v>83</v>
      </c>
      <c r="K74" s="137" t="s">
        <v>84</v>
      </c>
      <c r="L74" s="137" t="s">
        <v>84</v>
      </c>
      <c r="M74" s="137" t="s">
        <v>84</v>
      </c>
      <c r="N74" s="137" t="s">
        <v>229</v>
      </c>
      <c r="O74" s="137" t="s">
        <v>511</v>
      </c>
      <c r="P74" s="138" t="s">
        <v>2708</v>
      </c>
      <c r="Q74" s="149" t="s">
        <v>521</v>
      </c>
      <c r="R74" s="149" t="s">
        <v>522</v>
      </c>
      <c r="S74" s="149" t="s">
        <v>523</v>
      </c>
      <c r="T74" s="138"/>
      <c r="U74" s="138"/>
      <c r="V74" s="138"/>
      <c r="W74" s="138"/>
      <c r="X74" s="138"/>
      <c r="Y74" s="138"/>
      <c r="Z74" s="138"/>
      <c r="AA74" s="138"/>
      <c r="AB74" s="138"/>
      <c r="AC74" s="138"/>
      <c r="AD74" s="138"/>
      <c r="AE74" s="138"/>
      <c r="AF74" s="138"/>
      <c r="AG74" s="138"/>
      <c r="AH74" s="138"/>
      <c r="AI74" s="138"/>
      <c r="AJ74" s="138"/>
      <c r="AK74" s="138"/>
      <c r="AL74" s="138"/>
      <c r="AM74" s="138"/>
    </row>
    <row r="75" spans="1:39" ht="27">
      <c r="A75" s="137">
        <v>73</v>
      </c>
      <c r="B75" s="137">
        <v>3</v>
      </c>
      <c r="C75" s="137">
        <v>3</v>
      </c>
      <c r="D75" s="137">
        <v>1</v>
      </c>
      <c r="E75" s="137">
        <v>4</v>
      </c>
      <c r="F75" s="137">
        <v>0</v>
      </c>
      <c r="G75" s="138" t="s">
        <v>524</v>
      </c>
      <c r="H75" s="138" t="s">
        <v>525</v>
      </c>
      <c r="I75" s="138" t="s">
        <v>526</v>
      </c>
      <c r="J75" s="137" t="s">
        <v>83</v>
      </c>
      <c r="K75" s="137" t="s">
        <v>84</v>
      </c>
      <c r="L75" s="137" t="s">
        <v>84</v>
      </c>
      <c r="M75" s="137" t="s">
        <v>84</v>
      </c>
      <c r="N75" s="137" t="s">
        <v>229</v>
      </c>
      <c r="O75" s="137" t="s">
        <v>511</v>
      </c>
      <c r="P75" s="138" t="s">
        <v>2709</v>
      </c>
      <c r="Q75" s="149" t="s">
        <v>527</v>
      </c>
      <c r="R75" s="149" t="s">
        <v>528</v>
      </c>
      <c r="S75" s="149" t="s">
        <v>529</v>
      </c>
      <c r="T75" s="138"/>
      <c r="U75" s="138"/>
      <c r="V75" s="138"/>
      <c r="W75" s="138"/>
      <c r="X75" s="138"/>
      <c r="Y75" s="138"/>
      <c r="Z75" s="138"/>
      <c r="AA75" s="138"/>
      <c r="AB75" s="138"/>
      <c r="AC75" s="138"/>
      <c r="AD75" s="138"/>
      <c r="AE75" s="138"/>
      <c r="AF75" s="138"/>
      <c r="AG75" s="138"/>
      <c r="AH75" s="138"/>
      <c r="AI75" s="138"/>
      <c r="AJ75" s="138"/>
      <c r="AK75" s="138"/>
      <c r="AL75" s="138"/>
      <c r="AM75" s="138"/>
    </row>
    <row r="76" spans="1:39" ht="27">
      <c r="A76" s="137">
        <v>74</v>
      </c>
      <c r="B76" s="137">
        <v>3</v>
      </c>
      <c r="C76" s="137">
        <v>3</v>
      </c>
      <c r="D76" s="137">
        <v>2</v>
      </c>
      <c r="E76" s="137">
        <v>1</v>
      </c>
      <c r="F76" s="137">
        <v>0</v>
      </c>
      <c r="G76" s="138" t="s">
        <v>530</v>
      </c>
      <c r="H76" s="138" t="s">
        <v>531</v>
      </c>
      <c r="I76" s="138" t="s">
        <v>532</v>
      </c>
      <c r="J76" s="137" t="s">
        <v>83</v>
      </c>
      <c r="K76" s="137" t="s">
        <v>84</v>
      </c>
      <c r="L76" s="137" t="s">
        <v>84</v>
      </c>
      <c r="M76" s="137" t="s">
        <v>84</v>
      </c>
      <c r="N76" s="137" t="s">
        <v>229</v>
      </c>
      <c r="O76" s="137" t="s">
        <v>511</v>
      </c>
      <c r="P76" s="138" t="s">
        <v>2710</v>
      </c>
      <c r="Q76" s="149" t="s">
        <v>533</v>
      </c>
      <c r="R76" s="149" t="s">
        <v>534</v>
      </c>
      <c r="S76" s="149" t="s">
        <v>535</v>
      </c>
      <c r="T76" s="138"/>
      <c r="U76" s="138"/>
      <c r="V76" s="138"/>
      <c r="W76" s="138"/>
      <c r="X76" s="138"/>
      <c r="Y76" s="138"/>
      <c r="Z76" s="138"/>
      <c r="AA76" s="138"/>
      <c r="AB76" s="138"/>
      <c r="AC76" s="138"/>
      <c r="AD76" s="138"/>
      <c r="AE76" s="138"/>
      <c r="AF76" s="138"/>
      <c r="AG76" s="138"/>
      <c r="AH76" s="138"/>
      <c r="AI76" s="138"/>
      <c r="AJ76" s="138"/>
      <c r="AK76" s="138"/>
      <c r="AL76" s="138"/>
      <c r="AM76" s="138"/>
    </row>
    <row r="77" spans="1:39" ht="27">
      <c r="A77" s="137">
        <v>75</v>
      </c>
      <c r="B77" s="137">
        <v>3</v>
      </c>
      <c r="C77" s="137">
        <v>3</v>
      </c>
      <c r="D77" s="137">
        <v>2</v>
      </c>
      <c r="E77" s="137">
        <v>2</v>
      </c>
      <c r="F77" s="137">
        <v>0</v>
      </c>
      <c r="G77" s="138" t="s">
        <v>536</v>
      </c>
      <c r="H77" s="138" t="s">
        <v>537</v>
      </c>
      <c r="I77" s="138" t="s">
        <v>538</v>
      </c>
      <c r="J77" s="137" t="s">
        <v>83</v>
      </c>
      <c r="K77" s="137" t="s">
        <v>84</v>
      </c>
      <c r="L77" s="137" t="s">
        <v>84</v>
      </c>
      <c r="M77" s="137" t="s">
        <v>84</v>
      </c>
      <c r="N77" s="137" t="s">
        <v>229</v>
      </c>
      <c r="O77" s="137" t="s">
        <v>511</v>
      </c>
      <c r="P77" s="138" t="s">
        <v>2711</v>
      </c>
      <c r="Q77" s="149" t="s">
        <v>539</v>
      </c>
      <c r="R77" s="149" t="s">
        <v>540</v>
      </c>
      <c r="S77" s="149" t="s">
        <v>541</v>
      </c>
      <c r="T77" s="138"/>
      <c r="U77" s="138"/>
      <c r="V77" s="138"/>
      <c r="W77" s="138"/>
      <c r="X77" s="138"/>
      <c r="Y77" s="138"/>
      <c r="Z77" s="138"/>
      <c r="AA77" s="138"/>
      <c r="AB77" s="138"/>
      <c r="AC77" s="138"/>
      <c r="AD77" s="138"/>
      <c r="AE77" s="138"/>
      <c r="AF77" s="138"/>
      <c r="AG77" s="138"/>
      <c r="AH77" s="138"/>
      <c r="AI77" s="138"/>
      <c r="AJ77" s="138"/>
      <c r="AK77" s="138"/>
      <c r="AL77" s="138"/>
      <c r="AM77" s="138"/>
    </row>
    <row r="78" spans="1:39" ht="27">
      <c r="A78" s="137">
        <v>76</v>
      </c>
      <c r="B78" s="137">
        <v>3</v>
      </c>
      <c r="C78" s="137">
        <v>3</v>
      </c>
      <c r="D78" s="137">
        <v>2</v>
      </c>
      <c r="E78" s="137">
        <v>3</v>
      </c>
      <c r="F78" s="137">
        <v>0</v>
      </c>
      <c r="G78" s="138" t="s">
        <v>542</v>
      </c>
      <c r="H78" s="138" t="s">
        <v>543</v>
      </c>
      <c r="I78" s="138" t="s">
        <v>544</v>
      </c>
      <c r="J78" s="137" t="s">
        <v>83</v>
      </c>
      <c r="K78" s="137" t="s">
        <v>84</v>
      </c>
      <c r="L78" s="137" t="s">
        <v>84</v>
      </c>
      <c r="M78" s="137" t="s">
        <v>84</v>
      </c>
      <c r="N78" s="137" t="s">
        <v>229</v>
      </c>
      <c r="O78" s="137" t="s">
        <v>511</v>
      </c>
      <c r="P78" s="138" t="s">
        <v>2712</v>
      </c>
      <c r="Q78" s="149" t="s">
        <v>545</v>
      </c>
      <c r="R78" s="149" t="s">
        <v>546</v>
      </c>
      <c r="S78" s="149" t="s">
        <v>547</v>
      </c>
      <c r="T78" s="138"/>
      <c r="U78" s="138"/>
      <c r="V78" s="138"/>
      <c r="W78" s="138"/>
      <c r="X78" s="138"/>
      <c r="Y78" s="138"/>
      <c r="Z78" s="138"/>
      <c r="AA78" s="138"/>
      <c r="AB78" s="138"/>
      <c r="AC78" s="138"/>
      <c r="AD78" s="138"/>
      <c r="AE78" s="138"/>
      <c r="AF78" s="138"/>
      <c r="AG78" s="138"/>
      <c r="AH78" s="138"/>
      <c r="AI78" s="138"/>
      <c r="AJ78" s="138"/>
      <c r="AK78" s="138"/>
      <c r="AL78" s="138"/>
      <c r="AM78" s="138"/>
    </row>
    <row r="79" spans="1:39" ht="27">
      <c r="A79" s="137">
        <v>77</v>
      </c>
      <c r="B79" s="137">
        <v>3</v>
      </c>
      <c r="C79" s="137">
        <v>3</v>
      </c>
      <c r="D79" s="137">
        <v>2</v>
      </c>
      <c r="E79" s="137">
        <v>4</v>
      </c>
      <c r="F79" s="137">
        <v>0</v>
      </c>
      <c r="G79" s="138" t="s">
        <v>548</v>
      </c>
      <c r="H79" s="138" t="s">
        <v>549</v>
      </c>
      <c r="I79" s="138" t="s">
        <v>550</v>
      </c>
      <c r="J79" s="137" t="s">
        <v>83</v>
      </c>
      <c r="K79" s="137" t="s">
        <v>84</v>
      </c>
      <c r="L79" s="137" t="s">
        <v>84</v>
      </c>
      <c r="M79" s="137" t="s">
        <v>84</v>
      </c>
      <c r="N79" s="137" t="s">
        <v>229</v>
      </c>
      <c r="O79" s="137" t="s">
        <v>511</v>
      </c>
      <c r="P79" s="138" t="s">
        <v>2713</v>
      </c>
      <c r="Q79" s="149" t="s">
        <v>551</v>
      </c>
      <c r="R79" s="149" t="s">
        <v>552</v>
      </c>
      <c r="S79" s="149" t="s">
        <v>553</v>
      </c>
      <c r="T79" s="138"/>
      <c r="U79" s="138"/>
      <c r="V79" s="138"/>
      <c r="W79" s="138"/>
      <c r="X79" s="138"/>
      <c r="Y79" s="138"/>
      <c r="Z79" s="138"/>
      <c r="AA79" s="138"/>
      <c r="AB79" s="138"/>
      <c r="AC79" s="138"/>
      <c r="AD79" s="138"/>
      <c r="AE79" s="138"/>
      <c r="AF79" s="138"/>
      <c r="AG79" s="138"/>
      <c r="AH79" s="138"/>
      <c r="AI79" s="138"/>
      <c r="AJ79" s="138"/>
      <c r="AK79" s="138"/>
      <c r="AL79" s="138"/>
      <c r="AM79" s="138"/>
    </row>
    <row r="80" spans="1:39" ht="27">
      <c r="A80" s="137">
        <v>78</v>
      </c>
      <c r="B80" s="137">
        <v>3</v>
      </c>
      <c r="C80" s="137">
        <v>3</v>
      </c>
      <c r="D80" s="137">
        <v>2</v>
      </c>
      <c r="E80" s="137">
        <v>5</v>
      </c>
      <c r="F80" s="137">
        <v>0</v>
      </c>
      <c r="G80" s="138" t="s">
        <v>554</v>
      </c>
      <c r="H80" s="138" t="s">
        <v>555</v>
      </c>
      <c r="I80" s="138" t="s">
        <v>556</v>
      </c>
      <c r="J80" s="137" t="s">
        <v>83</v>
      </c>
      <c r="K80" s="137" t="s">
        <v>84</v>
      </c>
      <c r="L80" s="137" t="s">
        <v>84</v>
      </c>
      <c r="M80" s="137" t="s">
        <v>84</v>
      </c>
      <c r="N80" s="137" t="s">
        <v>229</v>
      </c>
      <c r="O80" s="137" t="s">
        <v>511</v>
      </c>
      <c r="P80" s="138" t="s">
        <v>2714</v>
      </c>
      <c r="Q80" s="149" t="s">
        <v>557</v>
      </c>
      <c r="R80" s="149" t="s">
        <v>558</v>
      </c>
      <c r="S80" s="149" t="s">
        <v>559</v>
      </c>
      <c r="T80" s="138"/>
      <c r="U80" s="138"/>
      <c r="V80" s="138"/>
      <c r="W80" s="138"/>
      <c r="X80" s="138"/>
      <c r="Y80" s="138"/>
      <c r="Z80" s="138"/>
      <c r="AA80" s="138"/>
      <c r="AB80" s="138"/>
      <c r="AC80" s="138"/>
      <c r="AD80" s="138"/>
      <c r="AE80" s="138"/>
      <c r="AF80" s="138"/>
      <c r="AG80" s="138"/>
      <c r="AH80" s="138"/>
      <c r="AI80" s="138"/>
      <c r="AJ80" s="138"/>
      <c r="AK80" s="138"/>
      <c r="AL80" s="138"/>
      <c r="AM80" s="138"/>
    </row>
    <row r="81" spans="1:39" ht="16.2">
      <c r="A81" s="141">
        <v>79</v>
      </c>
      <c r="B81" s="141">
        <v>3</v>
      </c>
      <c r="C81" s="141">
        <v>3</v>
      </c>
      <c r="D81" s="141">
        <v>2</v>
      </c>
      <c r="E81" s="141">
        <v>6</v>
      </c>
      <c r="F81" s="141">
        <v>0</v>
      </c>
      <c r="G81" s="142" t="s">
        <v>560</v>
      </c>
      <c r="H81" s="142" t="s">
        <v>561</v>
      </c>
      <c r="I81" s="141" t="s">
        <v>84</v>
      </c>
      <c r="J81" s="141" t="s">
        <v>154</v>
      </c>
      <c r="K81" s="141" t="s">
        <v>155</v>
      </c>
      <c r="L81" s="142" t="s">
        <v>562</v>
      </c>
      <c r="M81" s="142" t="s">
        <v>563</v>
      </c>
      <c r="N81" s="141" t="s">
        <v>84</v>
      </c>
      <c r="O81" s="141" t="s">
        <v>84</v>
      </c>
      <c r="P81" s="141" t="s">
        <v>84</v>
      </c>
      <c r="Q81" s="141" t="s">
        <v>84</v>
      </c>
      <c r="R81" s="141" t="s">
        <v>84</v>
      </c>
      <c r="S81" s="141" t="s">
        <v>84</v>
      </c>
      <c r="T81" s="142"/>
      <c r="U81" s="142"/>
      <c r="V81" s="142"/>
      <c r="W81" s="142"/>
      <c r="X81" s="142"/>
      <c r="Y81" s="142"/>
      <c r="Z81" s="142"/>
      <c r="AA81" s="142"/>
      <c r="AB81" s="142"/>
      <c r="AC81" s="142"/>
      <c r="AD81" s="142"/>
      <c r="AE81" s="142"/>
      <c r="AF81" s="142"/>
      <c r="AG81" s="142"/>
      <c r="AH81" s="142"/>
      <c r="AI81" s="142"/>
      <c r="AJ81" s="142"/>
      <c r="AK81" s="142"/>
      <c r="AL81" s="142"/>
      <c r="AM81" s="142"/>
    </row>
    <row r="82" spans="1:39" ht="32.4">
      <c r="A82" s="137">
        <v>80</v>
      </c>
      <c r="B82" s="137">
        <v>3</v>
      </c>
      <c r="C82" s="137">
        <v>3</v>
      </c>
      <c r="D82" s="137">
        <v>2</v>
      </c>
      <c r="E82" s="137">
        <v>7</v>
      </c>
      <c r="F82" s="137">
        <v>0</v>
      </c>
      <c r="G82" s="138" t="s">
        <v>564</v>
      </c>
      <c r="H82" s="138" t="s">
        <v>565</v>
      </c>
      <c r="I82" s="138" t="s">
        <v>566</v>
      </c>
      <c r="J82" s="137" t="s">
        <v>83</v>
      </c>
      <c r="K82" s="137" t="s">
        <v>84</v>
      </c>
      <c r="L82" s="137" t="s">
        <v>84</v>
      </c>
      <c r="M82" s="137" t="s">
        <v>84</v>
      </c>
      <c r="N82" s="137" t="s">
        <v>229</v>
      </c>
      <c r="O82" s="137" t="s">
        <v>511</v>
      </c>
      <c r="P82" s="138" t="s">
        <v>2715</v>
      </c>
      <c r="Q82" s="149" t="s">
        <v>567</v>
      </c>
      <c r="R82" s="149" t="s">
        <v>568</v>
      </c>
      <c r="S82" s="149" t="s">
        <v>569</v>
      </c>
      <c r="T82" s="138"/>
      <c r="U82" s="138"/>
      <c r="V82" s="138"/>
      <c r="W82" s="138"/>
      <c r="X82" s="138"/>
      <c r="Y82" s="138"/>
      <c r="Z82" s="138"/>
      <c r="AA82" s="138"/>
      <c r="AB82" s="138"/>
      <c r="AC82" s="138"/>
      <c r="AD82" s="138"/>
      <c r="AE82" s="138"/>
      <c r="AF82" s="138"/>
      <c r="AG82" s="138"/>
      <c r="AH82" s="138"/>
      <c r="AI82" s="138"/>
      <c r="AJ82" s="138"/>
      <c r="AK82" s="138"/>
      <c r="AL82" s="138"/>
      <c r="AM82" s="138"/>
    </row>
    <row r="83" spans="1:39" ht="21.6">
      <c r="A83" s="137">
        <v>81</v>
      </c>
      <c r="B83" s="137">
        <v>3</v>
      </c>
      <c r="C83" s="137">
        <v>3</v>
      </c>
      <c r="D83" s="137">
        <v>3</v>
      </c>
      <c r="E83" s="137">
        <v>1</v>
      </c>
      <c r="F83" s="137">
        <v>0</v>
      </c>
      <c r="G83" s="138" t="s">
        <v>570</v>
      </c>
      <c r="H83" s="138" t="s">
        <v>571</v>
      </c>
      <c r="I83" s="138" t="s">
        <v>572</v>
      </c>
      <c r="J83" s="137" t="s">
        <v>83</v>
      </c>
      <c r="K83" s="137" t="s">
        <v>84</v>
      </c>
      <c r="L83" s="137" t="s">
        <v>84</v>
      </c>
      <c r="M83" s="137" t="s">
        <v>84</v>
      </c>
      <c r="N83" s="137" t="s">
        <v>229</v>
      </c>
      <c r="O83" s="137" t="s">
        <v>511</v>
      </c>
      <c r="P83" s="138" t="s">
        <v>2716</v>
      </c>
      <c r="Q83" s="149" t="s">
        <v>573</v>
      </c>
      <c r="R83" s="149" t="s">
        <v>574</v>
      </c>
      <c r="S83" s="149" t="s">
        <v>575</v>
      </c>
      <c r="T83" s="138"/>
      <c r="U83" s="138"/>
      <c r="V83" s="138"/>
      <c r="W83" s="138"/>
      <c r="X83" s="138"/>
      <c r="Y83" s="138"/>
      <c r="Z83" s="138"/>
      <c r="AA83" s="138"/>
      <c r="AB83" s="138"/>
      <c r="AC83" s="138"/>
      <c r="AD83" s="138"/>
      <c r="AE83" s="138"/>
      <c r="AF83" s="138"/>
      <c r="AG83" s="138"/>
      <c r="AH83" s="138"/>
      <c r="AI83" s="138"/>
      <c r="AJ83" s="138"/>
      <c r="AK83" s="138"/>
      <c r="AL83" s="138"/>
      <c r="AM83" s="138"/>
    </row>
    <row r="84" spans="1:39" ht="21.6">
      <c r="A84" s="137">
        <v>82</v>
      </c>
      <c r="B84" s="137">
        <v>3</v>
      </c>
      <c r="C84" s="137">
        <v>3</v>
      </c>
      <c r="D84" s="137">
        <v>3</v>
      </c>
      <c r="E84" s="137">
        <v>2</v>
      </c>
      <c r="F84" s="137">
        <v>0</v>
      </c>
      <c r="G84" s="138" t="s">
        <v>576</v>
      </c>
      <c r="H84" s="138" t="s">
        <v>577</v>
      </c>
      <c r="I84" s="138" t="s">
        <v>578</v>
      </c>
      <c r="J84" s="137" t="s">
        <v>83</v>
      </c>
      <c r="K84" s="137" t="s">
        <v>84</v>
      </c>
      <c r="L84" s="137" t="s">
        <v>84</v>
      </c>
      <c r="M84" s="137" t="s">
        <v>84</v>
      </c>
      <c r="N84" s="137" t="s">
        <v>229</v>
      </c>
      <c r="O84" s="137" t="s">
        <v>511</v>
      </c>
      <c r="P84" s="138" t="s">
        <v>2717</v>
      </c>
      <c r="Q84" s="149" t="s">
        <v>579</v>
      </c>
      <c r="R84" s="149" t="s">
        <v>580</v>
      </c>
      <c r="S84" s="149" t="s">
        <v>581</v>
      </c>
      <c r="T84" s="138"/>
      <c r="U84" s="138"/>
      <c r="V84" s="138"/>
      <c r="W84" s="138"/>
      <c r="X84" s="138"/>
      <c r="Y84" s="138"/>
      <c r="Z84" s="138"/>
      <c r="AA84" s="138"/>
      <c r="AB84" s="138"/>
      <c r="AC84" s="138"/>
      <c r="AD84" s="138"/>
      <c r="AE84" s="138"/>
      <c r="AF84" s="138"/>
      <c r="AG84" s="138"/>
      <c r="AH84" s="138"/>
      <c r="AI84" s="138"/>
      <c r="AJ84" s="138"/>
      <c r="AK84" s="138"/>
      <c r="AL84" s="138"/>
      <c r="AM84" s="138"/>
    </row>
    <row r="85" spans="1:39" ht="21.6">
      <c r="A85" s="137">
        <v>83</v>
      </c>
      <c r="B85" s="137">
        <v>3</v>
      </c>
      <c r="C85" s="137">
        <v>3</v>
      </c>
      <c r="D85" s="137">
        <v>3</v>
      </c>
      <c r="E85" s="137">
        <v>3</v>
      </c>
      <c r="F85" s="137">
        <v>0</v>
      </c>
      <c r="G85" s="138" t="s">
        <v>582</v>
      </c>
      <c r="H85" s="138" t="s">
        <v>583</v>
      </c>
      <c r="I85" s="138" t="s">
        <v>584</v>
      </c>
      <c r="J85" s="137" t="s">
        <v>83</v>
      </c>
      <c r="K85" s="137" t="s">
        <v>84</v>
      </c>
      <c r="L85" s="137" t="s">
        <v>84</v>
      </c>
      <c r="M85" s="137" t="s">
        <v>84</v>
      </c>
      <c r="N85" s="137" t="s">
        <v>229</v>
      </c>
      <c r="O85" s="137" t="s">
        <v>511</v>
      </c>
      <c r="P85" s="138" t="s">
        <v>2718</v>
      </c>
      <c r="Q85" s="149" t="s">
        <v>585</v>
      </c>
      <c r="R85" s="149" t="s">
        <v>586</v>
      </c>
      <c r="S85" s="149" t="s">
        <v>587</v>
      </c>
      <c r="T85" s="138"/>
      <c r="U85" s="138"/>
      <c r="V85" s="138"/>
      <c r="W85" s="138"/>
      <c r="X85" s="138"/>
      <c r="Y85" s="138"/>
      <c r="Z85" s="138"/>
      <c r="AA85" s="138"/>
      <c r="AB85" s="138"/>
      <c r="AC85" s="138"/>
      <c r="AD85" s="138"/>
      <c r="AE85" s="138"/>
      <c r="AF85" s="138"/>
      <c r="AG85" s="138"/>
      <c r="AH85" s="138"/>
      <c r="AI85" s="138"/>
      <c r="AJ85" s="138"/>
      <c r="AK85" s="138"/>
      <c r="AL85" s="138"/>
      <c r="AM85" s="138"/>
    </row>
    <row r="86" spans="1:39" ht="33" thickBot="1">
      <c r="A86" s="143">
        <v>84</v>
      </c>
      <c r="B86" s="143">
        <v>3</v>
      </c>
      <c r="C86" s="143">
        <v>3</v>
      </c>
      <c r="D86" s="143">
        <v>3</v>
      </c>
      <c r="E86" s="143">
        <v>4</v>
      </c>
      <c r="F86" s="143">
        <v>0</v>
      </c>
      <c r="G86" s="144" t="s">
        <v>588</v>
      </c>
      <c r="H86" s="144" t="s">
        <v>589</v>
      </c>
      <c r="I86" s="138" t="s">
        <v>590</v>
      </c>
      <c r="J86" s="137" t="s">
        <v>83</v>
      </c>
      <c r="K86" s="137" t="s">
        <v>84</v>
      </c>
      <c r="L86" s="137" t="s">
        <v>84</v>
      </c>
      <c r="M86" s="137" t="s">
        <v>84</v>
      </c>
      <c r="N86" s="143" t="s">
        <v>229</v>
      </c>
      <c r="O86" s="143" t="s">
        <v>511</v>
      </c>
      <c r="P86" s="138" t="s">
        <v>2719</v>
      </c>
      <c r="Q86" s="150" t="s">
        <v>591</v>
      </c>
      <c r="R86" s="150" t="s">
        <v>592</v>
      </c>
      <c r="S86" s="150" t="s">
        <v>593</v>
      </c>
      <c r="T86" s="144"/>
      <c r="U86" s="144"/>
      <c r="V86" s="138"/>
      <c r="W86" s="144"/>
      <c r="X86" s="144"/>
      <c r="Y86" s="144"/>
      <c r="Z86" s="144"/>
      <c r="AA86" s="144"/>
      <c r="AB86" s="144"/>
      <c r="AC86" s="144"/>
      <c r="AD86" s="144"/>
      <c r="AE86" s="144"/>
      <c r="AF86" s="144"/>
      <c r="AG86" s="144"/>
      <c r="AH86" s="144"/>
      <c r="AI86" s="144"/>
      <c r="AJ86" s="144"/>
      <c r="AK86" s="144"/>
      <c r="AL86" s="144"/>
      <c r="AM86" s="144"/>
    </row>
    <row r="87" spans="1:39" ht="60" thickTop="1">
      <c r="A87" s="135">
        <v>85</v>
      </c>
      <c r="B87" s="135">
        <v>3</v>
      </c>
      <c r="C87" s="135">
        <v>4</v>
      </c>
      <c r="D87" s="135">
        <v>1</v>
      </c>
      <c r="E87" s="135">
        <v>1</v>
      </c>
      <c r="F87" s="135">
        <v>0</v>
      </c>
      <c r="G87" s="136" t="s">
        <v>594</v>
      </c>
      <c r="H87" s="136" t="s">
        <v>595</v>
      </c>
      <c r="I87" s="136" t="s">
        <v>596</v>
      </c>
      <c r="J87" s="135" t="s">
        <v>83</v>
      </c>
      <c r="K87" s="135" t="s">
        <v>84</v>
      </c>
      <c r="L87" s="135" t="s">
        <v>84</v>
      </c>
      <c r="M87" s="135" t="s">
        <v>84</v>
      </c>
      <c r="N87" s="135" t="s">
        <v>229</v>
      </c>
      <c r="O87" s="135" t="s">
        <v>382</v>
      </c>
      <c r="P87" s="136" t="s">
        <v>2545</v>
      </c>
      <c r="Q87" s="136" t="s">
        <v>597</v>
      </c>
      <c r="R87" s="136" t="s">
        <v>598</v>
      </c>
      <c r="S87" s="136" t="s">
        <v>599</v>
      </c>
      <c r="T87" s="136"/>
      <c r="U87" s="136"/>
      <c r="V87" s="136"/>
      <c r="W87" s="136"/>
      <c r="X87" s="136"/>
      <c r="Y87" s="136"/>
      <c r="Z87" s="136"/>
      <c r="AA87" s="136"/>
      <c r="AB87" s="136"/>
      <c r="AC87" s="136"/>
      <c r="AD87" s="136"/>
      <c r="AE87" s="136"/>
      <c r="AF87" s="136"/>
      <c r="AG87" s="136"/>
      <c r="AH87" s="136"/>
      <c r="AI87" s="136"/>
      <c r="AJ87" s="136"/>
      <c r="AK87" s="136"/>
      <c r="AL87" s="136"/>
      <c r="AM87" s="136"/>
    </row>
    <row r="88" spans="1:39" ht="64.8">
      <c r="A88" s="137">
        <v>86</v>
      </c>
      <c r="B88" s="137">
        <v>3</v>
      </c>
      <c r="C88" s="137">
        <v>4</v>
      </c>
      <c r="D88" s="137">
        <v>1</v>
      </c>
      <c r="E88" s="137">
        <v>2</v>
      </c>
      <c r="F88" s="137">
        <v>0</v>
      </c>
      <c r="G88" s="138" t="s">
        <v>600</v>
      </c>
      <c r="H88" s="138" t="s">
        <v>601</v>
      </c>
      <c r="I88" s="138" t="s">
        <v>602</v>
      </c>
      <c r="J88" s="137" t="s">
        <v>83</v>
      </c>
      <c r="K88" s="137" t="s">
        <v>84</v>
      </c>
      <c r="L88" s="137" t="s">
        <v>84</v>
      </c>
      <c r="M88" s="137" t="s">
        <v>84</v>
      </c>
      <c r="N88" s="137" t="s">
        <v>229</v>
      </c>
      <c r="O88" s="137" t="s">
        <v>382</v>
      </c>
      <c r="P88" s="138" t="s">
        <v>2546</v>
      </c>
      <c r="Q88" s="138" t="s">
        <v>603</v>
      </c>
      <c r="R88" s="138" t="s">
        <v>604</v>
      </c>
      <c r="S88" s="138" t="s">
        <v>605</v>
      </c>
      <c r="T88" s="138"/>
      <c r="U88" s="138"/>
      <c r="V88" s="138"/>
      <c r="W88" s="138"/>
      <c r="X88" s="138"/>
      <c r="Y88" s="138"/>
      <c r="Z88" s="138"/>
      <c r="AA88" s="138"/>
      <c r="AB88" s="138"/>
      <c r="AC88" s="138"/>
      <c r="AD88" s="138"/>
      <c r="AE88" s="138"/>
      <c r="AF88" s="138"/>
      <c r="AG88" s="138"/>
      <c r="AH88" s="138"/>
      <c r="AI88" s="138"/>
      <c r="AJ88" s="138"/>
      <c r="AK88" s="138"/>
      <c r="AL88" s="138"/>
      <c r="AM88" s="138"/>
    </row>
    <row r="89" spans="1:39" ht="108">
      <c r="A89" s="137">
        <v>87</v>
      </c>
      <c r="B89" s="137">
        <v>3</v>
      </c>
      <c r="C89" s="137">
        <v>4</v>
      </c>
      <c r="D89" s="137">
        <v>1</v>
      </c>
      <c r="E89" s="137">
        <v>2</v>
      </c>
      <c r="F89" s="137">
        <v>1</v>
      </c>
      <c r="G89" s="138" t="s">
        <v>606</v>
      </c>
      <c r="H89" s="138" t="s">
        <v>607</v>
      </c>
      <c r="I89" s="138" t="s">
        <v>2547</v>
      </c>
      <c r="J89" s="137" t="s">
        <v>83</v>
      </c>
      <c r="K89" s="137" t="s">
        <v>84</v>
      </c>
      <c r="L89" s="137" t="s">
        <v>84</v>
      </c>
      <c r="M89" s="137" t="s">
        <v>84</v>
      </c>
      <c r="N89" s="137" t="s">
        <v>611</v>
      </c>
      <c r="O89" s="137" t="s">
        <v>612</v>
      </c>
      <c r="P89" s="138" t="s">
        <v>2720</v>
      </c>
      <c r="Q89" s="138" t="s">
        <v>608</v>
      </c>
      <c r="R89" s="138" t="s">
        <v>609</v>
      </c>
      <c r="S89" s="138" t="s">
        <v>610</v>
      </c>
      <c r="T89" s="138"/>
      <c r="U89" s="138"/>
      <c r="V89" s="138"/>
      <c r="W89" s="138"/>
      <c r="X89" s="138"/>
      <c r="Y89" s="138"/>
      <c r="Z89" s="138"/>
      <c r="AA89" s="138"/>
      <c r="AB89" s="138"/>
      <c r="AC89" s="138"/>
      <c r="AD89" s="138"/>
      <c r="AE89" s="138"/>
      <c r="AF89" s="138"/>
      <c r="AG89" s="138"/>
      <c r="AH89" s="138"/>
      <c r="AI89" s="138"/>
      <c r="AJ89" s="138"/>
      <c r="AK89" s="138"/>
      <c r="AL89" s="138"/>
      <c r="AM89" s="138"/>
    </row>
    <row r="90" spans="1:39" ht="91.8">
      <c r="A90" s="137">
        <v>88</v>
      </c>
      <c r="B90" s="137">
        <v>3</v>
      </c>
      <c r="C90" s="137">
        <v>4</v>
      </c>
      <c r="D90" s="137">
        <v>1</v>
      </c>
      <c r="E90" s="137">
        <v>3</v>
      </c>
      <c r="F90" s="137">
        <v>0</v>
      </c>
      <c r="G90" s="138" t="s">
        <v>613</v>
      </c>
      <c r="H90" s="138" t="s">
        <v>614</v>
      </c>
      <c r="I90" s="138" t="s">
        <v>2548</v>
      </c>
      <c r="J90" s="137" t="s">
        <v>83</v>
      </c>
      <c r="K90" s="137" t="s">
        <v>84</v>
      </c>
      <c r="L90" s="137" t="s">
        <v>84</v>
      </c>
      <c r="M90" s="137" t="s">
        <v>84</v>
      </c>
      <c r="N90" s="137" t="s">
        <v>618</v>
      </c>
      <c r="O90" s="137" t="s">
        <v>303</v>
      </c>
      <c r="P90" s="138" t="s">
        <v>2549</v>
      </c>
      <c r="Q90" s="138" t="s">
        <v>615</v>
      </c>
      <c r="R90" s="138" t="s">
        <v>616</v>
      </c>
      <c r="S90" s="138" t="s">
        <v>617</v>
      </c>
      <c r="T90" s="138"/>
      <c r="U90" s="138"/>
      <c r="V90" s="138"/>
      <c r="W90" s="138"/>
      <c r="X90" s="138"/>
      <c r="Y90" s="138"/>
      <c r="Z90" s="138"/>
      <c r="AA90" s="138"/>
      <c r="AB90" s="138"/>
      <c r="AC90" s="138"/>
      <c r="AD90" s="138"/>
      <c r="AE90" s="138"/>
      <c r="AF90" s="138"/>
      <c r="AG90" s="138"/>
      <c r="AH90" s="138"/>
      <c r="AI90" s="138"/>
      <c r="AJ90" s="138"/>
      <c r="AK90" s="138"/>
      <c r="AL90" s="138"/>
      <c r="AM90" s="138"/>
    </row>
    <row r="91" spans="1:39" ht="64.8">
      <c r="A91" s="137">
        <v>89</v>
      </c>
      <c r="B91" s="137">
        <v>3</v>
      </c>
      <c r="C91" s="137">
        <v>4</v>
      </c>
      <c r="D91" s="137">
        <v>1</v>
      </c>
      <c r="E91" s="137">
        <v>4</v>
      </c>
      <c r="F91" s="137">
        <v>0</v>
      </c>
      <c r="G91" s="138" t="s">
        <v>619</v>
      </c>
      <c r="H91" s="138" t="s">
        <v>620</v>
      </c>
      <c r="I91" s="138" t="s">
        <v>2550</v>
      </c>
      <c r="J91" s="137" t="s">
        <v>83</v>
      </c>
      <c r="K91" s="137" t="s">
        <v>84</v>
      </c>
      <c r="L91" s="137" t="s">
        <v>84</v>
      </c>
      <c r="M91" s="137" t="s">
        <v>84</v>
      </c>
      <c r="N91" s="137" t="s">
        <v>229</v>
      </c>
      <c r="O91" s="137" t="s">
        <v>229</v>
      </c>
      <c r="P91" s="138" t="s">
        <v>2551</v>
      </c>
      <c r="Q91" s="138" t="s">
        <v>621</v>
      </c>
      <c r="R91" s="138" t="s">
        <v>622</v>
      </c>
      <c r="S91" s="138" t="s">
        <v>623</v>
      </c>
      <c r="T91" s="138"/>
      <c r="U91" s="138"/>
      <c r="V91" s="138"/>
      <c r="W91" s="138"/>
      <c r="X91" s="138"/>
      <c r="Y91" s="138"/>
      <c r="Z91" s="138"/>
      <c r="AA91" s="138"/>
      <c r="AB91" s="138"/>
      <c r="AC91" s="138"/>
      <c r="AD91" s="138"/>
      <c r="AE91" s="138"/>
      <c r="AF91" s="138"/>
      <c r="AG91" s="138"/>
      <c r="AH91" s="138"/>
      <c r="AI91" s="138"/>
      <c r="AJ91" s="138"/>
      <c r="AK91" s="138"/>
      <c r="AL91" s="138"/>
      <c r="AM91" s="138"/>
    </row>
    <row r="92" spans="1:39" ht="43.2">
      <c r="A92" s="137">
        <v>90</v>
      </c>
      <c r="B92" s="137">
        <v>3</v>
      </c>
      <c r="C92" s="137">
        <v>4</v>
      </c>
      <c r="D92" s="137">
        <v>1</v>
      </c>
      <c r="E92" s="137">
        <v>5</v>
      </c>
      <c r="F92" s="137">
        <v>0</v>
      </c>
      <c r="G92" s="138" t="s">
        <v>624</v>
      </c>
      <c r="H92" s="138" t="s">
        <v>625</v>
      </c>
      <c r="I92" s="138" t="s">
        <v>2552</v>
      </c>
      <c r="J92" s="137" t="s">
        <v>83</v>
      </c>
      <c r="K92" s="137" t="s">
        <v>84</v>
      </c>
      <c r="L92" s="137" t="s">
        <v>84</v>
      </c>
      <c r="M92" s="137" t="s">
        <v>84</v>
      </c>
      <c r="N92" s="137" t="s">
        <v>229</v>
      </c>
      <c r="O92" s="137" t="s">
        <v>612</v>
      </c>
      <c r="P92" s="138" t="s">
        <v>2553</v>
      </c>
      <c r="Q92" s="138" t="s">
        <v>626</v>
      </c>
      <c r="R92" s="138" t="s">
        <v>627</v>
      </c>
      <c r="S92" s="138" t="s">
        <v>628</v>
      </c>
      <c r="T92" s="138"/>
      <c r="U92" s="138"/>
      <c r="V92" s="138"/>
      <c r="W92" s="138"/>
      <c r="X92" s="138"/>
      <c r="Y92" s="138"/>
      <c r="Z92" s="138"/>
      <c r="AA92" s="138"/>
      <c r="AB92" s="138"/>
      <c r="AC92" s="138"/>
      <c r="AD92" s="138"/>
      <c r="AE92" s="138"/>
      <c r="AF92" s="138"/>
      <c r="AG92" s="138"/>
      <c r="AH92" s="138"/>
      <c r="AI92" s="138"/>
      <c r="AJ92" s="138"/>
      <c r="AK92" s="138"/>
      <c r="AL92" s="138"/>
      <c r="AM92" s="138"/>
    </row>
    <row r="93" spans="1:39" ht="81">
      <c r="A93" s="137">
        <v>91</v>
      </c>
      <c r="B93" s="137">
        <v>3</v>
      </c>
      <c r="C93" s="137">
        <v>4</v>
      </c>
      <c r="D93" s="137">
        <v>1</v>
      </c>
      <c r="E93" s="137">
        <v>5</v>
      </c>
      <c r="F93" s="137">
        <v>1</v>
      </c>
      <c r="G93" s="138" t="s">
        <v>629</v>
      </c>
      <c r="H93" s="138" t="s">
        <v>630</v>
      </c>
      <c r="I93" s="138" t="s">
        <v>2554</v>
      </c>
      <c r="J93" s="137" t="s">
        <v>83</v>
      </c>
      <c r="K93" s="137" t="s">
        <v>84</v>
      </c>
      <c r="L93" s="137" t="s">
        <v>84</v>
      </c>
      <c r="M93" s="137" t="s">
        <v>84</v>
      </c>
      <c r="N93" s="137" t="s">
        <v>229</v>
      </c>
      <c r="O93" s="137" t="s">
        <v>612</v>
      </c>
      <c r="P93" s="138" t="s">
        <v>2555</v>
      </c>
      <c r="Q93" s="138" t="s">
        <v>631</v>
      </c>
      <c r="R93" s="138" t="s">
        <v>632</v>
      </c>
      <c r="S93" s="138" t="s">
        <v>2556</v>
      </c>
      <c r="T93" s="138"/>
      <c r="U93" s="138"/>
      <c r="V93" s="138"/>
      <c r="W93" s="138"/>
      <c r="X93" s="138"/>
      <c r="Y93" s="138"/>
      <c r="Z93" s="138"/>
      <c r="AA93" s="138"/>
      <c r="AB93" s="138"/>
      <c r="AC93" s="138"/>
      <c r="AD93" s="138"/>
      <c r="AE93" s="138"/>
      <c r="AF93" s="138"/>
      <c r="AG93" s="138"/>
      <c r="AH93" s="138"/>
      <c r="AI93" s="138"/>
      <c r="AJ93" s="138"/>
      <c r="AK93" s="138"/>
      <c r="AL93" s="138"/>
      <c r="AM93" s="138"/>
    </row>
    <row r="94" spans="1:39" ht="59.4">
      <c r="A94" s="137">
        <v>92</v>
      </c>
      <c r="B94" s="137">
        <v>3</v>
      </c>
      <c r="C94" s="137">
        <v>4</v>
      </c>
      <c r="D94" s="137">
        <v>1</v>
      </c>
      <c r="E94" s="137">
        <v>5</v>
      </c>
      <c r="F94" s="137">
        <v>2</v>
      </c>
      <c r="G94" s="138" t="s">
        <v>633</v>
      </c>
      <c r="H94" s="138" t="s">
        <v>634</v>
      </c>
      <c r="I94" s="138" t="s">
        <v>2557</v>
      </c>
      <c r="J94" s="137" t="s">
        <v>83</v>
      </c>
      <c r="K94" s="137" t="s">
        <v>84</v>
      </c>
      <c r="L94" s="137" t="s">
        <v>84</v>
      </c>
      <c r="M94" s="137" t="s">
        <v>84</v>
      </c>
      <c r="N94" s="137" t="s">
        <v>229</v>
      </c>
      <c r="O94" s="137" t="s">
        <v>612</v>
      </c>
      <c r="P94" s="138" t="s">
        <v>2558</v>
      </c>
      <c r="Q94" s="138" t="s">
        <v>635</v>
      </c>
      <c r="R94" s="138" t="s">
        <v>636</v>
      </c>
      <c r="S94" s="138" t="s">
        <v>637</v>
      </c>
      <c r="T94" s="138"/>
      <c r="U94" s="138"/>
      <c r="V94" s="138"/>
      <c r="W94" s="138"/>
      <c r="X94" s="138"/>
      <c r="Y94" s="138"/>
      <c r="Z94" s="138"/>
      <c r="AA94" s="138"/>
      <c r="AB94" s="138"/>
      <c r="AC94" s="138"/>
      <c r="AD94" s="138"/>
      <c r="AE94" s="138"/>
      <c r="AF94" s="138"/>
      <c r="AG94" s="138"/>
      <c r="AH94" s="138"/>
      <c r="AI94" s="138"/>
      <c r="AJ94" s="138"/>
      <c r="AK94" s="138"/>
      <c r="AL94" s="138"/>
      <c r="AM94" s="138"/>
    </row>
    <row r="95" spans="1:39" ht="48.6">
      <c r="A95" s="137">
        <v>93</v>
      </c>
      <c r="B95" s="137">
        <v>3</v>
      </c>
      <c r="C95" s="137">
        <v>4</v>
      </c>
      <c r="D95" s="137">
        <v>1</v>
      </c>
      <c r="E95" s="137">
        <v>5</v>
      </c>
      <c r="F95" s="137">
        <v>3</v>
      </c>
      <c r="G95" s="138" t="s">
        <v>638</v>
      </c>
      <c r="H95" s="138" t="s">
        <v>639</v>
      </c>
      <c r="I95" s="138" t="s">
        <v>2721</v>
      </c>
      <c r="J95" s="137" t="s">
        <v>83</v>
      </c>
      <c r="K95" s="137" t="s">
        <v>84</v>
      </c>
      <c r="L95" s="137" t="s">
        <v>84</v>
      </c>
      <c r="M95" s="137" t="s">
        <v>84</v>
      </c>
      <c r="N95" s="137" t="s">
        <v>229</v>
      </c>
      <c r="O95" s="137" t="s">
        <v>612</v>
      </c>
      <c r="P95" s="138" t="s">
        <v>2559</v>
      </c>
      <c r="Q95" s="138" t="s">
        <v>640</v>
      </c>
      <c r="R95" s="138" t="s">
        <v>641</v>
      </c>
      <c r="S95" s="138" t="s">
        <v>642</v>
      </c>
      <c r="T95" s="138"/>
      <c r="U95" s="138"/>
      <c r="V95" s="138"/>
      <c r="W95" s="138"/>
      <c r="X95" s="138"/>
      <c r="Y95" s="138"/>
      <c r="Z95" s="138"/>
      <c r="AA95" s="138"/>
      <c r="AB95" s="138"/>
      <c r="AC95" s="138"/>
      <c r="AD95" s="138"/>
      <c r="AE95" s="138"/>
      <c r="AF95" s="138"/>
      <c r="AG95" s="138"/>
      <c r="AH95" s="138"/>
      <c r="AI95" s="138"/>
      <c r="AJ95" s="138"/>
      <c r="AK95" s="138"/>
      <c r="AL95" s="138"/>
      <c r="AM95" s="138"/>
    </row>
    <row r="96" spans="1:39" ht="86.4">
      <c r="A96" s="137">
        <v>94</v>
      </c>
      <c r="B96" s="137">
        <v>3</v>
      </c>
      <c r="C96" s="137">
        <v>4</v>
      </c>
      <c r="D96" s="137">
        <v>1</v>
      </c>
      <c r="E96" s="137">
        <v>6</v>
      </c>
      <c r="F96" s="137">
        <v>0</v>
      </c>
      <c r="G96" s="138" t="s">
        <v>643</v>
      </c>
      <c r="H96" s="138" t="s">
        <v>644</v>
      </c>
      <c r="I96" s="138" t="s">
        <v>2722</v>
      </c>
      <c r="J96" s="137" t="s">
        <v>83</v>
      </c>
      <c r="K96" s="137" t="s">
        <v>84</v>
      </c>
      <c r="L96" s="137" t="s">
        <v>84</v>
      </c>
      <c r="M96" s="137" t="s">
        <v>84</v>
      </c>
      <c r="N96" s="137" t="s">
        <v>229</v>
      </c>
      <c r="O96" s="137" t="s">
        <v>612</v>
      </c>
      <c r="P96" s="138" t="s">
        <v>2723</v>
      </c>
      <c r="Q96" s="138" t="s">
        <v>645</v>
      </c>
      <c r="R96" s="138" t="s">
        <v>2560</v>
      </c>
      <c r="S96" s="138" t="s">
        <v>2724</v>
      </c>
      <c r="T96" s="138"/>
      <c r="U96" s="138"/>
      <c r="V96" s="138"/>
      <c r="W96" s="138"/>
      <c r="X96" s="138"/>
      <c r="Y96" s="138"/>
      <c r="Z96" s="138"/>
      <c r="AA96" s="138"/>
      <c r="AB96" s="138"/>
      <c r="AC96" s="138"/>
      <c r="AD96" s="138"/>
      <c r="AE96" s="138"/>
      <c r="AF96" s="138"/>
      <c r="AG96" s="138"/>
      <c r="AH96" s="138"/>
      <c r="AI96" s="138"/>
      <c r="AJ96" s="138"/>
      <c r="AK96" s="138"/>
      <c r="AL96" s="138"/>
      <c r="AM96" s="138"/>
    </row>
    <row r="97" spans="1:39" ht="21.6">
      <c r="A97" s="137">
        <v>95</v>
      </c>
      <c r="B97" s="137">
        <v>3</v>
      </c>
      <c r="C97" s="137">
        <v>4</v>
      </c>
      <c r="D97" s="137">
        <v>1</v>
      </c>
      <c r="E97" s="137">
        <v>6</v>
      </c>
      <c r="F97" s="137">
        <v>1</v>
      </c>
      <c r="G97" s="138" t="s">
        <v>646</v>
      </c>
      <c r="H97" s="138" t="s">
        <v>647</v>
      </c>
      <c r="I97" s="138" t="s">
        <v>648</v>
      </c>
      <c r="J97" s="137" t="s">
        <v>83</v>
      </c>
      <c r="K97" s="137" t="s">
        <v>84</v>
      </c>
      <c r="L97" s="137" t="s">
        <v>84</v>
      </c>
      <c r="M97" s="137" t="s">
        <v>84</v>
      </c>
      <c r="N97" s="137" t="s">
        <v>229</v>
      </c>
      <c r="O97" s="137" t="s">
        <v>303</v>
      </c>
      <c r="P97" s="138" t="s">
        <v>652</v>
      </c>
      <c r="Q97" s="138" t="s">
        <v>649</v>
      </c>
      <c r="R97" s="138" t="s">
        <v>650</v>
      </c>
      <c r="S97" s="138" t="s">
        <v>651</v>
      </c>
      <c r="T97" s="138"/>
      <c r="U97" s="138"/>
      <c r="V97" s="138"/>
      <c r="W97" s="138"/>
      <c r="X97" s="138"/>
      <c r="Y97" s="138"/>
      <c r="Z97" s="138"/>
      <c r="AA97" s="138"/>
      <c r="AB97" s="138"/>
      <c r="AC97" s="138"/>
      <c r="AD97" s="138"/>
      <c r="AE97" s="138"/>
      <c r="AF97" s="138"/>
      <c r="AG97" s="138"/>
      <c r="AH97" s="138"/>
      <c r="AI97" s="138"/>
      <c r="AJ97" s="138"/>
      <c r="AK97" s="138"/>
      <c r="AL97" s="138"/>
      <c r="AM97" s="138"/>
    </row>
    <row r="98" spans="1:39" ht="102.6">
      <c r="A98" s="137">
        <v>96</v>
      </c>
      <c r="B98" s="137">
        <v>3</v>
      </c>
      <c r="C98" s="137">
        <v>4</v>
      </c>
      <c r="D98" s="137">
        <v>1</v>
      </c>
      <c r="E98" s="137">
        <v>6</v>
      </c>
      <c r="F98" s="137">
        <v>2</v>
      </c>
      <c r="G98" s="138" t="s">
        <v>653</v>
      </c>
      <c r="H98" s="138" t="s">
        <v>654</v>
      </c>
      <c r="I98" s="138" t="s">
        <v>2725</v>
      </c>
      <c r="J98" s="137" t="s">
        <v>83</v>
      </c>
      <c r="K98" s="137" t="s">
        <v>84</v>
      </c>
      <c r="L98" s="137" t="s">
        <v>84</v>
      </c>
      <c r="M98" s="137" t="s">
        <v>84</v>
      </c>
      <c r="N98" s="137" t="s">
        <v>229</v>
      </c>
      <c r="O98" s="137" t="s">
        <v>303</v>
      </c>
      <c r="P98" s="138" t="s">
        <v>2726</v>
      </c>
      <c r="Q98" s="138" t="s">
        <v>655</v>
      </c>
      <c r="R98" s="138" t="s">
        <v>656</v>
      </c>
      <c r="S98" s="138" t="s">
        <v>657</v>
      </c>
      <c r="T98" s="138"/>
      <c r="U98" s="138"/>
      <c r="V98" s="138"/>
      <c r="W98" s="138"/>
      <c r="X98" s="138"/>
      <c r="Y98" s="138"/>
      <c r="Z98" s="138"/>
      <c r="AA98" s="138"/>
      <c r="AB98" s="138"/>
      <c r="AC98" s="138"/>
      <c r="AD98" s="138"/>
      <c r="AE98" s="138"/>
      <c r="AF98" s="138"/>
      <c r="AG98" s="138"/>
      <c r="AH98" s="138"/>
      <c r="AI98" s="138"/>
      <c r="AJ98" s="138"/>
      <c r="AK98" s="138"/>
      <c r="AL98" s="138"/>
      <c r="AM98" s="138"/>
    </row>
    <row r="99" spans="1:39" ht="216">
      <c r="A99" s="137">
        <v>97</v>
      </c>
      <c r="B99" s="137">
        <v>3</v>
      </c>
      <c r="C99" s="137">
        <v>4</v>
      </c>
      <c r="D99" s="137">
        <v>1</v>
      </c>
      <c r="E99" s="137">
        <v>6</v>
      </c>
      <c r="F99" s="137">
        <v>3</v>
      </c>
      <c r="G99" s="138" t="s">
        <v>658</v>
      </c>
      <c r="H99" s="138" t="s">
        <v>659</v>
      </c>
      <c r="I99" s="138" t="s">
        <v>660</v>
      </c>
      <c r="J99" s="137" t="s">
        <v>83</v>
      </c>
      <c r="K99" s="137" t="s">
        <v>84</v>
      </c>
      <c r="L99" s="137" t="s">
        <v>84</v>
      </c>
      <c r="M99" s="137" t="s">
        <v>84</v>
      </c>
      <c r="N99" s="137" t="s">
        <v>229</v>
      </c>
      <c r="O99" s="137" t="s">
        <v>303</v>
      </c>
      <c r="P99" s="138" t="s">
        <v>664</v>
      </c>
      <c r="Q99" s="138" t="s">
        <v>661</v>
      </c>
      <c r="R99" s="138" t="s">
        <v>662</v>
      </c>
      <c r="S99" s="138" t="s">
        <v>663</v>
      </c>
      <c r="T99" s="138"/>
      <c r="U99" s="138"/>
      <c r="V99" s="138"/>
      <c r="W99" s="138"/>
      <c r="X99" s="138"/>
      <c r="Y99" s="138"/>
      <c r="Z99" s="138"/>
      <c r="AA99" s="138"/>
      <c r="AB99" s="138"/>
      <c r="AC99" s="138"/>
      <c r="AD99" s="138"/>
      <c r="AE99" s="138"/>
      <c r="AF99" s="138"/>
      <c r="AG99" s="138"/>
      <c r="AH99" s="138"/>
      <c r="AI99" s="138"/>
      <c r="AJ99" s="138"/>
      <c r="AK99" s="138"/>
      <c r="AL99" s="138"/>
      <c r="AM99" s="138"/>
    </row>
    <row r="100" spans="1:39" ht="86.4">
      <c r="A100" s="137">
        <v>98</v>
      </c>
      <c r="B100" s="137">
        <v>3</v>
      </c>
      <c r="C100" s="137">
        <v>4</v>
      </c>
      <c r="D100" s="137">
        <v>1</v>
      </c>
      <c r="E100" s="137">
        <v>6</v>
      </c>
      <c r="F100" s="137">
        <v>4</v>
      </c>
      <c r="G100" s="138" t="s">
        <v>665</v>
      </c>
      <c r="H100" s="138" t="s">
        <v>666</v>
      </c>
      <c r="I100" s="138" t="s">
        <v>667</v>
      </c>
      <c r="J100" s="137" t="s">
        <v>83</v>
      </c>
      <c r="K100" s="137" t="s">
        <v>84</v>
      </c>
      <c r="L100" s="137" t="s">
        <v>84</v>
      </c>
      <c r="M100" s="137" t="s">
        <v>84</v>
      </c>
      <c r="N100" s="137" t="s">
        <v>229</v>
      </c>
      <c r="O100" s="137" t="s">
        <v>303</v>
      </c>
      <c r="P100" s="138" t="s">
        <v>2727</v>
      </c>
      <c r="Q100" s="138" t="s">
        <v>668</v>
      </c>
      <c r="R100" s="138" t="s">
        <v>669</v>
      </c>
      <c r="S100" s="138" t="s">
        <v>670</v>
      </c>
      <c r="T100" s="138"/>
      <c r="U100" s="138"/>
      <c r="V100" s="138"/>
      <c r="W100" s="138"/>
      <c r="X100" s="138"/>
      <c r="Y100" s="138"/>
      <c r="Z100" s="138"/>
      <c r="AA100" s="138"/>
      <c r="AB100" s="138"/>
      <c r="AC100" s="138"/>
      <c r="AD100" s="138"/>
      <c r="AE100" s="138"/>
      <c r="AF100" s="138"/>
      <c r="AG100" s="138"/>
      <c r="AH100" s="138"/>
      <c r="AI100" s="138"/>
      <c r="AJ100" s="138"/>
      <c r="AK100" s="138"/>
      <c r="AL100" s="138"/>
      <c r="AM100" s="138"/>
    </row>
    <row r="101" spans="1:39" ht="108">
      <c r="A101" s="137">
        <v>99</v>
      </c>
      <c r="B101" s="137">
        <v>3</v>
      </c>
      <c r="C101" s="137">
        <v>4</v>
      </c>
      <c r="D101" s="137">
        <v>1</v>
      </c>
      <c r="E101" s="137">
        <v>6</v>
      </c>
      <c r="F101" s="137">
        <v>5</v>
      </c>
      <c r="G101" s="138" t="s">
        <v>671</v>
      </c>
      <c r="H101" s="138" t="s">
        <v>672</v>
      </c>
      <c r="I101" s="138" t="s">
        <v>2561</v>
      </c>
      <c r="J101" s="137" t="s">
        <v>83</v>
      </c>
      <c r="K101" s="137" t="s">
        <v>84</v>
      </c>
      <c r="L101" s="137" t="s">
        <v>84</v>
      </c>
      <c r="M101" s="137" t="s">
        <v>84</v>
      </c>
      <c r="N101" s="137" t="s">
        <v>229</v>
      </c>
      <c r="O101" s="137" t="s">
        <v>84</v>
      </c>
      <c r="P101" s="138" t="s">
        <v>2728</v>
      </c>
      <c r="Q101" s="138" t="s">
        <v>673</v>
      </c>
      <c r="R101" s="138" t="s">
        <v>2729</v>
      </c>
      <c r="S101" s="138" t="s">
        <v>674</v>
      </c>
      <c r="T101" s="138"/>
      <c r="U101" s="138"/>
      <c r="V101" s="138"/>
      <c r="W101" s="138"/>
      <c r="X101" s="138"/>
      <c r="Y101" s="138"/>
      <c r="Z101" s="138"/>
      <c r="AA101" s="138"/>
      <c r="AB101" s="138"/>
      <c r="AC101" s="138"/>
      <c r="AD101" s="138"/>
      <c r="AE101" s="138"/>
      <c r="AF101" s="138"/>
      <c r="AG101" s="138"/>
      <c r="AH101" s="138"/>
      <c r="AI101" s="138"/>
      <c r="AJ101" s="138"/>
      <c r="AK101" s="138"/>
      <c r="AL101" s="138"/>
      <c r="AM101" s="138"/>
    </row>
    <row r="102" spans="1:39" ht="94.2">
      <c r="A102" s="137">
        <v>100</v>
      </c>
      <c r="B102" s="137">
        <v>3</v>
      </c>
      <c r="C102" s="137">
        <v>4</v>
      </c>
      <c r="D102" s="137">
        <v>1</v>
      </c>
      <c r="E102" s="137">
        <v>6</v>
      </c>
      <c r="F102" s="137">
        <v>6</v>
      </c>
      <c r="G102" s="138" t="s">
        <v>675</v>
      </c>
      <c r="H102" s="138" t="s">
        <v>2562</v>
      </c>
      <c r="I102" s="138" t="s">
        <v>676</v>
      </c>
      <c r="J102" s="137" t="s">
        <v>83</v>
      </c>
      <c r="K102" s="137" t="s">
        <v>84</v>
      </c>
      <c r="L102" s="137" t="s">
        <v>84</v>
      </c>
      <c r="M102" s="137" t="s">
        <v>84</v>
      </c>
      <c r="N102" s="137" t="s">
        <v>229</v>
      </c>
      <c r="O102" s="137" t="s">
        <v>303</v>
      </c>
      <c r="P102" s="138" t="s">
        <v>2730</v>
      </c>
      <c r="Q102" s="138" t="s">
        <v>677</v>
      </c>
      <c r="R102" s="138" t="s">
        <v>2563</v>
      </c>
      <c r="S102" s="138" t="s">
        <v>2564</v>
      </c>
      <c r="T102" s="138"/>
      <c r="U102" s="138"/>
      <c r="V102" s="138"/>
      <c r="W102" s="138"/>
      <c r="X102" s="138"/>
      <c r="Y102" s="138"/>
      <c r="Z102" s="138"/>
      <c r="AA102" s="138"/>
      <c r="AB102" s="138"/>
      <c r="AC102" s="138"/>
      <c r="AD102" s="138"/>
      <c r="AE102" s="138"/>
      <c r="AF102" s="138"/>
      <c r="AG102" s="138"/>
      <c r="AH102" s="138"/>
      <c r="AI102" s="138"/>
      <c r="AJ102" s="138"/>
      <c r="AK102" s="138"/>
      <c r="AL102" s="138"/>
      <c r="AM102" s="138"/>
    </row>
    <row r="103" spans="1:39" ht="21.6">
      <c r="A103" s="137">
        <v>101</v>
      </c>
      <c r="B103" s="137">
        <v>3</v>
      </c>
      <c r="C103" s="137">
        <v>4</v>
      </c>
      <c r="D103" s="137">
        <v>1</v>
      </c>
      <c r="E103" s="137">
        <v>6</v>
      </c>
      <c r="F103" s="137">
        <v>7</v>
      </c>
      <c r="G103" s="138" t="s">
        <v>678</v>
      </c>
      <c r="H103" s="138" t="s">
        <v>679</v>
      </c>
      <c r="I103" s="138" t="s">
        <v>680</v>
      </c>
      <c r="J103" s="137" t="s">
        <v>83</v>
      </c>
      <c r="K103" s="137" t="s">
        <v>84</v>
      </c>
      <c r="L103" s="137" t="s">
        <v>84</v>
      </c>
      <c r="M103" s="137" t="s">
        <v>84</v>
      </c>
      <c r="N103" s="137" t="s">
        <v>229</v>
      </c>
      <c r="O103" s="137" t="s">
        <v>303</v>
      </c>
      <c r="P103" s="138" t="s">
        <v>683</v>
      </c>
      <c r="Q103" s="138" t="s">
        <v>681</v>
      </c>
      <c r="R103" s="138" t="s">
        <v>2565</v>
      </c>
      <c r="S103" s="138" t="s">
        <v>682</v>
      </c>
      <c r="T103" s="138"/>
      <c r="U103" s="138"/>
      <c r="V103" s="138"/>
      <c r="W103" s="138"/>
      <c r="X103" s="138"/>
      <c r="Y103" s="138"/>
      <c r="Z103" s="138"/>
      <c r="AA103" s="138"/>
      <c r="AB103" s="138"/>
      <c r="AC103" s="138"/>
      <c r="AD103" s="138"/>
      <c r="AE103" s="138"/>
      <c r="AF103" s="138"/>
      <c r="AG103" s="138"/>
      <c r="AH103" s="138"/>
      <c r="AI103" s="138"/>
      <c r="AJ103" s="138"/>
      <c r="AK103" s="138"/>
      <c r="AL103" s="138"/>
      <c r="AM103" s="138"/>
    </row>
    <row r="104" spans="1:39" ht="21.6">
      <c r="A104" s="137">
        <v>102</v>
      </c>
      <c r="B104" s="137">
        <v>3</v>
      </c>
      <c r="C104" s="137">
        <v>4</v>
      </c>
      <c r="D104" s="137">
        <v>1</v>
      </c>
      <c r="E104" s="137">
        <v>6</v>
      </c>
      <c r="F104" s="137">
        <v>8</v>
      </c>
      <c r="G104" s="138" t="s">
        <v>684</v>
      </c>
      <c r="H104" s="138" t="s">
        <v>685</v>
      </c>
      <c r="I104" s="138" t="s">
        <v>2566</v>
      </c>
      <c r="J104" s="137" t="s">
        <v>83</v>
      </c>
      <c r="K104" s="137" t="s">
        <v>84</v>
      </c>
      <c r="L104" s="137" t="s">
        <v>84</v>
      </c>
      <c r="M104" s="137" t="s">
        <v>84</v>
      </c>
      <c r="N104" s="137" t="s">
        <v>229</v>
      </c>
      <c r="O104" s="137" t="s">
        <v>382</v>
      </c>
      <c r="P104" s="138" t="s">
        <v>688</v>
      </c>
      <c r="Q104" s="138" t="s">
        <v>686</v>
      </c>
      <c r="R104" s="138" t="s">
        <v>2567</v>
      </c>
      <c r="S104" s="138" t="s">
        <v>687</v>
      </c>
      <c r="T104" s="138"/>
      <c r="U104" s="138"/>
      <c r="V104" s="138"/>
      <c r="W104" s="138"/>
      <c r="X104" s="138"/>
      <c r="Y104" s="138"/>
      <c r="Z104" s="138"/>
      <c r="AA104" s="138"/>
      <c r="AB104" s="138"/>
      <c r="AC104" s="138"/>
      <c r="AD104" s="138"/>
      <c r="AE104" s="138"/>
      <c r="AF104" s="138"/>
      <c r="AG104" s="138"/>
      <c r="AH104" s="138"/>
      <c r="AI104" s="138"/>
      <c r="AJ104" s="138"/>
      <c r="AK104" s="138"/>
      <c r="AL104" s="138"/>
      <c r="AM104" s="138"/>
    </row>
    <row r="105" spans="1:39" ht="21.6">
      <c r="A105" s="137">
        <v>103</v>
      </c>
      <c r="B105" s="137">
        <v>3</v>
      </c>
      <c r="C105" s="137">
        <v>4</v>
      </c>
      <c r="D105" s="137">
        <v>1</v>
      </c>
      <c r="E105" s="137">
        <v>6</v>
      </c>
      <c r="F105" s="137">
        <v>9</v>
      </c>
      <c r="G105" s="138" t="s">
        <v>689</v>
      </c>
      <c r="H105" s="138" t="s">
        <v>690</v>
      </c>
      <c r="I105" s="138" t="s">
        <v>2568</v>
      </c>
      <c r="J105" s="137" t="s">
        <v>83</v>
      </c>
      <c r="K105" s="137" t="s">
        <v>84</v>
      </c>
      <c r="L105" s="137" t="s">
        <v>84</v>
      </c>
      <c r="M105" s="137" t="s">
        <v>84</v>
      </c>
      <c r="N105" s="137" t="s">
        <v>229</v>
      </c>
      <c r="O105" s="137" t="s">
        <v>511</v>
      </c>
      <c r="P105" s="138" t="s">
        <v>694</v>
      </c>
      <c r="Q105" s="138" t="s">
        <v>691</v>
      </c>
      <c r="R105" s="138" t="s">
        <v>692</v>
      </c>
      <c r="S105" s="138" t="s">
        <v>693</v>
      </c>
      <c r="T105" s="138"/>
      <c r="U105" s="138"/>
      <c r="V105" s="138"/>
      <c r="W105" s="138"/>
      <c r="X105" s="138"/>
      <c r="Y105" s="138"/>
      <c r="Z105" s="138"/>
      <c r="AA105" s="138"/>
      <c r="AB105" s="138"/>
      <c r="AC105" s="138"/>
      <c r="AD105" s="138"/>
      <c r="AE105" s="138"/>
      <c r="AF105" s="138"/>
      <c r="AG105" s="138"/>
      <c r="AH105" s="138"/>
      <c r="AI105" s="138"/>
      <c r="AJ105" s="138"/>
      <c r="AK105" s="138"/>
      <c r="AL105" s="138"/>
      <c r="AM105" s="138"/>
    </row>
    <row r="106" spans="1:39" ht="21.6">
      <c r="A106" s="137">
        <v>104</v>
      </c>
      <c r="B106" s="137">
        <v>3</v>
      </c>
      <c r="C106" s="137">
        <v>4</v>
      </c>
      <c r="D106" s="137">
        <v>1</v>
      </c>
      <c r="E106" s="137">
        <v>6</v>
      </c>
      <c r="F106" s="137">
        <v>10</v>
      </c>
      <c r="G106" s="138" t="s">
        <v>695</v>
      </c>
      <c r="H106" s="138" t="s">
        <v>696</v>
      </c>
      <c r="I106" s="138" t="s">
        <v>2569</v>
      </c>
      <c r="J106" s="137" t="s">
        <v>83</v>
      </c>
      <c r="K106" s="137" t="s">
        <v>84</v>
      </c>
      <c r="L106" s="137" t="s">
        <v>84</v>
      </c>
      <c r="M106" s="137" t="s">
        <v>84</v>
      </c>
      <c r="N106" s="137" t="s">
        <v>229</v>
      </c>
      <c r="O106" s="137" t="s">
        <v>84</v>
      </c>
      <c r="P106" s="138" t="s">
        <v>698</v>
      </c>
      <c r="Q106" s="138" t="s">
        <v>697</v>
      </c>
      <c r="R106" s="138" t="s">
        <v>2570</v>
      </c>
      <c r="S106" s="138" t="s">
        <v>2571</v>
      </c>
      <c r="T106" s="138"/>
      <c r="U106" s="138"/>
      <c r="V106" s="138"/>
      <c r="W106" s="138"/>
      <c r="X106" s="138"/>
      <c r="Y106" s="138"/>
      <c r="Z106" s="138"/>
      <c r="AA106" s="138"/>
      <c r="AB106" s="138"/>
      <c r="AC106" s="138"/>
      <c r="AD106" s="138"/>
      <c r="AE106" s="138"/>
      <c r="AF106" s="138"/>
      <c r="AG106" s="138"/>
      <c r="AH106" s="138"/>
      <c r="AI106" s="138"/>
      <c r="AJ106" s="138"/>
      <c r="AK106" s="138"/>
      <c r="AL106" s="138"/>
      <c r="AM106" s="138"/>
    </row>
    <row r="107" spans="1:39" ht="16.2">
      <c r="A107" s="137">
        <v>105</v>
      </c>
      <c r="B107" s="137">
        <v>3</v>
      </c>
      <c r="C107" s="137">
        <v>4</v>
      </c>
      <c r="D107" s="137">
        <v>1</v>
      </c>
      <c r="E107" s="137">
        <v>7</v>
      </c>
      <c r="F107" s="137">
        <v>0</v>
      </c>
      <c r="G107" s="138" t="s">
        <v>699</v>
      </c>
      <c r="H107" s="138" t="s">
        <v>700</v>
      </c>
      <c r="I107" s="138" t="s">
        <v>701</v>
      </c>
      <c r="J107" s="137" t="s">
        <v>83</v>
      </c>
      <c r="K107" s="137" t="s">
        <v>84</v>
      </c>
      <c r="L107" s="137" t="s">
        <v>84</v>
      </c>
      <c r="M107" s="137" t="s">
        <v>84</v>
      </c>
      <c r="N107" s="137" t="s">
        <v>705</v>
      </c>
      <c r="O107" s="137" t="s">
        <v>303</v>
      </c>
      <c r="P107" s="138" t="s">
        <v>2572</v>
      </c>
      <c r="Q107" s="138" t="s">
        <v>702</v>
      </c>
      <c r="R107" s="138" t="s">
        <v>703</v>
      </c>
      <c r="S107" s="138" t="s">
        <v>704</v>
      </c>
      <c r="T107" s="138"/>
      <c r="U107" s="138"/>
      <c r="V107" s="138"/>
      <c r="W107" s="138"/>
      <c r="X107" s="138"/>
      <c r="Y107" s="138"/>
      <c r="Z107" s="138"/>
      <c r="AA107" s="138"/>
      <c r="AB107" s="138"/>
      <c r="AC107" s="138"/>
      <c r="AD107" s="138"/>
      <c r="AE107" s="138"/>
      <c r="AF107" s="138"/>
      <c r="AG107" s="138"/>
      <c r="AH107" s="138"/>
      <c r="AI107" s="138"/>
      <c r="AJ107" s="138"/>
      <c r="AK107" s="138"/>
      <c r="AL107" s="138"/>
      <c r="AM107" s="138"/>
    </row>
    <row r="108" spans="1:39" ht="16.2">
      <c r="A108" s="137">
        <v>106</v>
      </c>
      <c r="B108" s="137">
        <v>3</v>
      </c>
      <c r="C108" s="137">
        <v>4</v>
      </c>
      <c r="D108" s="137">
        <v>1</v>
      </c>
      <c r="E108" s="137">
        <v>7</v>
      </c>
      <c r="F108" s="137">
        <v>1</v>
      </c>
      <c r="G108" s="138" t="s">
        <v>706</v>
      </c>
      <c r="H108" s="138" t="s">
        <v>707</v>
      </c>
      <c r="I108" s="138" t="s">
        <v>2573</v>
      </c>
      <c r="J108" s="137" t="s">
        <v>83</v>
      </c>
      <c r="K108" s="137" t="s">
        <v>84</v>
      </c>
      <c r="L108" s="137" t="s">
        <v>84</v>
      </c>
      <c r="M108" s="137" t="s">
        <v>84</v>
      </c>
      <c r="N108" s="137" t="s">
        <v>229</v>
      </c>
      <c r="O108" s="137" t="s">
        <v>84</v>
      </c>
      <c r="P108" s="138" t="s">
        <v>2574</v>
      </c>
      <c r="Q108" s="138" t="s">
        <v>708</v>
      </c>
      <c r="R108" s="138" t="s">
        <v>709</v>
      </c>
      <c r="S108" s="138" t="s">
        <v>710</v>
      </c>
      <c r="T108" s="138"/>
      <c r="U108" s="138"/>
      <c r="V108" s="138"/>
      <c r="W108" s="138"/>
      <c r="X108" s="138"/>
      <c r="Y108" s="138"/>
      <c r="Z108" s="138"/>
      <c r="AA108" s="138"/>
      <c r="AB108" s="138"/>
      <c r="AC108" s="138"/>
      <c r="AD108" s="138"/>
      <c r="AE108" s="138"/>
      <c r="AF108" s="138"/>
      <c r="AG108" s="138"/>
      <c r="AH108" s="138"/>
      <c r="AI108" s="138"/>
      <c r="AJ108" s="138"/>
      <c r="AK108" s="138"/>
      <c r="AL108" s="138"/>
      <c r="AM108" s="138"/>
    </row>
    <row r="109" spans="1:39" ht="16.2">
      <c r="A109" s="137">
        <v>107</v>
      </c>
      <c r="B109" s="137">
        <v>3</v>
      </c>
      <c r="C109" s="137">
        <v>4</v>
      </c>
      <c r="D109" s="137">
        <v>1</v>
      </c>
      <c r="E109" s="137">
        <v>7</v>
      </c>
      <c r="F109" s="137">
        <v>2</v>
      </c>
      <c r="G109" s="138" t="s">
        <v>711</v>
      </c>
      <c r="H109" s="138" t="s">
        <v>712</v>
      </c>
      <c r="I109" s="138" t="s">
        <v>2575</v>
      </c>
      <c r="J109" s="137" t="s">
        <v>83</v>
      </c>
      <c r="K109" s="137" t="s">
        <v>84</v>
      </c>
      <c r="L109" s="137" t="s">
        <v>84</v>
      </c>
      <c r="M109" s="137" t="s">
        <v>84</v>
      </c>
      <c r="N109" s="137" t="s">
        <v>229</v>
      </c>
      <c r="O109" s="137" t="s">
        <v>713</v>
      </c>
      <c r="P109" s="138" t="s">
        <v>2576</v>
      </c>
      <c r="Q109" s="138" t="s">
        <v>2731</v>
      </c>
      <c r="R109" s="138" t="s">
        <v>2577</v>
      </c>
      <c r="S109" s="138" t="s">
        <v>2578</v>
      </c>
      <c r="T109" s="138"/>
      <c r="U109" s="138"/>
      <c r="V109" s="138"/>
      <c r="W109" s="138"/>
      <c r="X109" s="138"/>
      <c r="Y109" s="138"/>
      <c r="Z109" s="138"/>
      <c r="AA109" s="138"/>
      <c r="AB109" s="138"/>
      <c r="AC109" s="138"/>
      <c r="AD109" s="138"/>
      <c r="AE109" s="138"/>
      <c r="AF109" s="138"/>
      <c r="AG109" s="138"/>
      <c r="AH109" s="138"/>
      <c r="AI109" s="138"/>
      <c r="AJ109" s="138"/>
      <c r="AK109" s="138"/>
      <c r="AL109" s="138"/>
      <c r="AM109" s="138"/>
    </row>
    <row r="110" spans="1:39" ht="16.2">
      <c r="A110" s="137">
        <v>108</v>
      </c>
      <c r="B110" s="137">
        <v>3</v>
      </c>
      <c r="C110" s="137">
        <v>4</v>
      </c>
      <c r="D110" s="137">
        <v>1</v>
      </c>
      <c r="E110" s="137">
        <v>7</v>
      </c>
      <c r="F110" s="137">
        <v>3</v>
      </c>
      <c r="G110" s="138" t="s">
        <v>714</v>
      </c>
      <c r="H110" s="138" t="s">
        <v>715</v>
      </c>
      <c r="I110" s="138" t="s">
        <v>2579</v>
      </c>
      <c r="J110" s="137" t="s">
        <v>83</v>
      </c>
      <c r="K110" s="137" t="s">
        <v>84</v>
      </c>
      <c r="L110" s="137" t="s">
        <v>84</v>
      </c>
      <c r="M110" s="137" t="s">
        <v>84</v>
      </c>
      <c r="N110" s="137" t="s">
        <v>229</v>
      </c>
      <c r="O110" s="137" t="s">
        <v>717</v>
      </c>
      <c r="P110" s="138" t="s">
        <v>2580</v>
      </c>
      <c r="Q110" s="138" t="s">
        <v>716</v>
      </c>
      <c r="R110" s="138" t="s">
        <v>2732</v>
      </c>
      <c r="S110" s="138" t="s">
        <v>2581</v>
      </c>
      <c r="T110" s="138"/>
      <c r="U110" s="138"/>
      <c r="V110" s="138"/>
      <c r="W110" s="138"/>
      <c r="X110" s="138"/>
      <c r="Y110" s="138"/>
      <c r="Z110" s="138"/>
      <c r="AA110" s="138"/>
      <c r="AB110" s="138"/>
      <c r="AC110" s="138"/>
      <c r="AD110" s="138"/>
      <c r="AE110" s="138"/>
      <c r="AF110" s="138"/>
      <c r="AG110" s="138"/>
      <c r="AH110" s="138"/>
      <c r="AI110" s="138"/>
      <c r="AJ110" s="138"/>
      <c r="AK110" s="138"/>
      <c r="AL110" s="138"/>
      <c r="AM110" s="138"/>
    </row>
    <row r="111" spans="1:39" ht="97.2">
      <c r="A111" s="137">
        <v>109</v>
      </c>
      <c r="B111" s="137">
        <v>3</v>
      </c>
      <c r="C111" s="137">
        <v>4</v>
      </c>
      <c r="D111" s="137">
        <v>1</v>
      </c>
      <c r="E111" s="137">
        <v>8</v>
      </c>
      <c r="F111" s="137">
        <v>0</v>
      </c>
      <c r="G111" s="138" t="s">
        <v>718</v>
      </c>
      <c r="H111" s="138" t="s">
        <v>719</v>
      </c>
      <c r="I111" s="138" t="s">
        <v>2733</v>
      </c>
      <c r="J111" s="137" t="s">
        <v>83</v>
      </c>
      <c r="K111" s="137" t="s">
        <v>84</v>
      </c>
      <c r="L111" s="137" t="s">
        <v>84</v>
      </c>
      <c r="M111" s="137" t="s">
        <v>84</v>
      </c>
      <c r="N111" s="137" t="s">
        <v>229</v>
      </c>
      <c r="O111" s="137" t="s">
        <v>721</v>
      </c>
      <c r="P111" s="138" t="s">
        <v>2734</v>
      </c>
      <c r="Q111" s="138" t="s">
        <v>720</v>
      </c>
      <c r="R111" s="138" t="s">
        <v>2735</v>
      </c>
      <c r="S111" s="138" t="s">
        <v>2582</v>
      </c>
      <c r="T111" s="138"/>
      <c r="U111" s="138"/>
      <c r="V111" s="138"/>
      <c r="W111" s="138"/>
      <c r="X111" s="138"/>
      <c r="Y111" s="138"/>
      <c r="Z111" s="138"/>
      <c r="AA111" s="138"/>
      <c r="AB111" s="138"/>
      <c r="AC111" s="138"/>
      <c r="AD111" s="138"/>
      <c r="AE111" s="138"/>
      <c r="AF111" s="138"/>
      <c r="AG111" s="138"/>
      <c r="AH111" s="138"/>
      <c r="AI111" s="138"/>
      <c r="AJ111" s="138"/>
      <c r="AK111" s="138"/>
      <c r="AL111" s="138"/>
      <c r="AM111" s="138"/>
    </row>
    <row r="112" spans="1:39" ht="21.6">
      <c r="A112" s="137">
        <v>110</v>
      </c>
      <c r="B112" s="137">
        <v>3</v>
      </c>
      <c r="C112" s="137">
        <v>4</v>
      </c>
      <c r="D112" s="137">
        <v>1</v>
      </c>
      <c r="E112" s="137">
        <v>8</v>
      </c>
      <c r="F112" s="137">
        <v>1</v>
      </c>
      <c r="G112" s="138" t="s">
        <v>722</v>
      </c>
      <c r="H112" s="138" t="s">
        <v>723</v>
      </c>
      <c r="I112" s="138" t="s">
        <v>2583</v>
      </c>
      <c r="J112" s="137" t="s">
        <v>83</v>
      </c>
      <c r="K112" s="137" t="s">
        <v>84</v>
      </c>
      <c r="L112" s="137" t="s">
        <v>84</v>
      </c>
      <c r="M112" s="137" t="s">
        <v>84</v>
      </c>
      <c r="N112" s="137" t="s">
        <v>229</v>
      </c>
      <c r="O112" s="137" t="s">
        <v>721</v>
      </c>
      <c r="P112" s="138" t="s">
        <v>2584</v>
      </c>
      <c r="Q112" s="138" t="s">
        <v>724</v>
      </c>
      <c r="R112" s="138" t="s">
        <v>2585</v>
      </c>
      <c r="S112" s="138" t="s">
        <v>2586</v>
      </c>
      <c r="T112" s="138"/>
      <c r="U112" s="138"/>
      <c r="V112" s="138"/>
      <c r="W112" s="138"/>
      <c r="X112" s="138"/>
      <c r="Y112" s="138"/>
      <c r="Z112" s="138"/>
      <c r="AA112" s="138"/>
      <c r="AB112" s="138"/>
      <c r="AC112" s="138"/>
      <c r="AD112" s="138"/>
      <c r="AE112" s="138"/>
      <c r="AF112" s="138"/>
      <c r="AG112" s="138"/>
      <c r="AH112" s="138"/>
      <c r="AI112" s="138"/>
      <c r="AJ112" s="138"/>
      <c r="AK112" s="138"/>
      <c r="AL112" s="138"/>
      <c r="AM112" s="138"/>
    </row>
    <row r="113" spans="1:39" ht="21.6">
      <c r="A113" s="137">
        <v>111</v>
      </c>
      <c r="B113" s="137">
        <v>3</v>
      </c>
      <c r="C113" s="137">
        <v>4</v>
      </c>
      <c r="D113" s="137">
        <v>1</v>
      </c>
      <c r="E113" s="137">
        <v>8</v>
      </c>
      <c r="F113" s="137">
        <v>2</v>
      </c>
      <c r="G113" s="138" t="s">
        <v>725</v>
      </c>
      <c r="H113" s="138" t="s">
        <v>726</v>
      </c>
      <c r="I113" s="138" t="s">
        <v>2587</v>
      </c>
      <c r="J113" s="137" t="s">
        <v>83</v>
      </c>
      <c r="K113" s="137" t="s">
        <v>84</v>
      </c>
      <c r="L113" s="137" t="s">
        <v>84</v>
      </c>
      <c r="M113" s="137" t="s">
        <v>84</v>
      </c>
      <c r="N113" s="137" t="s">
        <v>229</v>
      </c>
      <c r="O113" s="137" t="s">
        <v>721</v>
      </c>
      <c r="P113" s="138" t="s">
        <v>2588</v>
      </c>
      <c r="Q113" s="138" t="s">
        <v>2589</v>
      </c>
      <c r="R113" s="138" t="s">
        <v>2590</v>
      </c>
      <c r="S113" s="138" t="s">
        <v>2591</v>
      </c>
      <c r="T113" s="138"/>
      <c r="U113" s="138"/>
      <c r="V113" s="138"/>
      <c r="W113" s="138"/>
      <c r="X113" s="138"/>
      <c r="Y113" s="138"/>
      <c r="Z113" s="138"/>
      <c r="AA113" s="138"/>
      <c r="AB113" s="138"/>
      <c r="AC113" s="138"/>
      <c r="AD113" s="138"/>
      <c r="AE113" s="138"/>
      <c r="AF113" s="138"/>
      <c r="AG113" s="138"/>
      <c r="AH113" s="138"/>
      <c r="AI113" s="138"/>
      <c r="AJ113" s="138"/>
      <c r="AK113" s="138"/>
      <c r="AL113" s="138"/>
      <c r="AM113" s="138"/>
    </row>
    <row r="114" spans="1:39" ht="75.599999999999994">
      <c r="A114" s="137">
        <v>112</v>
      </c>
      <c r="B114" s="137">
        <v>3</v>
      </c>
      <c r="C114" s="137">
        <v>4</v>
      </c>
      <c r="D114" s="137">
        <v>1</v>
      </c>
      <c r="E114" s="137">
        <v>9</v>
      </c>
      <c r="F114" s="137">
        <v>0</v>
      </c>
      <c r="G114" s="138" t="s">
        <v>2592</v>
      </c>
      <c r="H114" s="138" t="s">
        <v>727</v>
      </c>
      <c r="I114" s="138" t="s">
        <v>2593</v>
      </c>
      <c r="J114" s="137" t="s">
        <v>83</v>
      </c>
      <c r="K114" s="137" t="s">
        <v>84</v>
      </c>
      <c r="L114" s="137" t="s">
        <v>84</v>
      </c>
      <c r="M114" s="137" t="s">
        <v>84</v>
      </c>
      <c r="N114" s="137" t="s">
        <v>229</v>
      </c>
      <c r="O114" s="137" t="s">
        <v>303</v>
      </c>
      <c r="P114" s="138" t="s">
        <v>2736</v>
      </c>
      <c r="Q114" s="138" t="s">
        <v>2594</v>
      </c>
      <c r="R114" s="138" t="s">
        <v>2594</v>
      </c>
      <c r="S114" s="138" t="s">
        <v>2595</v>
      </c>
      <c r="T114" s="138"/>
      <c r="U114" s="138"/>
      <c r="V114" s="138"/>
      <c r="W114" s="138"/>
      <c r="X114" s="138"/>
      <c r="Y114" s="138"/>
      <c r="Z114" s="138"/>
      <c r="AA114" s="138"/>
      <c r="AB114" s="138"/>
      <c r="AC114" s="138"/>
      <c r="AD114" s="138"/>
      <c r="AE114" s="138"/>
      <c r="AF114" s="138"/>
      <c r="AG114" s="138"/>
      <c r="AH114" s="138"/>
      <c r="AI114" s="138"/>
      <c r="AJ114" s="138"/>
      <c r="AK114" s="138"/>
      <c r="AL114" s="138"/>
      <c r="AM114" s="138"/>
    </row>
    <row r="115" spans="1:39" ht="16.2">
      <c r="A115" s="137">
        <v>113</v>
      </c>
      <c r="B115" s="137">
        <v>3</v>
      </c>
      <c r="C115" s="137">
        <v>4</v>
      </c>
      <c r="D115" s="137">
        <v>2</v>
      </c>
      <c r="E115" s="137">
        <v>0</v>
      </c>
      <c r="F115" s="137">
        <v>0</v>
      </c>
      <c r="G115" s="138" t="s">
        <v>2596</v>
      </c>
      <c r="H115" s="138" t="s">
        <v>728</v>
      </c>
      <c r="I115" s="138" t="s">
        <v>729</v>
      </c>
      <c r="J115" s="137" t="s">
        <v>83</v>
      </c>
      <c r="K115" s="137" t="s">
        <v>84</v>
      </c>
      <c r="L115" s="137" t="s">
        <v>84</v>
      </c>
      <c r="M115" s="137" t="s">
        <v>84</v>
      </c>
      <c r="N115" s="137" t="s">
        <v>229</v>
      </c>
      <c r="O115" s="137" t="s">
        <v>115</v>
      </c>
      <c r="P115" s="138" t="s">
        <v>2597</v>
      </c>
      <c r="Q115" s="138" t="s">
        <v>2598</v>
      </c>
      <c r="R115" s="138" t="s">
        <v>2599</v>
      </c>
      <c r="S115" s="138" t="s">
        <v>2600</v>
      </c>
      <c r="T115" s="138"/>
      <c r="U115" s="138"/>
      <c r="V115" s="138"/>
      <c r="W115" s="138"/>
      <c r="X115" s="138"/>
      <c r="Y115" s="138"/>
      <c r="Z115" s="138"/>
      <c r="AA115" s="138"/>
      <c r="AB115" s="138"/>
      <c r="AC115" s="138"/>
      <c r="AD115" s="138"/>
      <c r="AE115" s="138"/>
      <c r="AF115" s="138"/>
      <c r="AG115" s="138"/>
      <c r="AH115" s="138"/>
      <c r="AI115" s="138"/>
      <c r="AJ115" s="138"/>
      <c r="AK115" s="138"/>
      <c r="AL115" s="138"/>
      <c r="AM115" s="138"/>
    </row>
    <row r="116" spans="1:39" ht="16.2">
      <c r="A116" s="137">
        <v>114</v>
      </c>
      <c r="B116" s="137">
        <v>3</v>
      </c>
      <c r="C116" s="137">
        <v>4</v>
      </c>
      <c r="D116" s="137">
        <v>3</v>
      </c>
      <c r="E116" s="137">
        <v>0</v>
      </c>
      <c r="F116" s="137">
        <v>0</v>
      </c>
      <c r="G116" s="138" t="s">
        <v>730</v>
      </c>
      <c r="H116" s="138" t="s">
        <v>731</v>
      </c>
      <c r="I116" s="138" t="s">
        <v>732</v>
      </c>
      <c r="J116" s="137" t="s">
        <v>83</v>
      </c>
      <c r="K116" s="137" t="s">
        <v>84</v>
      </c>
      <c r="L116" s="137" t="s">
        <v>84</v>
      </c>
      <c r="M116" s="137" t="s">
        <v>84</v>
      </c>
      <c r="N116" s="137" t="s">
        <v>229</v>
      </c>
      <c r="O116" s="137" t="s">
        <v>115</v>
      </c>
      <c r="P116" s="138" t="s">
        <v>2603</v>
      </c>
      <c r="Q116" s="138" t="s">
        <v>2601</v>
      </c>
      <c r="R116" s="138" t="s">
        <v>2602</v>
      </c>
      <c r="S116" s="138" t="s">
        <v>2604</v>
      </c>
      <c r="T116" s="138"/>
      <c r="U116" s="138"/>
      <c r="V116" s="138"/>
      <c r="W116" s="138"/>
      <c r="X116" s="138"/>
      <c r="Y116" s="138"/>
      <c r="Z116" s="138"/>
      <c r="AA116" s="138"/>
      <c r="AB116" s="138"/>
      <c r="AC116" s="138"/>
      <c r="AD116" s="138"/>
      <c r="AE116" s="138"/>
      <c r="AF116" s="138"/>
      <c r="AG116" s="138"/>
      <c r="AH116" s="138"/>
      <c r="AI116" s="138"/>
      <c r="AJ116" s="138"/>
      <c r="AK116" s="138"/>
      <c r="AL116" s="138"/>
      <c r="AM116" s="138"/>
    </row>
    <row r="117" spans="1:39" ht="16.8" thickBot="1">
      <c r="A117" s="143">
        <v>115</v>
      </c>
      <c r="B117" s="143">
        <v>3</v>
      </c>
      <c r="C117" s="143">
        <v>4</v>
      </c>
      <c r="D117" s="143">
        <v>4</v>
      </c>
      <c r="E117" s="143">
        <v>0</v>
      </c>
      <c r="F117" s="143">
        <v>0</v>
      </c>
      <c r="G117" s="144" t="s">
        <v>733</v>
      </c>
      <c r="H117" s="144" t="s">
        <v>734</v>
      </c>
      <c r="I117" s="138" t="s">
        <v>2605</v>
      </c>
      <c r="J117" s="137" t="s">
        <v>83</v>
      </c>
      <c r="K117" s="137" t="s">
        <v>84</v>
      </c>
      <c r="L117" s="137" t="s">
        <v>84</v>
      </c>
      <c r="M117" s="137" t="s">
        <v>84</v>
      </c>
      <c r="N117" s="137" t="s">
        <v>229</v>
      </c>
      <c r="O117" s="137" t="s">
        <v>115</v>
      </c>
      <c r="P117" s="138" t="s">
        <v>2606</v>
      </c>
      <c r="Q117" s="138" t="s">
        <v>2607</v>
      </c>
      <c r="R117" s="138" t="s">
        <v>2608</v>
      </c>
      <c r="S117" s="138" t="s">
        <v>2609</v>
      </c>
      <c r="T117" s="144"/>
      <c r="U117" s="144"/>
      <c r="V117" s="138"/>
      <c r="W117" s="144"/>
      <c r="X117" s="144"/>
      <c r="Y117" s="144"/>
      <c r="Z117" s="144"/>
      <c r="AA117" s="144"/>
      <c r="AB117" s="144"/>
      <c r="AC117" s="144"/>
      <c r="AD117" s="144"/>
      <c r="AE117" s="144"/>
      <c r="AF117" s="144"/>
      <c r="AG117" s="144"/>
      <c r="AH117" s="144"/>
      <c r="AI117" s="144"/>
      <c r="AJ117" s="144"/>
      <c r="AK117" s="144"/>
      <c r="AL117" s="144"/>
      <c r="AM117" s="144"/>
    </row>
    <row r="118" spans="1:39" ht="22.2" thickTop="1">
      <c r="A118" s="135">
        <v>116</v>
      </c>
      <c r="B118" s="135">
        <v>3</v>
      </c>
      <c r="C118" s="135">
        <v>5</v>
      </c>
      <c r="D118" s="135">
        <v>1</v>
      </c>
      <c r="E118" s="135">
        <v>1</v>
      </c>
      <c r="F118" s="135">
        <v>0</v>
      </c>
      <c r="G118" s="136" t="s">
        <v>2610</v>
      </c>
      <c r="H118" s="136" t="s">
        <v>735</v>
      </c>
      <c r="I118" s="136" t="s">
        <v>2611</v>
      </c>
      <c r="J118" s="135" t="s">
        <v>83</v>
      </c>
      <c r="K118" s="135" t="s">
        <v>84</v>
      </c>
      <c r="L118" s="135" t="s">
        <v>84</v>
      </c>
      <c r="M118" s="135" t="s">
        <v>84</v>
      </c>
      <c r="N118" s="135" t="s">
        <v>229</v>
      </c>
      <c r="O118" s="135" t="s">
        <v>84</v>
      </c>
      <c r="P118" s="136" t="s">
        <v>2612</v>
      </c>
      <c r="Q118" s="136" t="s">
        <v>2613</v>
      </c>
      <c r="R118" s="136" t="s">
        <v>2614</v>
      </c>
      <c r="S118" s="136" t="s">
        <v>2615</v>
      </c>
      <c r="T118" s="136"/>
      <c r="U118" s="136"/>
      <c r="V118" s="136"/>
      <c r="W118" s="136"/>
      <c r="X118" s="136"/>
      <c r="Y118" s="136"/>
      <c r="Z118" s="136"/>
      <c r="AA118" s="136"/>
      <c r="AB118" s="136"/>
      <c r="AC118" s="136"/>
      <c r="AD118" s="136"/>
      <c r="AE118" s="136"/>
      <c r="AF118" s="136"/>
      <c r="AG118" s="136"/>
      <c r="AH118" s="136"/>
      <c r="AI118" s="136"/>
      <c r="AJ118" s="136"/>
      <c r="AK118" s="136"/>
      <c r="AL118" s="136"/>
      <c r="AM118" s="136"/>
    </row>
    <row r="119" spans="1:39">
      <c r="A119" s="141">
        <v>117</v>
      </c>
      <c r="B119" s="141">
        <v>3</v>
      </c>
      <c r="C119" s="141">
        <v>5</v>
      </c>
      <c r="D119" s="141">
        <v>2</v>
      </c>
      <c r="E119" s="141">
        <v>1</v>
      </c>
      <c r="F119" s="141">
        <v>0</v>
      </c>
      <c r="G119" s="142" t="s">
        <v>736</v>
      </c>
      <c r="H119" s="142" t="s">
        <v>737</v>
      </c>
      <c r="I119" s="141" t="s">
        <v>84</v>
      </c>
      <c r="J119" s="141" t="s">
        <v>154</v>
      </c>
      <c r="K119" s="141" t="s">
        <v>155</v>
      </c>
      <c r="L119" s="142" t="s">
        <v>738</v>
      </c>
      <c r="M119" s="142" t="s">
        <v>739</v>
      </c>
      <c r="N119" s="141" t="s">
        <v>84</v>
      </c>
      <c r="O119" s="141" t="s">
        <v>84</v>
      </c>
      <c r="P119" s="141" t="s">
        <v>84</v>
      </c>
      <c r="Q119" s="141" t="s">
        <v>84</v>
      </c>
      <c r="R119" s="141" t="s">
        <v>84</v>
      </c>
      <c r="S119" s="141" t="s">
        <v>84</v>
      </c>
      <c r="T119" s="142"/>
      <c r="U119" s="142"/>
      <c r="V119" s="142"/>
      <c r="W119" s="142"/>
      <c r="X119" s="142"/>
      <c r="Y119" s="142"/>
      <c r="Z119" s="142"/>
      <c r="AA119" s="142"/>
      <c r="AB119" s="142"/>
      <c r="AC119" s="142"/>
      <c r="AD119" s="142"/>
      <c r="AE119" s="142"/>
      <c r="AF119" s="142"/>
      <c r="AG119" s="142"/>
      <c r="AH119" s="142"/>
      <c r="AI119" s="142"/>
      <c r="AJ119" s="142"/>
      <c r="AK119" s="142"/>
      <c r="AL119" s="142"/>
      <c r="AM119" s="142"/>
    </row>
    <row r="120" spans="1:39">
      <c r="A120" s="141">
        <v>118</v>
      </c>
      <c r="B120" s="141">
        <v>3</v>
      </c>
      <c r="C120" s="141">
        <v>5</v>
      </c>
      <c r="D120" s="141">
        <v>2</v>
      </c>
      <c r="E120" s="141">
        <v>1</v>
      </c>
      <c r="F120" s="141">
        <v>1</v>
      </c>
      <c r="G120" s="142" t="s">
        <v>740</v>
      </c>
      <c r="H120" s="142" t="s">
        <v>741</v>
      </c>
      <c r="I120" s="141" t="s">
        <v>84</v>
      </c>
      <c r="J120" s="141" t="s">
        <v>154</v>
      </c>
      <c r="K120" s="141" t="s">
        <v>155</v>
      </c>
      <c r="L120" s="142" t="s">
        <v>742</v>
      </c>
      <c r="M120" s="142" t="s">
        <v>739</v>
      </c>
      <c r="N120" s="141" t="s">
        <v>84</v>
      </c>
      <c r="O120" s="141" t="s">
        <v>84</v>
      </c>
      <c r="P120" s="141" t="s">
        <v>84</v>
      </c>
      <c r="Q120" s="141" t="s">
        <v>84</v>
      </c>
      <c r="R120" s="141" t="s">
        <v>84</v>
      </c>
      <c r="S120" s="141" t="s">
        <v>84</v>
      </c>
      <c r="T120" s="142"/>
      <c r="U120" s="142"/>
      <c r="V120" s="142"/>
      <c r="W120" s="142"/>
      <c r="X120" s="142"/>
      <c r="Y120" s="142"/>
      <c r="Z120" s="142"/>
      <c r="AA120" s="142"/>
      <c r="AB120" s="142"/>
      <c r="AC120" s="142"/>
      <c r="AD120" s="142"/>
      <c r="AE120" s="142"/>
      <c r="AF120" s="142"/>
      <c r="AG120" s="142"/>
      <c r="AH120" s="142"/>
      <c r="AI120" s="142"/>
      <c r="AJ120" s="142"/>
      <c r="AK120" s="142"/>
      <c r="AL120" s="142"/>
      <c r="AM120" s="142"/>
    </row>
    <row r="121" spans="1:39">
      <c r="A121" s="141">
        <v>119</v>
      </c>
      <c r="B121" s="141">
        <v>3</v>
      </c>
      <c r="C121" s="141">
        <v>5</v>
      </c>
      <c r="D121" s="141">
        <v>2</v>
      </c>
      <c r="E121" s="141">
        <v>2</v>
      </c>
      <c r="F121" s="141">
        <v>0</v>
      </c>
      <c r="G121" s="142" t="s">
        <v>743</v>
      </c>
      <c r="H121" s="142" t="s">
        <v>744</v>
      </c>
      <c r="I121" s="141" t="s">
        <v>84</v>
      </c>
      <c r="J121" s="141" t="s">
        <v>154</v>
      </c>
      <c r="K121" s="141" t="s">
        <v>155</v>
      </c>
      <c r="L121" s="142" t="s">
        <v>745</v>
      </c>
      <c r="M121" s="142" t="s">
        <v>739</v>
      </c>
      <c r="N121" s="141" t="s">
        <v>84</v>
      </c>
      <c r="O121" s="141" t="s">
        <v>84</v>
      </c>
      <c r="P121" s="141" t="s">
        <v>84</v>
      </c>
      <c r="Q121" s="141" t="s">
        <v>84</v>
      </c>
      <c r="R121" s="141" t="s">
        <v>84</v>
      </c>
      <c r="S121" s="141" t="s">
        <v>84</v>
      </c>
      <c r="T121" s="142"/>
      <c r="U121" s="142"/>
      <c r="V121" s="142"/>
      <c r="W121" s="142"/>
      <c r="X121" s="142"/>
      <c r="Y121" s="142"/>
      <c r="Z121" s="142"/>
      <c r="AA121" s="142"/>
      <c r="AB121" s="142"/>
      <c r="AC121" s="142"/>
      <c r="AD121" s="142"/>
      <c r="AE121" s="142"/>
      <c r="AF121" s="142"/>
      <c r="AG121" s="142"/>
      <c r="AH121" s="142"/>
      <c r="AI121" s="142"/>
      <c r="AJ121" s="142"/>
      <c r="AK121" s="142"/>
      <c r="AL121" s="142"/>
      <c r="AM121" s="142"/>
    </row>
    <row r="122" spans="1:39" ht="21.6">
      <c r="A122" s="137">
        <v>120</v>
      </c>
      <c r="B122" s="137">
        <v>3</v>
      </c>
      <c r="C122" s="137">
        <v>5</v>
      </c>
      <c r="D122" s="137">
        <v>2</v>
      </c>
      <c r="E122" s="137">
        <v>3</v>
      </c>
      <c r="F122" s="137">
        <v>1</v>
      </c>
      <c r="G122" s="138" t="s">
        <v>746</v>
      </c>
      <c r="H122" s="138" t="s">
        <v>747</v>
      </c>
      <c r="I122" s="138" t="s">
        <v>2616</v>
      </c>
      <c r="J122" s="137" t="s">
        <v>83</v>
      </c>
      <c r="K122" s="137" t="s">
        <v>84</v>
      </c>
      <c r="L122" s="137" t="s">
        <v>84</v>
      </c>
      <c r="M122" s="137" t="s">
        <v>84</v>
      </c>
      <c r="N122" s="137" t="s">
        <v>229</v>
      </c>
      <c r="O122" s="137" t="s">
        <v>86</v>
      </c>
      <c r="P122" s="138" t="s">
        <v>2617</v>
      </c>
      <c r="Q122" s="138" t="s">
        <v>2618</v>
      </c>
      <c r="R122" s="138" t="s">
        <v>2737</v>
      </c>
      <c r="S122" s="138" t="s">
        <v>2619</v>
      </c>
      <c r="T122" s="138"/>
      <c r="U122" s="138"/>
      <c r="V122" s="138"/>
      <c r="W122" s="138"/>
      <c r="X122" s="138"/>
      <c r="Y122" s="138"/>
      <c r="Z122" s="138"/>
      <c r="AA122" s="138"/>
      <c r="AB122" s="138"/>
      <c r="AC122" s="138"/>
      <c r="AD122" s="138"/>
      <c r="AE122" s="138"/>
      <c r="AF122" s="138"/>
      <c r="AG122" s="138"/>
      <c r="AH122" s="138"/>
      <c r="AI122" s="138"/>
      <c r="AJ122" s="138"/>
      <c r="AK122" s="138"/>
      <c r="AL122" s="138"/>
      <c r="AM122" s="138"/>
    </row>
    <row r="123" spans="1:39">
      <c r="A123" s="141">
        <v>121</v>
      </c>
      <c r="B123" s="141">
        <v>3</v>
      </c>
      <c r="C123" s="141">
        <v>5</v>
      </c>
      <c r="D123" s="141">
        <v>2</v>
      </c>
      <c r="E123" s="141">
        <v>3</v>
      </c>
      <c r="F123" s="141">
        <v>2</v>
      </c>
      <c r="G123" s="142" t="s">
        <v>748</v>
      </c>
      <c r="H123" s="142" t="s">
        <v>749</v>
      </c>
      <c r="I123" s="141" t="s">
        <v>84</v>
      </c>
      <c r="J123" s="141" t="s">
        <v>154</v>
      </c>
      <c r="K123" s="141" t="s">
        <v>155</v>
      </c>
      <c r="L123" s="142" t="s">
        <v>750</v>
      </c>
      <c r="M123" s="142" t="s">
        <v>739</v>
      </c>
      <c r="N123" s="141" t="s">
        <v>84</v>
      </c>
      <c r="O123" s="141" t="s">
        <v>84</v>
      </c>
      <c r="P123" s="141" t="s">
        <v>84</v>
      </c>
      <c r="Q123" s="141" t="s">
        <v>84</v>
      </c>
      <c r="R123" s="141" t="s">
        <v>84</v>
      </c>
      <c r="S123" s="141" t="s">
        <v>84</v>
      </c>
      <c r="T123" s="142"/>
      <c r="U123" s="142"/>
      <c r="V123" s="142"/>
      <c r="W123" s="142"/>
      <c r="X123" s="142"/>
      <c r="Y123" s="142"/>
      <c r="Z123" s="142"/>
      <c r="AA123" s="142"/>
      <c r="AB123" s="142"/>
      <c r="AC123" s="142"/>
      <c r="AD123" s="142"/>
      <c r="AE123" s="142"/>
      <c r="AF123" s="142"/>
      <c r="AG123" s="142"/>
      <c r="AH123" s="142"/>
      <c r="AI123" s="142"/>
      <c r="AJ123" s="142"/>
      <c r="AK123" s="142"/>
      <c r="AL123" s="142"/>
      <c r="AM123" s="142"/>
    </row>
    <row r="124" spans="1:39">
      <c r="A124" s="141">
        <v>122</v>
      </c>
      <c r="B124" s="141">
        <v>3</v>
      </c>
      <c r="C124" s="141">
        <v>5</v>
      </c>
      <c r="D124" s="141">
        <v>2</v>
      </c>
      <c r="E124" s="141">
        <v>3</v>
      </c>
      <c r="F124" s="141">
        <v>2.1</v>
      </c>
      <c r="G124" s="142" t="s">
        <v>751</v>
      </c>
      <c r="H124" s="142" t="s">
        <v>752</v>
      </c>
      <c r="I124" s="141" t="s">
        <v>84</v>
      </c>
      <c r="J124" s="141" t="s">
        <v>154</v>
      </c>
      <c r="K124" s="141" t="s">
        <v>155</v>
      </c>
      <c r="L124" s="142" t="s">
        <v>742</v>
      </c>
      <c r="M124" s="142" t="s">
        <v>739</v>
      </c>
      <c r="N124" s="141" t="s">
        <v>84</v>
      </c>
      <c r="O124" s="141" t="s">
        <v>84</v>
      </c>
      <c r="P124" s="141" t="s">
        <v>84</v>
      </c>
      <c r="Q124" s="141" t="s">
        <v>84</v>
      </c>
      <c r="R124" s="141" t="s">
        <v>84</v>
      </c>
      <c r="S124" s="141" t="s">
        <v>84</v>
      </c>
      <c r="T124" s="142"/>
      <c r="U124" s="142"/>
      <c r="V124" s="142"/>
      <c r="W124" s="142"/>
      <c r="X124" s="142"/>
      <c r="Y124" s="142"/>
      <c r="Z124" s="142"/>
      <c r="AA124" s="142"/>
      <c r="AB124" s="142"/>
      <c r="AC124" s="142"/>
      <c r="AD124" s="142"/>
      <c r="AE124" s="142"/>
      <c r="AF124" s="142"/>
      <c r="AG124" s="142"/>
      <c r="AH124" s="142"/>
      <c r="AI124" s="142"/>
      <c r="AJ124" s="142"/>
      <c r="AK124" s="142"/>
      <c r="AL124" s="142"/>
      <c r="AM124" s="142"/>
    </row>
    <row r="125" spans="1:39" ht="16.2">
      <c r="A125" s="137">
        <v>123</v>
      </c>
      <c r="B125" s="137">
        <v>3</v>
      </c>
      <c r="C125" s="137">
        <v>5</v>
      </c>
      <c r="D125" s="137">
        <v>2</v>
      </c>
      <c r="E125" s="137">
        <v>3</v>
      </c>
      <c r="F125" s="137">
        <v>3</v>
      </c>
      <c r="G125" s="138" t="s">
        <v>753</v>
      </c>
      <c r="H125" s="138" t="s">
        <v>754</v>
      </c>
      <c r="I125" s="138" t="s">
        <v>2620</v>
      </c>
      <c r="J125" s="137" t="s">
        <v>83</v>
      </c>
      <c r="K125" s="137" t="s">
        <v>84</v>
      </c>
      <c r="L125" s="137" t="s">
        <v>84</v>
      </c>
      <c r="M125" s="137" t="s">
        <v>84</v>
      </c>
      <c r="N125" s="137" t="s">
        <v>86</v>
      </c>
      <c r="O125" s="137" t="s">
        <v>755</v>
      </c>
      <c r="P125" s="138" t="s">
        <v>2621</v>
      </c>
      <c r="Q125" s="138" t="s">
        <v>2622</v>
      </c>
      <c r="R125" s="138" t="s">
        <v>2623</v>
      </c>
      <c r="S125" s="138" t="s">
        <v>2624</v>
      </c>
      <c r="T125" s="138"/>
      <c r="U125" s="138"/>
      <c r="V125" s="138"/>
      <c r="W125" s="138"/>
      <c r="X125" s="138"/>
      <c r="Y125" s="138"/>
      <c r="Z125" s="138"/>
      <c r="AA125" s="138"/>
      <c r="AB125" s="138"/>
      <c r="AC125" s="138"/>
      <c r="AD125" s="138"/>
      <c r="AE125" s="138"/>
      <c r="AF125" s="138"/>
      <c r="AG125" s="138"/>
      <c r="AH125" s="138"/>
      <c r="AI125" s="138"/>
      <c r="AJ125" s="138"/>
      <c r="AK125" s="138"/>
      <c r="AL125" s="138"/>
      <c r="AM125" s="138"/>
    </row>
    <row r="126" spans="1:39">
      <c r="A126" s="141">
        <v>124</v>
      </c>
      <c r="B126" s="141">
        <v>3</v>
      </c>
      <c r="C126" s="141">
        <v>5</v>
      </c>
      <c r="D126" s="141">
        <v>2</v>
      </c>
      <c r="E126" s="141">
        <v>4</v>
      </c>
      <c r="F126" s="141">
        <v>0</v>
      </c>
      <c r="G126" s="142" t="s">
        <v>756</v>
      </c>
      <c r="H126" s="142" t="s">
        <v>757</v>
      </c>
      <c r="I126" s="141" t="s">
        <v>84</v>
      </c>
      <c r="J126" s="141" t="s">
        <v>154</v>
      </c>
      <c r="K126" s="141" t="s">
        <v>155</v>
      </c>
      <c r="L126" s="142" t="s">
        <v>758</v>
      </c>
      <c r="M126" s="142" t="s">
        <v>739</v>
      </c>
      <c r="N126" s="141" t="s">
        <v>84</v>
      </c>
      <c r="O126" s="141" t="s">
        <v>84</v>
      </c>
      <c r="P126" s="141" t="s">
        <v>84</v>
      </c>
      <c r="Q126" s="141" t="s">
        <v>84</v>
      </c>
      <c r="R126" s="141" t="s">
        <v>84</v>
      </c>
      <c r="S126" s="141" t="s">
        <v>84</v>
      </c>
      <c r="T126" s="142"/>
      <c r="U126" s="142"/>
      <c r="V126" s="142"/>
      <c r="W126" s="142"/>
      <c r="X126" s="142"/>
      <c r="Y126" s="142"/>
      <c r="Z126" s="142"/>
      <c r="AA126" s="142"/>
      <c r="AB126" s="142"/>
      <c r="AC126" s="142"/>
      <c r="AD126" s="142"/>
      <c r="AE126" s="142"/>
      <c r="AF126" s="142"/>
      <c r="AG126" s="142"/>
      <c r="AH126" s="142"/>
      <c r="AI126" s="142"/>
      <c r="AJ126" s="142"/>
      <c r="AK126" s="142"/>
      <c r="AL126" s="142"/>
      <c r="AM126" s="142"/>
    </row>
    <row r="127" spans="1:39" ht="6" thickBot="1">
      <c r="A127" s="151">
        <v>125</v>
      </c>
      <c r="B127" s="152">
        <v>3</v>
      </c>
      <c r="C127" s="152">
        <v>5</v>
      </c>
      <c r="D127" s="152">
        <v>3</v>
      </c>
      <c r="E127" s="152">
        <v>0</v>
      </c>
      <c r="F127" s="152">
        <v>0</v>
      </c>
      <c r="G127" s="153" t="s">
        <v>759</v>
      </c>
      <c r="H127" s="153" t="s">
        <v>760</v>
      </c>
      <c r="I127" s="141" t="s">
        <v>84</v>
      </c>
      <c r="J127" s="141" t="s">
        <v>154</v>
      </c>
      <c r="K127" s="141" t="s">
        <v>155</v>
      </c>
      <c r="L127" s="153" t="s">
        <v>761</v>
      </c>
      <c r="M127" s="142" t="s">
        <v>739</v>
      </c>
      <c r="N127" s="141" t="s">
        <v>84</v>
      </c>
      <c r="O127" s="141" t="s">
        <v>84</v>
      </c>
      <c r="P127" s="141" t="s">
        <v>84</v>
      </c>
      <c r="Q127" s="141" t="s">
        <v>84</v>
      </c>
      <c r="R127" s="141" t="s">
        <v>84</v>
      </c>
      <c r="S127" s="141" t="s">
        <v>84</v>
      </c>
      <c r="T127" s="153"/>
      <c r="U127" s="153"/>
      <c r="V127" s="153"/>
      <c r="W127" s="153"/>
      <c r="X127" s="153"/>
      <c r="Y127" s="153"/>
      <c r="Z127" s="153"/>
      <c r="AA127" s="153"/>
      <c r="AB127" s="153"/>
      <c r="AC127" s="153"/>
      <c r="AD127" s="153"/>
      <c r="AE127" s="153"/>
      <c r="AF127" s="153"/>
      <c r="AG127" s="153"/>
      <c r="AH127" s="153"/>
      <c r="AI127" s="153"/>
      <c r="AJ127" s="153"/>
      <c r="AK127" s="153"/>
      <c r="AL127" s="153"/>
      <c r="AM127" s="153"/>
    </row>
    <row r="128" spans="1:39" ht="27.6" thickTop="1">
      <c r="A128" s="154">
        <v>126</v>
      </c>
      <c r="B128" s="135">
        <v>3</v>
      </c>
      <c r="C128" s="135">
        <v>6</v>
      </c>
      <c r="D128" s="135">
        <v>1</v>
      </c>
      <c r="E128" s="135">
        <v>1</v>
      </c>
      <c r="F128" s="135">
        <v>0</v>
      </c>
      <c r="G128" s="136" t="s">
        <v>762</v>
      </c>
      <c r="H128" s="136" t="s">
        <v>763</v>
      </c>
      <c r="I128" s="136" t="s">
        <v>2625</v>
      </c>
      <c r="J128" s="135" t="s">
        <v>83</v>
      </c>
      <c r="K128" s="135" t="s">
        <v>84</v>
      </c>
      <c r="L128" s="135" t="s">
        <v>84</v>
      </c>
      <c r="M128" s="135" t="s">
        <v>764</v>
      </c>
      <c r="N128" s="135" t="s">
        <v>229</v>
      </c>
      <c r="O128" s="135" t="s">
        <v>84</v>
      </c>
      <c r="P128" s="155" t="s">
        <v>2626</v>
      </c>
      <c r="Q128" s="136" t="s">
        <v>2627</v>
      </c>
      <c r="R128" s="136" t="s">
        <v>2628</v>
      </c>
      <c r="S128" s="136" t="s">
        <v>2629</v>
      </c>
      <c r="T128" s="136"/>
      <c r="U128" s="136"/>
      <c r="V128" s="136"/>
      <c r="W128" s="136"/>
      <c r="X128" s="136"/>
      <c r="Y128" s="136"/>
      <c r="Z128" s="136"/>
      <c r="AA128" s="136"/>
      <c r="AB128" s="136"/>
      <c r="AC128" s="136"/>
      <c r="AD128" s="136"/>
      <c r="AE128" s="136"/>
      <c r="AF128" s="136"/>
      <c r="AG128" s="136"/>
      <c r="AH128" s="136"/>
      <c r="AI128" s="136"/>
      <c r="AJ128" s="136"/>
      <c r="AK128" s="136"/>
      <c r="AL128" s="136"/>
      <c r="AM128" s="136"/>
    </row>
    <row r="129" spans="1:39">
      <c r="A129" s="141">
        <v>127</v>
      </c>
      <c r="B129" s="141">
        <v>3</v>
      </c>
      <c r="C129" s="141">
        <v>6</v>
      </c>
      <c r="D129" s="141">
        <v>1</v>
      </c>
      <c r="E129" s="141">
        <v>2</v>
      </c>
      <c r="F129" s="141">
        <v>0</v>
      </c>
      <c r="G129" s="142" t="s">
        <v>765</v>
      </c>
      <c r="H129" s="142" t="s">
        <v>766</v>
      </c>
      <c r="I129" s="141" t="s">
        <v>84</v>
      </c>
      <c r="J129" s="141" t="s">
        <v>154</v>
      </c>
      <c r="K129" s="141" t="s">
        <v>155</v>
      </c>
      <c r="L129" s="142" t="s">
        <v>767</v>
      </c>
      <c r="M129" s="142" t="s">
        <v>739</v>
      </c>
      <c r="N129" s="141"/>
      <c r="O129" s="141"/>
      <c r="P129" s="142"/>
      <c r="Q129" s="141" t="s">
        <v>84</v>
      </c>
      <c r="R129" s="141" t="s">
        <v>84</v>
      </c>
      <c r="S129" s="141" t="s">
        <v>84</v>
      </c>
      <c r="T129" s="142"/>
      <c r="U129" s="142"/>
      <c r="V129" s="142"/>
      <c r="W129" s="142"/>
      <c r="X129" s="142"/>
      <c r="Y129" s="142"/>
      <c r="Z129" s="142"/>
      <c r="AA129" s="142"/>
      <c r="AB129" s="142"/>
      <c r="AC129" s="142"/>
      <c r="AD129" s="142"/>
      <c r="AE129" s="142"/>
      <c r="AF129" s="142"/>
      <c r="AG129" s="142"/>
      <c r="AH129" s="142"/>
      <c r="AI129" s="142"/>
      <c r="AJ129" s="142"/>
      <c r="AK129" s="142"/>
      <c r="AL129" s="142"/>
      <c r="AM129" s="142"/>
    </row>
    <row r="130" spans="1:39" ht="27">
      <c r="A130" s="137">
        <v>128</v>
      </c>
      <c r="B130" s="137">
        <v>3</v>
      </c>
      <c r="C130" s="137">
        <v>6</v>
      </c>
      <c r="D130" s="137">
        <v>1</v>
      </c>
      <c r="E130" s="137">
        <v>3</v>
      </c>
      <c r="F130" s="137">
        <v>0</v>
      </c>
      <c r="G130" s="138" t="s">
        <v>768</v>
      </c>
      <c r="H130" s="138" t="s">
        <v>769</v>
      </c>
      <c r="I130" s="138" t="s">
        <v>2630</v>
      </c>
      <c r="J130" s="137" t="s">
        <v>83</v>
      </c>
      <c r="K130" s="137" t="s">
        <v>84</v>
      </c>
      <c r="L130" s="137" t="s">
        <v>84</v>
      </c>
      <c r="M130" s="137" t="s">
        <v>84</v>
      </c>
      <c r="N130" s="137" t="s">
        <v>229</v>
      </c>
      <c r="O130" s="137" t="s">
        <v>84</v>
      </c>
      <c r="P130" s="140" t="s">
        <v>2631</v>
      </c>
      <c r="Q130" s="138" t="s">
        <v>2632</v>
      </c>
      <c r="R130" s="138" t="s">
        <v>2633</v>
      </c>
      <c r="S130" s="138" t="s">
        <v>2634</v>
      </c>
      <c r="T130" s="138"/>
      <c r="U130" s="138"/>
      <c r="V130" s="138"/>
      <c r="W130" s="138"/>
      <c r="X130" s="138"/>
      <c r="Y130" s="138"/>
      <c r="Z130" s="138"/>
      <c r="AA130" s="138"/>
      <c r="AB130" s="138"/>
      <c r="AC130" s="138"/>
      <c r="AD130" s="138"/>
      <c r="AE130" s="138"/>
      <c r="AF130" s="138"/>
      <c r="AG130" s="138"/>
      <c r="AH130" s="138"/>
      <c r="AI130" s="138"/>
      <c r="AJ130" s="138"/>
      <c r="AK130" s="138"/>
      <c r="AL130" s="138"/>
      <c r="AM130" s="138"/>
    </row>
    <row r="131" spans="1:39" ht="27">
      <c r="A131" s="137">
        <v>129</v>
      </c>
      <c r="B131" s="137">
        <v>3</v>
      </c>
      <c r="C131" s="137">
        <v>6</v>
      </c>
      <c r="D131" s="137">
        <v>1</v>
      </c>
      <c r="E131" s="137">
        <v>4</v>
      </c>
      <c r="F131" s="137">
        <v>0</v>
      </c>
      <c r="G131" s="138" t="s">
        <v>770</v>
      </c>
      <c r="H131" s="138" t="s">
        <v>771</v>
      </c>
      <c r="I131" s="138" t="s">
        <v>2635</v>
      </c>
      <c r="J131" s="137" t="s">
        <v>83</v>
      </c>
      <c r="K131" s="137" t="s">
        <v>84</v>
      </c>
      <c r="L131" s="137" t="s">
        <v>84</v>
      </c>
      <c r="M131" s="137" t="s">
        <v>84</v>
      </c>
      <c r="N131" s="137" t="s">
        <v>229</v>
      </c>
      <c r="O131" s="137" t="s">
        <v>84</v>
      </c>
      <c r="P131" s="140" t="s">
        <v>2636</v>
      </c>
      <c r="Q131" s="138" t="s">
        <v>2637</v>
      </c>
      <c r="R131" s="138" t="s">
        <v>2638</v>
      </c>
      <c r="S131" s="138" t="s">
        <v>2639</v>
      </c>
      <c r="T131" s="138"/>
      <c r="U131" s="138"/>
      <c r="V131" s="138"/>
      <c r="W131" s="138"/>
      <c r="X131" s="138"/>
      <c r="Y131" s="138"/>
      <c r="Z131" s="138"/>
      <c r="AA131" s="138"/>
      <c r="AB131" s="138"/>
      <c r="AC131" s="138"/>
      <c r="AD131" s="138"/>
      <c r="AE131" s="138"/>
      <c r="AF131" s="138"/>
      <c r="AG131" s="138"/>
      <c r="AH131" s="138"/>
      <c r="AI131" s="138"/>
      <c r="AJ131" s="138"/>
      <c r="AK131" s="138"/>
      <c r="AL131" s="138"/>
      <c r="AM131" s="138"/>
    </row>
    <row r="132" spans="1:39">
      <c r="A132" s="141">
        <v>130</v>
      </c>
      <c r="B132" s="141">
        <v>3</v>
      </c>
      <c r="C132" s="141">
        <v>6</v>
      </c>
      <c r="D132" s="141">
        <v>1</v>
      </c>
      <c r="E132" s="141">
        <v>5</v>
      </c>
      <c r="F132" s="141">
        <v>0</v>
      </c>
      <c r="G132" s="142" t="s">
        <v>772</v>
      </c>
      <c r="H132" s="142" t="s">
        <v>773</v>
      </c>
      <c r="I132" s="141" t="s">
        <v>84</v>
      </c>
      <c r="J132" s="141" t="s">
        <v>154</v>
      </c>
      <c r="K132" s="141" t="s">
        <v>155</v>
      </c>
      <c r="L132" s="142" t="s">
        <v>774</v>
      </c>
      <c r="M132" s="142" t="s">
        <v>739</v>
      </c>
      <c r="N132" s="141" t="s">
        <v>84</v>
      </c>
      <c r="O132" s="141" t="s">
        <v>84</v>
      </c>
      <c r="P132" s="141" t="s">
        <v>84</v>
      </c>
      <c r="Q132" s="141" t="s">
        <v>84</v>
      </c>
      <c r="R132" s="141" t="s">
        <v>84</v>
      </c>
      <c r="S132" s="141" t="s">
        <v>84</v>
      </c>
      <c r="T132" s="142"/>
      <c r="U132" s="142"/>
      <c r="V132" s="142"/>
      <c r="W132" s="142"/>
      <c r="X132" s="142"/>
      <c r="Y132" s="142"/>
      <c r="Z132" s="142"/>
      <c r="AA132" s="142"/>
      <c r="AB132" s="142"/>
      <c r="AC132" s="142"/>
      <c r="AD132" s="142"/>
      <c r="AE132" s="142"/>
      <c r="AF132" s="142"/>
      <c r="AG132" s="142"/>
      <c r="AH132" s="142"/>
      <c r="AI132" s="142"/>
      <c r="AJ132" s="142"/>
      <c r="AK132" s="142"/>
      <c r="AL132" s="142"/>
      <c r="AM132" s="142"/>
    </row>
    <row r="133" spans="1:39" ht="27">
      <c r="A133" s="137">
        <v>131</v>
      </c>
      <c r="B133" s="137">
        <v>3</v>
      </c>
      <c r="C133" s="137">
        <v>6</v>
      </c>
      <c r="D133" s="137">
        <v>1</v>
      </c>
      <c r="E133" s="137">
        <v>6</v>
      </c>
      <c r="F133" s="137">
        <v>0</v>
      </c>
      <c r="G133" s="138" t="s">
        <v>775</v>
      </c>
      <c r="H133" s="138" t="s">
        <v>776</v>
      </c>
      <c r="I133" s="138" t="s">
        <v>2640</v>
      </c>
      <c r="J133" s="137" t="s">
        <v>83</v>
      </c>
      <c r="K133" s="137" t="s">
        <v>197</v>
      </c>
      <c r="L133" s="138" t="s">
        <v>777</v>
      </c>
      <c r="M133" s="138" t="s">
        <v>2641</v>
      </c>
      <c r="N133" s="137" t="s">
        <v>229</v>
      </c>
      <c r="O133" s="137" t="s">
        <v>84</v>
      </c>
      <c r="P133" s="140" t="s">
        <v>778</v>
      </c>
      <c r="Q133" s="138" t="s">
        <v>2642</v>
      </c>
      <c r="R133" s="138" t="s">
        <v>2643</v>
      </c>
      <c r="S133" s="138" t="s">
        <v>2644</v>
      </c>
      <c r="T133" s="138"/>
      <c r="U133" s="138"/>
      <c r="V133" s="138"/>
      <c r="W133" s="138"/>
      <c r="X133" s="138"/>
      <c r="Y133" s="138"/>
      <c r="Z133" s="138"/>
      <c r="AA133" s="138"/>
      <c r="AB133" s="138"/>
      <c r="AC133" s="138"/>
      <c r="AD133" s="138"/>
      <c r="AE133" s="138"/>
      <c r="AF133" s="138"/>
      <c r="AG133" s="138"/>
      <c r="AH133" s="138"/>
      <c r="AI133" s="138"/>
      <c r="AJ133" s="138"/>
      <c r="AK133" s="138"/>
      <c r="AL133" s="138"/>
      <c r="AM133" s="138"/>
    </row>
    <row r="134" spans="1:39">
      <c r="A134" s="141">
        <v>132</v>
      </c>
      <c r="B134" s="141">
        <v>3</v>
      </c>
      <c r="C134" s="141">
        <v>6</v>
      </c>
      <c r="D134" s="141">
        <v>1</v>
      </c>
      <c r="E134" s="141">
        <v>7</v>
      </c>
      <c r="F134" s="141">
        <v>0</v>
      </c>
      <c r="G134" s="142" t="s">
        <v>779</v>
      </c>
      <c r="H134" s="142" t="s">
        <v>780</v>
      </c>
      <c r="I134" s="141" t="s">
        <v>84</v>
      </c>
      <c r="J134" s="141" t="s">
        <v>154</v>
      </c>
      <c r="K134" s="141" t="s">
        <v>155</v>
      </c>
      <c r="L134" s="142" t="s">
        <v>781</v>
      </c>
      <c r="M134" s="142" t="s">
        <v>739</v>
      </c>
      <c r="N134" s="141" t="s">
        <v>84</v>
      </c>
      <c r="O134" s="141" t="s">
        <v>84</v>
      </c>
      <c r="P134" s="141" t="s">
        <v>84</v>
      </c>
      <c r="Q134" s="141" t="s">
        <v>84</v>
      </c>
      <c r="R134" s="141" t="s">
        <v>84</v>
      </c>
      <c r="S134" s="141" t="s">
        <v>84</v>
      </c>
      <c r="T134" s="142"/>
      <c r="U134" s="142"/>
      <c r="V134" s="142"/>
      <c r="W134" s="142"/>
      <c r="X134" s="142"/>
      <c r="Y134" s="142"/>
      <c r="Z134" s="142"/>
      <c r="AA134" s="142"/>
      <c r="AB134" s="142"/>
      <c r="AC134" s="142"/>
      <c r="AD134" s="142"/>
      <c r="AE134" s="142"/>
      <c r="AF134" s="142"/>
      <c r="AG134" s="142"/>
      <c r="AH134" s="142"/>
      <c r="AI134" s="142"/>
      <c r="AJ134" s="142"/>
      <c r="AK134" s="142"/>
      <c r="AL134" s="142"/>
      <c r="AM134" s="142"/>
    </row>
    <row r="135" spans="1:39">
      <c r="A135" s="141">
        <v>133</v>
      </c>
      <c r="B135" s="141">
        <v>3</v>
      </c>
      <c r="C135" s="141">
        <v>6</v>
      </c>
      <c r="D135" s="141">
        <v>1</v>
      </c>
      <c r="E135" s="141">
        <v>8</v>
      </c>
      <c r="F135" s="141">
        <v>0</v>
      </c>
      <c r="G135" s="142" t="s">
        <v>782</v>
      </c>
      <c r="H135" s="142" t="s">
        <v>783</v>
      </c>
      <c r="I135" s="141" t="s">
        <v>84</v>
      </c>
      <c r="J135" s="141" t="s">
        <v>154</v>
      </c>
      <c r="K135" s="141" t="s">
        <v>155</v>
      </c>
      <c r="L135" s="142" t="s">
        <v>781</v>
      </c>
      <c r="M135" s="142" t="s">
        <v>739</v>
      </c>
      <c r="N135" s="141" t="s">
        <v>84</v>
      </c>
      <c r="O135" s="141" t="s">
        <v>84</v>
      </c>
      <c r="P135" s="141" t="s">
        <v>84</v>
      </c>
      <c r="Q135" s="141" t="s">
        <v>84</v>
      </c>
      <c r="R135" s="141" t="s">
        <v>84</v>
      </c>
      <c r="S135" s="141" t="s">
        <v>84</v>
      </c>
      <c r="T135" s="142"/>
      <c r="U135" s="142"/>
      <c r="V135" s="142"/>
      <c r="W135" s="142"/>
      <c r="X135" s="142"/>
      <c r="Y135" s="142"/>
      <c r="Z135" s="142"/>
      <c r="AA135" s="142"/>
      <c r="AB135" s="142"/>
      <c r="AC135" s="142"/>
      <c r="AD135" s="142"/>
      <c r="AE135" s="142"/>
      <c r="AF135" s="142"/>
      <c r="AG135" s="142"/>
      <c r="AH135" s="142"/>
      <c r="AI135" s="142"/>
      <c r="AJ135" s="142"/>
      <c r="AK135" s="142"/>
      <c r="AL135" s="142"/>
      <c r="AM135" s="142"/>
    </row>
    <row r="136" spans="1:39">
      <c r="A136" s="141">
        <v>134</v>
      </c>
      <c r="B136" s="141">
        <v>3</v>
      </c>
      <c r="C136" s="141">
        <v>6</v>
      </c>
      <c r="D136" s="141">
        <v>2</v>
      </c>
      <c r="E136" s="141">
        <v>1</v>
      </c>
      <c r="F136" s="141">
        <v>0</v>
      </c>
      <c r="G136" s="142" t="s">
        <v>784</v>
      </c>
      <c r="H136" s="142" t="s">
        <v>785</v>
      </c>
      <c r="I136" s="141" t="s">
        <v>84</v>
      </c>
      <c r="J136" s="141" t="s">
        <v>154</v>
      </c>
      <c r="K136" s="141" t="s">
        <v>155</v>
      </c>
      <c r="L136" s="142" t="s">
        <v>781</v>
      </c>
      <c r="M136" s="142" t="s">
        <v>739</v>
      </c>
      <c r="N136" s="141" t="s">
        <v>84</v>
      </c>
      <c r="O136" s="141" t="s">
        <v>84</v>
      </c>
      <c r="P136" s="141" t="s">
        <v>84</v>
      </c>
      <c r="Q136" s="141" t="s">
        <v>84</v>
      </c>
      <c r="R136" s="141" t="s">
        <v>84</v>
      </c>
      <c r="S136" s="141" t="s">
        <v>84</v>
      </c>
      <c r="T136" s="142"/>
      <c r="U136" s="142"/>
      <c r="V136" s="142"/>
      <c r="W136" s="142"/>
      <c r="X136" s="142"/>
      <c r="Y136" s="142"/>
      <c r="Z136" s="142"/>
      <c r="AA136" s="142"/>
      <c r="AB136" s="142"/>
      <c r="AC136" s="142"/>
      <c r="AD136" s="142"/>
      <c r="AE136" s="142"/>
      <c r="AF136" s="142"/>
      <c r="AG136" s="142"/>
      <c r="AH136" s="142"/>
      <c r="AI136" s="142"/>
      <c r="AJ136" s="142"/>
      <c r="AK136" s="142"/>
      <c r="AL136" s="142"/>
      <c r="AM136" s="142"/>
    </row>
    <row r="137" spans="1:39" ht="32.4">
      <c r="A137" s="137">
        <v>135</v>
      </c>
      <c r="B137" s="137">
        <v>3</v>
      </c>
      <c r="C137" s="137">
        <v>6</v>
      </c>
      <c r="D137" s="137">
        <v>2</v>
      </c>
      <c r="E137" s="137">
        <v>1</v>
      </c>
      <c r="F137" s="137">
        <v>1</v>
      </c>
      <c r="G137" s="138" t="s">
        <v>786</v>
      </c>
      <c r="H137" s="138" t="s">
        <v>787</v>
      </c>
      <c r="I137" s="138" t="s">
        <v>788</v>
      </c>
      <c r="J137" s="137" t="s">
        <v>83</v>
      </c>
      <c r="K137" s="137" t="s">
        <v>84</v>
      </c>
      <c r="L137" s="137" t="s">
        <v>84</v>
      </c>
      <c r="M137" s="137" t="s">
        <v>84</v>
      </c>
      <c r="N137" s="137" t="s">
        <v>229</v>
      </c>
      <c r="O137" s="137" t="s">
        <v>84</v>
      </c>
      <c r="P137" s="140" t="s">
        <v>790</v>
      </c>
      <c r="Q137" s="138" t="s">
        <v>789</v>
      </c>
      <c r="R137" s="138" t="s">
        <v>2645</v>
      </c>
      <c r="S137" s="138" t="s">
        <v>2646</v>
      </c>
      <c r="T137" s="138"/>
      <c r="U137" s="138"/>
      <c r="V137" s="138"/>
      <c r="W137" s="138"/>
      <c r="X137" s="138"/>
      <c r="Y137" s="138"/>
      <c r="Z137" s="138"/>
      <c r="AA137" s="138"/>
      <c r="AB137" s="138"/>
      <c r="AC137" s="138"/>
      <c r="AD137" s="138"/>
      <c r="AE137" s="138"/>
      <c r="AF137" s="138"/>
      <c r="AG137" s="138"/>
      <c r="AH137" s="138"/>
      <c r="AI137" s="138"/>
      <c r="AJ137" s="138"/>
      <c r="AK137" s="138"/>
      <c r="AL137" s="138"/>
      <c r="AM137" s="138"/>
    </row>
    <row r="138" spans="1:39">
      <c r="A138" s="141">
        <v>136</v>
      </c>
      <c r="B138" s="141">
        <v>3</v>
      </c>
      <c r="C138" s="141">
        <v>6</v>
      </c>
      <c r="D138" s="141">
        <v>2</v>
      </c>
      <c r="E138" s="141">
        <v>2</v>
      </c>
      <c r="F138" s="141">
        <v>0</v>
      </c>
      <c r="G138" s="142" t="s">
        <v>791</v>
      </c>
      <c r="H138" s="142" t="s">
        <v>792</v>
      </c>
      <c r="I138" s="141" t="s">
        <v>84</v>
      </c>
      <c r="J138" s="141" t="s">
        <v>154</v>
      </c>
      <c r="K138" s="141" t="s">
        <v>155</v>
      </c>
      <c r="L138" s="142" t="s">
        <v>793</v>
      </c>
      <c r="M138" s="142" t="s">
        <v>739</v>
      </c>
      <c r="N138" s="141" t="s">
        <v>84</v>
      </c>
      <c r="O138" s="141" t="s">
        <v>84</v>
      </c>
      <c r="P138" s="141" t="s">
        <v>84</v>
      </c>
      <c r="Q138" s="141" t="s">
        <v>84</v>
      </c>
      <c r="R138" s="141" t="s">
        <v>84</v>
      </c>
      <c r="S138" s="141" t="s">
        <v>84</v>
      </c>
      <c r="T138" s="142"/>
      <c r="U138" s="142"/>
      <c r="V138" s="142"/>
      <c r="W138" s="142"/>
      <c r="X138" s="142"/>
      <c r="Y138" s="142"/>
      <c r="Z138" s="142"/>
      <c r="AA138" s="142"/>
      <c r="AB138" s="142"/>
      <c r="AC138" s="142"/>
      <c r="AD138" s="142"/>
      <c r="AE138" s="142"/>
      <c r="AF138" s="142"/>
      <c r="AG138" s="142"/>
      <c r="AH138" s="142"/>
      <c r="AI138" s="142"/>
      <c r="AJ138" s="142"/>
      <c r="AK138" s="142"/>
      <c r="AL138" s="142"/>
      <c r="AM138" s="142"/>
    </row>
    <row r="139" spans="1:39">
      <c r="A139" s="141">
        <v>137</v>
      </c>
      <c r="B139" s="141">
        <v>3</v>
      </c>
      <c r="C139" s="141">
        <v>6</v>
      </c>
      <c r="D139" s="141">
        <v>2</v>
      </c>
      <c r="E139" s="141">
        <v>3</v>
      </c>
      <c r="F139" s="141">
        <v>0</v>
      </c>
      <c r="G139" s="142" t="s">
        <v>794</v>
      </c>
      <c r="H139" s="142" t="s">
        <v>795</v>
      </c>
      <c r="I139" s="141" t="s">
        <v>84</v>
      </c>
      <c r="J139" s="141" t="s">
        <v>154</v>
      </c>
      <c r="K139" s="141" t="s">
        <v>155</v>
      </c>
      <c r="L139" s="142" t="s">
        <v>796</v>
      </c>
      <c r="M139" s="142" t="s">
        <v>739</v>
      </c>
      <c r="N139" s="141" t="s">
        <v>84</v>
      </c>
      <c r="O139" s="141" t="s">
        <v>84</v>
      </c>
      <c r="P139" s="141" t="s">
        <v>84</v>
      </c>
      <c r="Q139" s="141" t="s">
        <v>84</v>
      </c>
      <c r="R139" s="141" t="s">
        <v>84</v>
      </c>
      <c r="S139" s="141" t="s">
        <v>84</v>
      </c>
      <c r="T139" s="142"/>
      <c r="U139" s="142"/>
      <c r="V139" s="142"/>
      <c r="W139" s="142"/>
      <c r="X139" s="142"/>
      <c r="Y139" s="142"/>
      <c r="Z139" s="142"/>
      <c r="AA139" s="142"/>
      <c r="AB139" s="142"/>
      <c r="AC139" s="142"/>
      <c r="AD139" s="142"/>
      <c r="AE139" s="142"/>
      <c r="AF139" s="142"/>
      <c r="AG139" s="142"/>
      <c r="AH139" s="142"/>
      <c r="AI139" s="142"/>
      <c r="AJ139" s="142"/>
      <c r="AK139" s="142"/>
      <c r="AL139" s="142"/>
      <c r="AM139" s="142"/>
    </row>
    <row r="140" spans="1:39" ht="27">
      <c r="A140" s="137">
        <v>138</v>
      </c>
      <c r="B140" s="137">
        <v>3</v>
      </c>
      <c r="C140" s="137">
        <v>6</v>
      </c>
      <c r="D140" s="137">
        <v>2</v>
      </c>
      <c r="E140" s="137">
        <v>4</v>
      </c>
      <c r="F140" s="137">
        <v>0</v>
      </c>
      <c r="G140" s="138" t="s">
        <v>797</v>
      </c>
      <c r="H140" s="138" t="s">
        <v>798</v>
      </c>
      <c r="I140" s="138" t="s">
        <v>799</v>
      </c>
      <c r="J140" s="137" t="s">
        <v>83</v>
      </c>
      <c r="K140" s="137" t="s">
        <v>84</v>
      </c>
      <c r="L140" s="137" t="s">
        <v>84</v>
      </c>
      <c r="M140" s="137" t="s">
        <v>84</v>
      </c>
      <c r="N140" s="137" t="s">
        <v>229</v>
      </c>
      <c r="O140" s="137" t="s">
        <v>84</v>
      </c>
      <c r="P140" s="140" t="s">
        <v>801</v>
      </c>
      <c r="Q140" s="138" t="s">
        <v>800</v>
      </c>
      <c r="R140" s="138" t="s">
        <v>2647</v>
      </c>
      <c r="S140" s="138" t="s">
        <v>2648</v>
      </c>
      <c r="T140" s="138"/>
      <c r="U140" s="138"/>
      <c r="V140" s="138"/>
      <c r="W140" s="138"/>
      <c r="X140" s="138"/>
      <c r="Y140" s="138"/>
      <c r="Z140" s="138"/>
      <c r="AA140" s="138"/>
      <c r="AB140" s="138"/>
      <c r="AC140" s="138"/>
      <c r="AD140" s="138"/>
      <c r="AE140" s="138"/>
      <c r="AF140" s="138"/>
      <c r="AG140" s="138"/>
      <c r="AH140" s="138"/>
      <c r="AI140" s="138"/>
      <c r="AJ140" s="138"/>
      <c r="AK140" s="138"/>
      <c r="AL140" s="138"/>
      <c r="AM140" s="138"/>
    </row>
    <row r="141" spans="1:39" ht="37.799999999999997">
      <c r="A141" s="137">
        <v>139</v>
      </c>
      <c r="B141" s="137">
        <v>3</v>
      </c>
      <c r="C141" s="137">
        <v>6</v>
      </c>
      <c r="D141" s="137">
        <v>2</v>
      </c>
      <c r="E141" s="137">
        <v>4</v>
      </c>
      <c r="F141" s="137">
        <v>1</v>
      </c>
      <c r="G141" s="138" t="s">
        <v>802</v>
      </c>
      <c r="H141" s="138" t="s">
        <v>803</v>
      </c>
      <c r="I141" s="138" t="s">
        <v>804</v>
      </c>
      <c r="J141" s="137" t="s">
        <v>83</v>
      </c>
      <c r="K141" s="137" t="s">
        <v>84</v>
      </c>
      <c r="L141" s="137" t="s">
        <v>84</v>
      </c>
      <c r="M141" s="137" t="s">
        <v>84</v>
      </c>
      <c r="N141" s="137" t="s">
        <v>229</v>
      </c>
      <c r="O141" s="137" t="s">
        <v>84</v>
      </c>
      <c r="P141" s="140" t="s">
        <v>808</v>
      </c>
      <c r="Q141" s="138" t="s">
        <v>805</v>
      </c>
      <c r="R141" s="138" t="s">
        <v>806</v>
      </c>
      <c r="S141" s="138" t="s">
        <v>807</v>
      </c>
      <c r="T141" s="138"/>
      <c r="U141" s="138"/>
      <c r="V141" s="138"/>
      <c r="W141" s="138"/>
      <c r="X141" s="138"/>
      <c r="Y141" s="138"/>
      <c r="Z141" s="138"/>
      <c r="AA141" s="138"/>
      <c r="AB141" s="138"/>
      <c r="AC141" s="138"/>
      <c r="AD141" s="138"/>
      <c r="AE141" s="138"/>
      <c r="AF141" s="138"/>
      <c r="AG141" s="138"/>
      <c r="AH141" s="138"/>
      <c r="AI141" s="138"/>
      <c r="AJ141" s="138"/>
      <c r="AK141" s="138"/>
      <c r="AL141" s="138"/>
      <c r="AM141" s="138"/>
    </row>
    <row r="142" spans="1:39" ht="37.799999999999997">
      <c r="A142" s="137">
        <v>140</v>
      </c>
      <c r="B142" s="137">
        <v>3</v>
      </c>
      <c r="C142" s="137">
        <v>6</v>
      </c>
      <c r="D142" s="137">
        <v>2</v>
      </c>
      <c r="E142" s="137">
        <v>4</v>
      </c>
      <c r="F142" s="137">
        <v>1.1000000000000001</v>
      </c>
      <c r="G142" s="138" t="s">
        <v>809</v>
      </c>
      <c r="H142" s="138" t="s">
        <v>810</v>
      </c>
      <c r="I142" s="138" t="s">
        <v>811</v>
      </c>
      <c r="J142" s="137" t="s">
        <v>83</v>
      </c>
      <c r="K142" s="137" t="s">
        <v>84</v>
      </c>
      <c r="L142" s="137" t="s">
        <v>84</v>
      </c>
      <c r="M142" s="137" t="s">
        <v>84</v>
      </c>
      <c r="N142" s="137" t="s">
        <v>229</v>
      </c>
      <c r="O142" s="137" t="s">
        <v>84</v>
      </c>
      <c r="P142" s="140" t="s">
        <v>815</v>
      </c>
      <c r="Q142" s="138" t="s">
        <v>812</v>
      </c>
      <c r="R142" s="138" t="s">
        <v>813</v>
      </c>
      <c r="S142" s="138" t="s">
        <v>814</v>
      </c>
      <c r="T142" s="138"/>
      <c r="U142" s="138"/>
      <c r="V142" s="138"/>
      <c r="W142" s="138"/>
      <c r="X142" s="138"/>
      <c r="Y142" s="138"/>
      <c r="Z142" s="138"/>
      <c r="AA142" s="138"/>
      <c r="AB142" s="138"/>
      <c r="AC142" s="138"/>
      <c r="AD142" s="138"/>
      <c r="AE142" s="138"/>
      <c r="AF142" s="138"/>
      <c r="AG142" s="138"/>
      <c r="AH142" s="138"/>
      <c r="AI142" s="138"/>
      <c r="AJ142" s="138"/>
      <c r="AK142" s="138"/>
      <c r="AL142" s="138"/>
      <c r="AM142" s="138"/>
    </row>
    <row r="143" spans="1:39" ht="38.4" thickBot="1">
      <c r="A143" s="143">
        <v>141</v>
      </c>
      <c r="B143" s="143">
        <v>3</v>
      </c>
      <c r="C143" s="143">
        <v>6</v>
      </c>
      <c r="D143" s="143">
        <v>2</v>
      </c>
      <c r="E143" s="143">
        <v>4</v>
      </c>
      <c r="F143" s="143">
        <v>2</v>
      </c>
      <c r="G143" s="144" t="s">
        <v>816</v>
      </c>
      <c r="H143" s="144" t="s">
        <v>817</v>
      </c>
      <c r="I143" s="138" t="s">
        <v>818</v>
      </c>
      <c r="J143" s="143" t="s">
        <v>83</v>
      </c>
      <c r="K143" s="137" t="s">
        <v>84</v>
      </c>
      <c r="L143" s="137" t="s">
        <v>84</v>
      </c>
      <c r="M143" s="137" t="s">
        <v>84</v>
      </c>
      <c r="N143" s="143" t="s">
        <v>229</v>
      </c>
      <c r="O143" s="143" t="s">
        <v>84</v>
      </c>
      <c r="P143" s="156" t="s">
        <v>822</v>
      </c>
      <c r="Q143" s="138" t="s">
        <v>819</v>
      </c>
      <c r="R143" s="138" t="s">
        <v>820</v>
      </c>
      <c r="S143" s="138" t="s">
        <v>821</v>
      </c>
      <c r="T143" s="144"/>
      <c r="U143" s="144"/>
      <c r="V143" s="144"/>
      <c r="W143" s="144"/>
      <c r="X143" s="144"/>
      <c r="Y143" s="144"/>
      <c r="Z143" s="144"/>
      <c r="AA143" s="144"/>
      <c r="AB143" s="144"/>
      <c r="AC143" s="144"/>
      <c r="AD143" s="144"/>
      <c r="AE143" s="144"/>
      <c r="AF143" s="144"/>
      <c r="AG143" s="144"/>
      <c r="AH143" s="144"/>
      <c r="AI143" s="144"/>
      <c r="AJ143" s="144"/>
      <c r="AK143" s="144"/>
      <c r="AL143" s="144"/>
      <c r="AM143" s="144"/>
    </row>
    <row r="144" spans="1:39" ht="70.8" thickTop="1">
      <c r="A144" s="135">
        <v>142</v>
      </c>
      <c r="B144" s="135">
        <v>3</v>
      </c>
      <c r="C144" s="135">
        <v>7</v>
      </c>
      <c r="D144" s="135">
        <v>1</v>
      </c>
      <c r="E144" s="135">
        <v>0</v>
      </c>
      <c r="F144" s="135">
        <v>0</v>
      </c>
      <c r="G144" s="136" t="s">
        <v>823</v>
      </c>
      <c r="H144" s="136" t="s">
        <v>824</v>
      </c>
      <c r="I144" s="136" t="s">
        <v>825</v>
      </c>
      <c r="J144" s="135" t="s">
        <v>83</v>
      </c>
      <c r="K144" s="135" t="s">
        <v>84</v>
      </c>
      <c r="L144" s="135" t="s">
        <v>84</v>
      </c>
      <c r="M144" s="135" t="s">
        <v>84</v>
      </c>
      <c r="N144" s="135" t="s">
        <v>229</v>
      </c>
      <c r="O144" s="135" t="s">
        <v>382</v>
      </c>
      <c r="P144" s="136" t="s">
        <v>2738</v>
      </c>
      <c r="Q144" s="136" t="s">
        <v>826</v>
      </c>
      <c r="R144" s="136" t="s">
        <v>2739</v>
      </c>
      <c r="S144" s="136" t="s">
        <v>827</v>
      </c>
      <c r="T144" s="136"/>
      <c r="U144" s="136"/>
      <c r="V144" s="136"/>
      <c r="W144" s="136"/>
      <c r="X144" s="136"/>
      <c r="Y144" s="136"/>
      <c r="Z144" s="136"/>
      <c r="AA144" s="136"/>
      <c r="AB144" s="136"/>
      <c r="AC144" s="136"/>
      <c r="AD144" s="136"/>
      <c r="AE144" s="136"/>
      <c r="AF144" s="136"/>
      <c r="AG144" s="136"/>
      <c r="AH144" s="136"/>
      <c r="AI144" s="136"/>
      <c r="AJ144" s="136"/>
      <c r="AK144" s="136"/>
      <c r="AL144" s="136"/>
      <c r="AM144" s="136"/>
    </row>
    <row r="145" spans="1:39" ht="172.8">
      <c r="A145" s="137">
        <v>143</v>
      </c>
      <c r="B145" s="137">
        <v>3</v>
      </c>
      <c r="C145" s="137">
        <v>7</v>
      </c>
      <c r="D145" s="137">
        <v>2</v>
      </c>
      <c r="E145" s="137">
        <v>1</v>
      </c>
      <c r="F145" s="137">
        <v>0</v>
      </c>
      <c r="G145" s="138" t="s">
        <v>828</v>
      </c>
      <c r="H145" s="138" t="s">
        <v>829</v>
      </c>
      <c r="I145" s="138" t="s">
        <v>830</v>
      </c>
      <c r="J145" s="137" t="s">
        <v>83</v>
      </c>
      <c r="K145" s="137" t="s">
        <v>84</v>
      </c>
      <c r="L145" s="137" t="s">
        <v>84</v>
      </c>
      <c r="M145" s="137" t="s">
        <v>84</v>
      </c>
      <c r="N145" s="137" t="s">
        <v>229</v>
      </c>
      <c r="O145" s="137" t="s">
        <v>115</v>
      </c>
      <c r="P145" s="138" t="s">
        <v>2740</v>
      </c>
      <c r="Q145" s="138" t="s">
        <v>831</v>
      </c>
      <c r="R145" s="138" t="s">
        <v>832</v>
      </c>
      <c r="S145" s="138" t="s">
        <v>833</v>
      </c>
      <c r="T145" s="138"/>
      <c r="U145" s="138"/>
      <c r="V145" s="138"/>
      <c r="W145" s="138"/>
      <c r="X145" s="138"/>
      <c r="Y145" s="138"/>
      <c r="Z145" s="138"/>
      <c r="AA145" s="138"/>
      <c r="AB145" s="138"/>
      <c r="AC145" s="138"/>
      <c r="AD145" s="138"/>
      <c r="AE145" s="138"/>
      <c r="AF145" s="138"/>
      <c r="AG145" s="138"/>
      <c r="AH145" s="138"/>
      <c r="AI145" s="138"/>
      <c r="AJ145" s="138"/>
      <c r="AK145" s="138"/>
      <c r="AL145" s="138"/>
      <c r="AM145" s="138"/>
    </row>
    <row r="146" spans="1:39" ht="16.2">
      <c r="A146" s="137">
        <v>144</v>
      </c>
      <c r="B146" s="137">
        <v>3</v>
      </c>
      <c r="C146" s="137">
        <v>7</v>
      </c>
      <c r="D146" s="137">
        <v>2</v>
      </c>
      <c r="E146" s="137">
        <v>1</v>
      </c>
      <c r="F146" s="137">
        <v>1</v>
      </c>
      <c r="G146" s="138" t="s">
        <v>834</v>
      </c>
      <c r="H146" s="138" t="s">
        <v>835</v>
      </c>
      <c r="I146" s="138" t="s">
        <v>836</v>
      </c>
      <c r="J146" s="137" t="s">
        <v>83</v>
      </c>
      <c r="K146" s="137" t="s">
        <v>84</v>
      </c>
      <c r="L146" s="137" t="s">
        <v>84</v>
      </c>
      <c r="M146" s="137" t="s">
        <v>84</v>
      </c>
      <c r="N146" s="137" t="s">
        <v>229</v>
      </c>
      <c r="O146" s="137" t="s">
        <v>115</v>
      </c>
      <c r="P146" s="138" t="s">
        <v>2741</v>
      </c>
      <c r="Q146" s="138" t="s">
        <v>837</v>
      </c>
      <c r="R146" s="138" t="s">
        <v>838</v>
      </c>
      <c r="S146" s="138" t="s">
        <v>839</v>
      </c>
      <c r="T146" s="138"/>
      <c r="U146" s="138"/>
      <c r="V146" s="138"/>
      <c r="W146" s="138"/>
      <c r="X146" s="138"/>
      <c r="Y146" s="138"/>
      <c r="Z146" s="138"/>
      <c r="AA146" s="138"/>
      <c r="AB146" s="138"/>
      <c r="AC146" s="138"/>
      <c r="AD146" s="138"/>
      <c r="AE146" s="138"/>
      <c r="AF146" s="138"/>
      <c r="AG146" s="138"/>
      <c r="AH146" s="138"/>
      <c r="AI146" s="138"/>
      <c r="AJ146" s="138"/>
      <c r="AK146" s="138"/>
      <c r="AL146" s="138"/>
      <c r="AM146" s="138"/>
    </row>
    <row r="147" spans="1:39" ht="16.2">
      <c r="A147" s="137">
        <v>145</v>
      </c>
      <c r="B147" s="137">
        <v>3</v>
      </c>
      <c r="C147" s="137">
        <v>7</v>
      </c>
      <c r="D147" s="137">
        <v>2</v>
      </c>
      <c r="E147" s="137">
        <v>2</v>
      </c>
      <c r="F147" s="137">
        <v>0</v>
      </c>
      <c r="G147" s="138" t="s">
        <v>840</v>
      </c>
      <c r="H147" s="138" t="s">
        <v>841</v>
      </c>
      <c r="I147" s="138" t="s">
        <v>842</v>
      </c>
      <c r="J147" s="137" t="s">
        <v>83</v>
      </c>
      <c r="K147" s="137" t="s">
        <v>84</v>
      </c>
      <c r="L147" s="137" t="s">
        <v>84</v>
      </c>
      <c r="M147" s="137" t="s">
        <v>84</v>
      </c>
      <c r="N147" s="137" t="s">
        <v>84</v>
      </c>
      <c r="O147" s="137" t="s">
        <v>115</v>
      </c>
      <c r="P147" s="138" t="s">
        <v>846</v>
      </c>
      <c r="Q147" s="138" t="s">
        <v>843</v>
      </c>
      <c r="R147" s="138" t="s">
        <v>844</v>
      </c>
      <c r="S147" s="138" t="s">
        <v>845</v>
      </c>
      <c r="T147" s="138"/>
      <c r="U147" s="138"/>
      <c r="V147" s="138"/>
      <c r="W147" s="138"/>
      <c r="X147" s="138"/>
      <c r="Y147" s="138"/>
      <c r="Z147" s="138"/>
      <c r="AA147" s="138"/>
      <c r="AB147" s="138"/>
      <c r="AC147" s="138"/>
      <c r="AD147" s="138"/>
      <c r="AE147" s="138"/>
      <c r="AF147" s="138"/>
      <c r="AG147" s="138"/>
      <c r="AH147" s="138"/>
      <c r="AI147" s="138"/>
      <c r="AJ147" s="138"/>
      <c r="AK147" s="138"/>
      <c r="AL147" s="138"/>
      <c r="AM147" s="138"/>
    </row>
    <row r="148" spans="1:39" ht="16.2">
      <c r="A148" s="137">
        <v>146</v>
      </c>
      <c r="B148" s="137">
        <v>3</v>
      </c>
      <c r="C148" s="137">
        <v>7</v>
      </c>
      <c r="D148" s="137">
        <v>2</v>
      </c>
      <c r="E148" s="137">
        <v>3</v>
      </c>
      <c r="F148" s="137">
        <v>0</v>
      </c>
      <c r="G148" s="138" t="s">
        <v>847</v>
      </c>
      <c r="H148" s="138" t="s">
        <v>848</v>
      </c>
      <c r="I148" s="138" t="s">
        <v>849</v>
      </c>
      <c r="J148" s="137" t="s">
        <v>83</v>
      </c>
      <c r="K148" s="137" t="s">
        <v>84</v>
      </c>
      <c r="L148" s="137" t="s">
        <v>84</v>
      </c>
      <c r="M148" s="137" t="s">
        <v>84</v>
      </c>
      <c r="N148" s="137" t="s">
        <v>229</v>
      </c>
      <c r="O148" s="137" t="s">
        <v>115</v>
      </c>
      <c r="P148" s="138" t="s">
        <v>852</v>
      </c>
      <c r="Q148" s="138" t="s">
        <v>850</v>
      </c>
      <c r="R148" s="138" t="s">
        <v>2742</v>
      </c>
      <c r="S148" s="138" t="s">
        <v>851</v>
      </c>
      <c r="T148" s="138"/>
      <c r="U148" s="138"/>
      <c r="V148" s="138"/>
      <c r="W148" s="138"/>
      <c r="X148" s="138"/>
      <c r="Y148" s="138"/>
      <c r="Z148" s="138"/>
      <c r="AA148" s="138"/>
      <c r="AB148" s="138"/>
      <c r="AC148" s="138"/>
      <c r="AD148" s="138"/>
      <c r="AE148" s="138"/>
      <c r="AF148" s="138"/>
      <c r="AG148" s="138"/>
      <c r="AH148" s="138"/>
      <c r="AI148" s="138"/>
      <c r="AJ148" s="138"/>
      <c r="AK148" s="138"/>
      <c r="AL148" s="138"/>
      <c r="AM148" s="138"/>
    </row>
    <row r="149" spans="1:39" ht="32.4">
      <c r="A149" s="137">
        <v>147</v>
      </c>
      <c r="B149" s="137">
        <v>3</v>
      </c>
      <c r="C149" s="137">
        <v>7</v>
      </c>
      <c r="D149" s="137">
        <v>3</v>
      </c>
      <c r="E149" s="137">
        <v>1</v>
      </c>
      <c r="F149" s="137">
        <v>0</v>
      </c>
      <c r="G149" s="138" t="s">
        <v>853</v>
      </c>
      <c r="H149" s="138" t="s">
        <v>854</v>
      </c>
      <c r="I149" s="138" t="s">
        <v>855</v>
      </c>
      <c r="J149" s="137" t="s">
        <v>83</v>
      </c>
      <c r="K149" s="137" t="s">
        <v>84</v>
      </c>
      <c r="L149" s="137" t="s">
        <v>84</v>
      </c>
      <c r="M149" s="137" t="s">
        <v>84</v>
      </c>
      <c r="N149" s="137" t="s">
        <v>230</v>
      </c>
      <c r="O149" s="137" t="s">
        <v>382</v>
      </c>
      <c r="P149" s="138" t="s">
        <v>2746</v>
      </c>
      <c r="Q149" s="138" t="s">
        <v>2743</v>
      </c>
      <c r="R149" s="138" t="s">
        <v>2744</v>
      </c>
      <c r="S149" s="138" t="s">
        <v>2745</v>
      </c>
      <c r="T149" s="138"/>
      <c r="U149" s="138"/>
      <c r="V149" s="138"/>
      <c r="W149" s="138"/>
      <c r="X149" s="138"/>
      <c r="Y149" s="138"/>
      <c r="Z149" s="138"/>
      <c r="AA149" s="138"/>
      <c r="AB149" s="138"/>
      <c r="AC149" s="138"/>
      <c r="AD149" s="138"/>
      <c r="AE149" s="138"/>
      <c r="AF149" s="138"/>
      <c r="AG149" s="138"/>
      <c r="AH149" s="138"/>
      <c r="AI149" s="138"/>
      <c r="AJ149" s="138"/>
      <c r="AK149" s="138"/>
      <c r="AL149" s="138"/>
      <c r="AM149" s="138"/>
    </row>
    <row r="150" spans="1:39" ht="16.2">
      <c r="A150" s="137">
        <v>148</v>
      </c>
      <c r="B150" s="137">
        <v>3</v>
      </c>
      <c r="C150" s="137">
        <v>7</v>
      </c>
      <c r="D150" s="137">
        <v>3</v>
      </c>
      <c r="E150" s="137">
        <v>1</v>
      </c>
      <c r="F150" s="137">
        <v>1</v>
      </c>
      <c r="G150" s="138" t="s">
        <v>856</v>
      </c>
      <c r="H150" s="138" t="s">
        <v>857</v>
      </c>
      <c r="I150" s="138" t="s">
        <v>858</v>
      </c>
      <c r="J150" s="137" t="s">
        <v>83</v>
      </c>
      <c r="K150" s="137" t="s">
        <v>84</v>
      </c>
      <c r="L150" s="137" t="s">
        <v>84</v>
      </c>
      <c r="M150" s="137" t="s">
        <v>84</v>
      </c>
      <c r="N150" s="137" t="s">
        <v>84</v>
      </c>
      <c r="O150" s="137" t="s">
        <v>382</v>
      </c>
      <c r="P150" s="138" t="s">
        <v>862</v>
      </c>
      <c r="Q150" s="138" t="s">
        <v>859</v>
      </c>
      <c r="R150" s="138" t="s">
        <v>860</v>
      </c>
      <c r="S150" s="138" t="s">
        <v>861</v>
      </c>
      <c r="T150" s="138"/>
      <c r="U150" s="138"/>
      <c r="V150" s="138"/>
      <c r="W150" s="138"/>
      <c r="X150" s="138"/>
      <c r="Y150" s="138"/>
      <c r="Z150" s="138"/>
      <c r="AA150" s="138"/>
      <c r="AB150" s="138"/>
      <c r="AC150" s="138"/>
      <c r="AD150" s="138"/>
      <c r="AE150" s="138"/>
      <c r="AF150" s="138"/>
      <c r="AG150" s="138"/>
      <c r="AH150" s="138"/>
      <c r="AI150" s="138"/>
      <c r="AJ150" s="138"/>
      <c r="AK150" s="138"/>
      <c r="AL150" s="138"/>
      <c r="AM150" s="138"/>
    </row>
    <row r="151" spans="1:39" ht="16.2">
      <c r="A151" s="137">
        <v>149</v>
      </c>
      <c r="B151" s="137">
        <v>3</v>
      </c>
      <c r="C151" s="137">
        <v>7</v>
      </c>
      <c r="D151" s="137">
        <v>3</v>
      </c>
      <c r="E151" s="137">
        <v>1</v>
      </c>
      <c r="F151" s="137">
        <v>2</v>
      </c>
      <c r="G151" s="138" t="s">
        <v>863</v>
      </c>
      <c r="H151" s="138" t="s">
        <v>864</v>
      </c>
      <c r="I151" s="138" t="s">
        <v>865</v>
      </c>
      <c r="J151" s="137" t="s">
        <v>83</v>
      </c>
      <c r="K151" s="137" t="s">
        <v>84</v>
      </c>
      <c r="L151" s="137" t="s">
        <v>84</v>
      </c>
      <c r="M151" s="137" t="s">
        <v>84</v>
      </c>
      <c r="N151" s="137" t="s">
        <v>84</v>
      </c>
      <c r="O151" s="137" t="s">
        <v>382</v>
      </c>
      <c r="P151" s="138" t="s">
        <v>869</v>
      </c>
      <c r="Q151" s="138" t="s">
        <v>866</v>
      </c>
      <c r="R151" s="138" t="s">
        <v>867</v>
      </c>
      <c r="S151" s="138" t="s">
        <v>868</v>
      </c>
      <c r="T151" s="138"/>
      <c r="U151" s="138"/>
      <c r="V151" s="138"/>
      <c r="W151" s="138"/>
      <c r="X151" s="138"/>
      <c r="Y151" s="138"/>
      <c r="Z151" s="138"/>
      <c r="AA151" s="138"/>
      <c r="AB151" s="138"/>
      <c r="AC151" s="138"/>
      <c r="AD151" s="138"/>
      <c r="AE151" s="138"/>
      <c r="AF151" s="138"/>
      <c r="AG151" s="138"/>
      <c r="AH151" s="138"/>
      <c r="AI151" s="138"/>
      <c r="AJ151" s="138"/>
      <c r="AK151" s="138"/>
      <c r="AL151" s="138"/>
      <c r="AM151" s="138"/>
    </row>
    <row r="152" spans="1:39" ht="16.2">
      <c r="A152" s="137">
        <v>150</v>
      </c>
      <c r="B152" s="137">
        <v>3</v>
      </c>
      <c r="C152" s="137">
        <v>7</v>
      </c>
      <c r="D152" s="137">
        <v>3</v>
      </c>
      <c r="E152" s="137">
        <v>1</v>
      </c>
      <c r="F152" s="137">
        <v>3</v>
      </c>
      <c r="G152" s="138" t="s">
        <v>870</v>
      </c>
      <c r="H152" s="138" t="s">
        <v>871</v>
      </c>
      <c r="I152" s="138" t="s">
        <v>872</v>
      </c>
      <c r="J152" s="137" t="s">
        <v>83</v>
      </c>
      <c r="K152" s="137" t="s">
        <v>84</v>
      </c>
      <c r="L152" s="137" t="s">
        <v>84</v>
      </c>
      <c r="M152" s="137" t="s">
        <v>84</v>
      </c>
      <c r="N152" s="137" t="s">
        <v>84</v>
      </c>
      <c r="O152" s="137" t="s">
        <v>382</v>
      </c>
      <c r="P152" s="138" t="s">
        <v>876</v>
      </c>
      <c r="Q152" s="138" t="s">
        <v>873</v>
      </c>
      <c r="R152" s="138" t="s">
        <v>874</v>
      </c>
      <c r="S152" s="138" t="s">
        <v>875</v>
      </c>
      <c r="T152" s="138"/>
      <c r="U152" s="138"/>
      <c r="V152" s="138"/>
      <c r="W152" s="138"/>
      <c r="X152" s="138"/>
      <c r="Y152" s="138"/>
      <c r="Z152" s="138"/>
      <c r="AA152" s="138"/>
      <c r="AB152" s="138"/>
      <c r="AC152" s="138"/>
      <c r="AD152" s="138"/>
      <c r="AE152" s="138"/>
      <c r="AF152" s="138"/>
      <c r="AG152" s="138"/>
      <c r="AH152" s="138"/>
      <c r="AI152" s="138"/>
      <c r="AJ152" s="138"/>
      <c r="AK152" s="138"/>
      <c r="AL152" s="138"/>
      <c r="AM152" s="138"/>
    </row>
    <row r="153" spans="1:39" ht="16.2">
      <c r="A153" s="137">
        <v>151</v>
      </c>
      <c r="B153" s="137">
        <v>3</v>
      </c>
      <c r="C153" s="137">
        <v>7</v>
      </c>
      <c r="D153" s="137">
        <v>3</v>
      </c>
      <c r="E153" s="137">
        <v>1</v>
      </c>
      <c r="F153" s="137">
        <v>4</v>
      </c>
      <c r="G153" s="138" t="s">
        <v>877</v>
      </c>
      <c r="H153" s="138" t="s">
        <v>878</v>
      </c>
      <c r="I153" s="138" t="s">
        <v>879</v>
      </c>
      <c r="J153" s="137" t="s">
        <v>83</v>
      </c>
      <c r="K153" s="137" t="s">
        <v>84</v>
      </c>
      <c r="L153" s="137" t="s">
        <v>84</v>
      </c>
      <c r="M153" s="137" t="s">
        <v>84</v>
      </c>
      <c r="N153" s="137" t="s">
        <v>84</v>
      </c>
      <c r="O153" s="137" t="s">
        <v>382</v>
      </c>
      <c r="P153" s="138" t="s">
        <v>882</v>
      </c>
      <c r="Q153" s="138" t="s">
        <v>880</v>
      </c>
      <c r="R153" s="138" t="s">
        <v>2747</v>
      </c>
      <c r="S153" s="138" t="s">
        <v>881</v>
      </c>
      <c r="T153" s="138"/>
      <c r="U153" s="138"/>
      <c r="V153" s="138"/>
      <c r="W153" s="138"/>
      <c r="X153" s="138"/>
      <c r="Y153" s="138"/>
      <c r="Z153" s="138"/>
      <c r="AA153" s="138"/>
      <c r="AB153" s="138"/>
      <c r="AC153" s="138"/>
      <c r="AD153" s="138"/>
      <c r="AE153" s="138"/>
      <c r="AF153" s="138"/>
      <c r="AG153" s="138"/>
      <c r="AH153" s="138"/>
      <c r="AI153" s="138"/>
      <c r="AJ153" s="138"/>
      <c r="AK153" s="138"/>
      <c r="AL153" s="138"/>
      <c r="AM153" s="138"/>
    </row>
    <row r="154" spans="1:39" ht="59.4">
      <c r="A154" s="137">
        <v>152</v>
      </c>
      <c r="B154" s="137">
        <v>3</v>
      </c>
      <c r="C154" s="137">
        <v>7</v>
      </c>
      <c r="D154" s="137">
        <v>3</v>
      </c>
      <c r="E154" s="137">
        <v>2</v>
      </c>
      <c r="F154" s="137">
        <v>1</v>
      </c>
      <c r="G154" s="138" t="s">
        <v>883</v>
      </c>
      <c r="H154" s="138" t="s">
        <v>884</v>
      </c>
      <c r="I154" s="138" t="s">
        <v>2748</v>
      </c>
      <c r="J154" s="137" t="s">
        <v>83</v>
      </c>
      <c r="K154" s="137" t="s">
        <v>84</v>
      </c>
      <c r="L154" s="137" t="s">
        <v>84</v>
      </c>
      <c r="M154" s="137" t="s">
        <v>84</v>
      </c>
      <c r="N154" s="137" t="s">
        <v>229</v>
      </c>
      <c r="O154" s="137" t="s">
        <v>382</v>
      </c>
      <c r="P154" s="138" t="s">
        <v>2749</v>
      </c>
      <c r="Q154" s="138" t="s">
        <v>885</v>
      </c>
      <c r="R154" s="138" t="s">
        <v>886</v>
      </c>
      <c r="S154" s="138" t="s">
        <v>887</v>
      </c>
      <c r="T154" s="138"/>
      <c r="U154" s="138"/>
      <c r="V154" s="138"/>
      <c r="W154" s="138"/>
      <c r="X154" s="138"/>
      <c r="Y154" s="138"/>
      <c r="Z154" s="138"/>
      <c r="AA154" s="138"/>
      <c r="AB154" s="138"/>
      <c r="AC154" s="138"/>
      <c r="AD154" s="138"/>
      <c r="AE154" s="138"/>
      <c r="AF154" s="138"/>
      <c r="AG154" s="138"/>
      <c r="AH154" s="138"/>
      <c r="AI154" s="138"/>
      <c r="AJ154" s="138"/>
      <c r="AK154" s="138"/>
      <c r="AL154" s="138"/>
      <c r="AM154" s="138"/>
    </row>
    <row r="155" spans="1:39" ht="75.599999999999994">
      <c r="A155" s="137">
        <v>153</v>
      </c>
      <c r="B155" s="137">
        <v>3</v>
      </c>
      <c r="C155" s="137">
        <v>7</v>
      </c>
      <c r="D155" s="137">
        <v>3</v>
      </c>
      <c r="E155" s="137">
        <v>2</v>
      </c>
      <c r="F155" s="137">
        <v>2</v>
      </c>
      <c r="G155" s="138" t="s">
        <v>888</v>
      </c>
      <c r="H155" s="138" t="s">
        <v>889</v>
      </c>
      <c r="I155" s="138" t="s">
        <v>2750</v>
      </c>
      <c r="J155" s="137" t="s">
        <v>83</v>
      </c>
      <c r="K155" s="137" t="s">
        <v>84</v>
      </c>
      <c r="L155" s="137" t="s">
        <v>84</v>
      </c>
      <c r="M155" s="137" t="s">
        <v>84</v>
      </c>
      <c r="N155" s="137" t="s">
        <v>229</v>
      </c>
      <c r="O155" s="137" t="s">
        <v>382</v>
      </c>
      <c r="P155" s="138" t="s">
        <v>2751</v>
      </c>
      <c r="Q155" s="138" t="s">
        <v>890</v>
      </c>
      <c r="R155" s="138" t="s">
        <v>2752</v>
      </c>
      <c r="S155" s="138" t="s">
        <v>2753</v>
      </c>
      <c r="T155" s="138"/>
      <c r="U155" s="138"/>
      <c r="V155" s="138"/>
      <c r="W155" s="138"/>
      <c r="X155" s="138"/>
      <c r="Y155" s="138"/>
      <c r="Z155" s="138"/>
      <c r="AA155" s="138"/>
      <c r="AB155" s="138"/>
      <c r="AC155" s="138"/>
      <c r="AD155" s="138"/>
      <c r="AE155" s="138"/>
      <c r="AF155" s="138"/>
      <c r="AG155" s="138"/>
      <c r="AH155" s="138"/>
      <c r="AI155" s="138"/>
      <c r="AJ155" s="138"/>
      <c r="AK155" s="138"/>
      <c r="AL155" s="138"/>
      <c r="AM155" s="138"/>
    </row>
    <row r="156" spans="1:39" ht="94.2">
      <c r="A156" s="137">
        <v>154</v>
      </c>
      <c r="B156" s="137">
        <v>3</v>
      </c>
      <c r="C156" s="137">
        <v>7</v>
      </c>
      <c r="D156" s="137">
        <v>3</v>
      </c>
      <c r="E156" s="137">
        <v>2</v>
      </c>
      <c r="F156" s="137">
        <v>3</v>
      </c>
      <c r="G156" s="138" t="s">
        <v>891</v>
      </c>
      <c r="H156" s="138" t="s">
        <v>892</v>
      </c>
      <c r="I156" s="138" t="s">
        <v>2754</v>
      </c>
      <c r="J156" s="137" t="s">
        <v>83</v>
      </c>
      <c r="K156" s="137" t="s">
        <v>84</v>
      </c>
      <c r="L156" s="137" t="s">
        <v>84</v>
      </c>
      <c r="M156" s="137" t="s">
        <v>84</v>
      </c>
      <c r="N156" s="137" t="s">
        <v>229</v>
      </c>
      <c r="O156" s="137" t="s">
        <v>382</v>
      </c>
      <c r="P156" s="138" t="s">
        <v>2755</v>
      </c>
      <c r="Q156" s="138" t="s">
        <v>2756</v>
      </c>
      <c r="R156" s="138" t="s">
        <v>2757</v>
      </c>
      <c r="S156" s="138" t="s">
        <v>2758</v>
      </c>
      <c r="T156" s="138"/>
      <c r="U156" s="138"/>
      <c r="V156" s="138"/>
      <c r="W156" s="138"/>
      <c r="X156" s="138"/>
      <c r="Y156" s="138"/>
      <c r="Z156" s="138"/>
      <c r="AA156" s="138"/>
      <c r="AB156" s="138"/>
      <c r="AC156" s="138"/>
      <c r="AD156" s="138"/>
      <c r="AE156" s="138"/>
      <c r="AF156" s="138"/>
      <c r="AG156" s="138"/>
      <c r="AH156" s="138"/>
      <c r="AI156" s="138"/>
      <c r="AJ156" s="138"/>
      <c r="AK156" s="138"/>
      <c r="AL156" s="138"/>
      <c r="AM156" s="138"/>
    </row>
    <row r="157" spans="1:39" ht="64.8">
      <c r="A157" s="137">
        <v>155</v>
      </c>
      <c r="B157" s="137">
        <v>3</v>
      </c>
      <c r="C157" s="137">
        <v>7</v>
      </c>
      <c r="D157" s="137">
        <v>3</v>
      </c>
      <c r="E157" s="137">
        <v>2</v>
      </c>
      <c r="F157" s="137">
        <v>4</v>
      </c>
      <c r="G157" s="138" t="s">
        <v>893</v>
      </c>
      <c r="H157" s="138" t="s">
        <v>894</v>
      </c>
      <c r="I157" s="138" t="s">
        <v>2759</v>
      </c>
      <c r="J157" s="137" t="s">
        <v>83</v>
      </c>
      <c r="K157" s="137" t="s">
        <v>84</v>
      </c>
      <c r="L157" s="137" t="s">
        <v>84</v>
      </c>
      <c r="M157" s="137" t="s">
        <v>84</v>
      </c>
      <c r="N157" s="137" t="s">
        <v>229</v>
      </c>
      <c r="O157" s="137" t="s">
        <v>303</v>
      </c>
      <c r="P157" s="138" t="s">
        <v>2760</v>
      </c>
      <c r="Q157" s="138" t="s">
        <v>2761</v>
      </c>
      <c r="R157" s="138" t="s">
        <v>2762</v>
      </c>
      <c r="S157" s="138" t="s">
        <v>2763</v>
      </c>
      <c r="T157" s="138"/>
      <c r="U157" s="138"/>
      <c r="V157" s="138"/>
      <c r="W157" s="138"/>
      <c r="X157" s="138"/>
      <c r="Y157" s="138"/>
      <c r="Z157" s="138"/>
      <c r="AA157" s="138"/>
      <c r="AB157" s="138"/>
      <c r="AC157" s="138"/>
      <c r="AD157" s="138"/>
      <c r="AE157" s="138"/>
      <c r="AF157" s="138"/>
      <c r="AG157" s="138"/>
      <c r="AH157" s="138"/>
      <c r="AI157" s="138"/>
      <c r="AJ157" s="138"/>
      <c r="AK157" s="138"/>
      <c r="AL157" s="138"/>
      <c r="AM157" s="138"/>
    </row>
    <row r="158" spans="1:39" ht="86.4">
      <c r="A158" s="137">
        <v>156</v>
      </c>
      <c r="B158" s="137">
        <v>3</v>
      </c>
      <c r="C158" s="137">
        <v>7</v>
      </c>
      <c r="D158" s="137">
        <v>3</v>
      </c>
      <c r="E158" s="137">
        <v>2</v>
      </c>
      <c r="F158" s="137">
        <v>5</v>
      </c>
      <c r="G158" s="138" t="s">
        <v>895</v>
      </c>
      <c r="H158" s="138" t="s">
        <v>896</v>
      </c>
      <c r="I158" s="138" t="s">
        <v>2764</v>
      </c>
      <c r="J158" s="137" t="s">
        <v>83</v>
      </c>
      <c r="K158" s="137" t="s">
        <v>84</v>
      </c>
      <c r="L158" s="137" t="s">
        <v>84</v>
      </c>
      <c r="M158" s="137" t="s">
        <v>84</v>
      </c>
      <c r="N158" s="137" t="s">
        <v>229</v>
      </c>
      <c r="O158" s="137" t="s">
        <v>303</v>
      </c>
      <c r="P158" s="138" t="s">
        <v>2765</v>
      </c>
      <c r="Q158" s="138" t="s">
        <v>2766</v>
      </c>
      <c r="R158" s="138" t="s">
        <v>2767</v>
      </c>
      <c r="S158" s="138" t="s">
        <v>2768</v>
      </c>
      <c r="T158" s="138"/>
      <c r="U158" s="138"/>
      <c r="V158" s="138"/>
      <c r="W158" s="138"/>
      <c r="X158" s="138"/>
      <c r="Y158" s="138"/>
      <c r="Z158" s="138"/>
      <c r="AA158" s="138"/>
      <c r="AB158" s="138"/>
      <c r="AC158" s="138"/>
      <c r="AD158" s="138"/>
      <c r="AE158" s="138"/>
      <c r="AF158" s="138"/>
      <c r="AG158" s="138"/>
      <c r="AH158" s="138"/>
      <c r="AI158" s="138"/>
      <c r="AJ158" s="138"/>
      <c r="AK158" s="138"/>
      <c r="AL158" s="138"/>
      <c r="AM158" s="138"/>
    </row>
    <row r="159" spans="1:39" ht="64.8">
      <c r="A159" s="137">
        <v>157</v>
      </c>
      <c r="B159" s="137">
        <v>3</v>
      </c>
      <c r="C159" s="137">
        <v>7</v>
      </c>
      <c r="D159" s="137">
        <v>3</v>
      </c>
      <c r="E159" s="137">
        <v>2</v>
      </c>
      <c r="F159" s="137">
        <v>6</v>
      </c>
      <c r="G159" s="138" t="s">
        <v>897</v>
      </c>
      <c r="H159" s="138" t="s">
        <v>898</v>
      </c>
      <c r="I159" s="138" t="s">
        <v>2769</v>
      </c>
      <c r="J159" s="137" t="s">
        <v>83</v>
      </c>
      <c r="K159" s="137" t="s">
        <v>84</v>
      </c>
      <c r="L159" s="137" t="s">
        <v>84</v>
      </c>
      <c r="M159" s="137" t="s">
        <v>84</v>
      </c>
      <c r="N159" s="137" t="s">
        <v>229</v>
      </c>
      <c r="O159" s="137" t="s">
        <v>899</v>
      </c>
      <c r="P159" s="138" t="s">
        <v>2770</v>
      </c>
      <c r="Q159" s="138" t="s">
        <v>2771</v>
      </c>
      <c r="R159" s="138" t="s">
        <v>2772</v>
      </c>
      <c r="S159" s="138" t="s">
        <v>2773</v>
      </c>
      <c r="T159" s="138"/>
      <c r="U159" s="138"/>
      <c r="V159" s="138"/>
      <c r="W159" s="138"/>
      <c r="X159" s="138"/>
      <c r="Y159" s="138"/>
      <c r="Z159" s="138"/>
      <c r="AA159" s="138"/>
      <c r="AB159" s="138"/>
      <c r="AC159" s="138"/>
      <c r="AD159" s="138"/>
      <c r="AE159" s="138"/>
      <c r="AF159" s="138"/>
      <c r="AG159" s="138"/>
      <c r="AH159" s="138"/>
      <c r="AI159" s="138"/>
      <c r="AJ159" s="138"/>
      <c r="AK159" s="138"/>
      <c r="AL159" s="138"/>
      <c r="AM159" s="138"/>
    </row>
    <row r="160" spans="1:39" ht="70.2">
      <c r="A160" s="137">
        <v>158</v>
      </c>
      <c r="B160" s="137">
        <v>3</v>
      </c>
      <c r="C160" s="137">
        <v>7</v>
      </c>
      <c r="D160" s="137">
        <v>3</v>
      </c>
      <c r="E160" s="137">
        <v>2</v>
      </c>
      <c r="F160" s="137">
        <v>7</v>
      </c>
      <c r="G160" s="138" t="s">
        <v>900</v>
      </c>
      <c r="H160" s="138" t="s">
        <v>901</v>
      </c>
      <c r="I160" s="138" t="s">
        <v>2774</v>
      </c>
      <c r="J160" s="137" t="s">
        <v>83</v>
      </c>
      <c r="K160" s="137" t="s">
        <v>84</v>
      </c>
      <c r="L160" s="137" t="s">
        <v>84</v>
      </c>
      <c r="M160" s="137" t="s">
        <v>84</v>
      </c>
      <c r="N160" s="137" t="s">
        <v>229</v>
      </c>
      <c r="O160" s="137" t="s">
        <v>902</v>
      </c>
      <c r="P160" s="138" t="s">
        <v>2775</v>
      </c>
      <c r="Q160" s="138" t="s">
        <v>2776</v>
      </c>
      <c r="R160" s="138" t="s">
        <v>2777</v>
      </c>
      <c r="S160" s="138" t="s">
        <v>2778</v>
      </c>
      <c r="T160" s="138"/>
      <c r="U160" s="138"/>
      <c r="V160" s="138"/>
      <c r="W160" s="138"/>
      <c r="X160" s="138"/>
      <c r="Y160" s="138"/>
      <c r="Z160" s="138"/>
      <c r="AA160" s="138"/>
      <c r="AB160" s="138"/>
      <c r="AC160" s="138"/>
      <c r="AD160" s="138"/>
      <c r="AE160" s="138"/>
      <c r="AF160" s="138"/>
      <c r="AG160" s="138"/>
      <c r="AH160" s="138"/>
      <c r="AI160" s="138"/>
      <c r="AJ160" s="138"/>
      <c r="AK160" s="138"/>
      <c r="AL160" s="138"/>
      <c r="AM160" s="138"/>
    </row>
    <row r="161" spans="1:39" ht="75.599999999999994">
      <c r="A161" s="137">
        <v>159</v>
      </c>
      <c r="B161" s="137">
        <v>3</v>
      </c>
      <c r="C161" s="137">
        <v>7</v>
      </c>
      <c r="D161" s="137">
        <v>3</v>
      </c>
      <c r="E161" s="137">
        <v>2</v>
      </c>
      <c r="F161" s="137">
        <v>8</v>
      </c>
      <c r="G161" s="138" t="s">
        <v>903</v>
      </c>
      <c r="H161" s="138" t="s">
        <v>904</v>
      </c>
      <c r="I161" s="138" t="s">
        <v>2779</v>
      </c>
      <c r="J161" s="137" t="s">
        <v>83</v>
      </c>
      <c r="K161" s="137" t="s">
        <v>84</v>
      </c>
      <c r="L161" s="137" t="s">
        <v>84</v>
      </c>
      <c r="M161" s="137" t="s">
        <v>84</v>
      </c>
      <c r="N161" s="137" t="s">
        <v>229</v>
      </c>
      <c r="O161" s="137" t="s">
        <v>382</v>
      </c>
      <c r="P161" s="138" t="s">
        <v>2780</v>
      </c>
      <c r="Q161" s="138" t="s">
        <v>2781</v>
      </c>
      <c r="R161" s="138" t="s">
        <v>2782</v>
      </c>
      <c r="S161" s="138" t="s">
        <v>2783</v>
      </c>
      <c r="T161" s="138"/>
      <c r="U161" s="138"/>
      <c r="V161" s="138"/>
      <c r="W161" s="138"/>
      <c r="X161" s="138"/>
      <c r="Y161" s="138"/>
      <c r="Z161" s="138"/>
      <c r="AA161" s="138"/>
      <c r="AB161" s="138"/>
      <c r="AC161" s="138"/>
      <c r="AD161" s="138"/>
      <c r="AE161" s="138"/>
      <c r="AF161" s="138"/>
      <c r="AG161" s="138"/>
      <c r="AH161" s="138"/>
      <c r="AI161" s="138"/>
      <c r="AJ161" s="138"/>
      <c r="AK161" s="138"/>
      <c r="AL161" s="138"/>
      <c r="AM161" s="138"/>
    </row>
    <row r="162" spans="1:39" ht="70.2">
      <c r="A162" s="137">
        <v>160</v>
      </c>
      <c r="B162" s="137">
        <v>3</v>
      </c>
      <c r="C162" s="137">
        <v>7</v>
      </c>
      <c r="D162" s="137">
        <v>3</v>
      </c>
      <c r="E162" s="137">
        <v>2</v>
      </c>
      <c r="F162" s="137">
        <v>9</v>
      </c>
      <c r="G162" s="138" t="s">
        <v>905</v>
      </c>
      <c r="H162" s="138" t="s">
        <v>906</v>
      </c>
      <c r="I162" s="138" t="s">
        <v>2784</v>
      </c>
      <c r="J162" s="137" t="s">
        <v>83</v>
      </c>
      <c r="K162" s="137" t="s">
        <v>84</v>
      </c>
      <c r="L162" s="137" t="s">
        <v>84</v>
      </c>
      <c r="M162" s="137" t="s">
        <v>84</v>
      </c>
      <c r="N162" s="137" t="s">
        <v>229</v>
      </c>
      <c r="O162" s="137" t="s">
        <v>86</v>
      </c>
      <c r="P162" s="138" t="s">
        <v>2785</v>
      </c>
      <c r="Q162" s="138" t="s">
        <v>907</v>
      </c>
      <c r="R162" s="138" t="s">
        <v>2786</v>
      </c>
      <c r="S162" s="138" t="s">
        <v>2787</v>
      </c>
      <c r="T162" s="138"/>
      <c r="U162" s="138"/>
      <c r="V162" s="138"/>
      <c r="W162" s="138"/>
      <c r="X162" s="138"/>
      <c r="Y162" s="138"/>
      <c r="Z162" s="138"/>
      <c r="AA162" s="138"/>
      <c r="AB162" s="138"/>
      <c r="AC162" s="138"/>
      <c r="AD162" s="138"/>
      <c r="AE162" s="138"/>
      <c r="AF162" s="138"/>
      <c r="AG162" s="138"/>
      <c r="AH162" s="138"/>
      <c r="AI162" s="138"/>
      <c r="AJ162" s="138"/>
      <c r="AK162" s="138"/>
      <c r="AL162" s="138"/>
      <c r="AM162" s="138"/>
    </row>
    <row r="163" spans="1:39" ht="81">
      <c r="A163" s="137">
        <v>161</v>
      </c>
      <c r="B163" s="137">
        <v>3</v>
      </c>
      <c r="C163" s="137">
        <v>7</v>
      </c>
      <c r="D163" s="137">
        <v>4</v>
      </c>
      <c r="E163" s="137">
        <v>1</v>
      </c>
      <c r="F163" s="137">
        <v>0</v>
      </c>
      <c r="G163" s="138" t="s">
        <v>908</v>
      </c>
      <c r="H163" s="138" t="s">
        <v>909</v>
      </c>
      <c r="I163" s="138" t="s">
        <v>2788</v>
      </c>
      <c r="J163" s="137" t="s">
        <v>83</v>
      </c>
      <c r="K163" s="137" t="s">
        <v>84</v>
      </c>
      <c r="L163" s="137" t="s">
        <v>84</v>
      </c>
      <c r="M163" s="137" t="s">
        <v>84</v>
      </c>
      <c r="N163" s="137" t="s">
        <v>229</v>
      </c>
      <c r="O163" s="137" t="s">
        <v>899</v>
      </c>
      <c r="P163" s="138" t="s">
        <v>2789</v>
      </c>
      <c r="Q163" s="138" t="s">
        <v>2790</v>
      </c>
      <c r="R163" s="138" t="s">
        <v>2791</v>
      </c>
      <c r="S163" s="138" t="s">
        <v>2792</v>
      </c>
      <c r="T163" s="138"/>
      <c r="U163" s="138"/>
      <c r="V163" s="138"/>
      <c r="W163" s="138"/>
      <c r="X163" s="138"/>
      <c r="Y163" s="138"/>
      <c r="Z163" s="138"/>
      <c r="AA163" s="138"/>
      <c r="AB163" s="138"/>
      <c r="AC163" s="138"/>
      <c r="AD163" s="138"/>
      <c r="AE163" s="138"/>
      <c r="AF163" s="138"/>
      <c r="AG163" s="138"/>
      <c r="AH163" s="138"/>
      <c r="AI163" s="138"/>
      <c r="AJ163" s="138"/>
      <c r="AK163" s="138"/>
      <c r="AL163" s="138"/>
      <c r="AM163" s="138"/>
    </row>
    <row r="164" spans="1:39" ht="91.8">
      <c r="A164" s="137">
        <v>162</v>
      </c>
      <c r="B164" s="137">
        <v>3</v>
      </c>
      <c r="C164" s="137">
        <v>7</v>
      </c>
      <c r="D164" s="137">
        <v>4</v>
      </c>
      <c r="E164" s="137">
        <v>1</v>
      </c>
      <c r="F164" s="137">
        <v>1</v>
      </c>
      <c r="G164" s="138" t="s">
        <v>910</v>
      </c>
      <c r="H164" s="138" t="s">
        <v>911</v>
      </c>
      <c r="I164" s="138" t="s">
        <v>2793</v>
      </c>
      <c r="J164" s="137" t="s">
        <v>83</v>
      </c>
      <c r="K164" s="137" t="s">
        <v>84</v>
      </c>
      <c r="L164" s="137" t="s">
        <v>84</v>
      </c>
      <c r="M164" s="137" t="s">
        <v>84</v>
      </c>
      <c r="N164" s="137" t="s">
        <v>229</v>
      </c>
      <c r="O164" s="137" t="s">
        <v>912</v>
      </c>
      <c r="P164" s="138" t="s">
        <v>2794</v>
      </c>
      <c r="Q164" s="138" t="s">
        <v>2795</v>
      </c>
      <c r="R164" s="138" t="s">
        <v>2796</v>
      </c>
      <c r="S164" s="138" t="s">
        <v>2797</v>
      </c>
      <c r="T164" s="138"/>
      <c r="U164" s="138"/>
      <c r="V164" s="138"/>
      <c r="W164" s="138"/>
      <c r="X164" s="138"/>
      <c r="Y164" s="138"/>
      <c r="Z164" s="138"/>
      <c r="AA164" s="138"/>
      <c r="AB164" s="138"/>
      <c r="AC164" s="138"/>
      <c r="AD164" s="138"/>
      <c r="AE164" s="138"/>
      <c r="AF164" s="138"/>
      <c r="AG164" s="138"/>
      <c r="AH164" s="138"/>
      <c r="AI164" s="138"/>
      <c r="AJ164" s="138"/>
      <c r="AK164" s="138"/>
      <c r="AL164" s="138"/>
      <c r="AM164" s="138"/>
    </row>
    <row r="165" spans="1:39" ht="97.2">
      <c r="A165" s="137">
        <v>163</v>
      </c>
      <c r="B165" s="137">
        <v>3</v>
      </c>
      <c r="C165" s="137">
        <v>7</v>
      </c>
      <c r="D165" s="137">
        <v>4</v>
      </c>
      <c r="E165" s="137">
        <v>2</v>
      </c>
      <c r="F165" s="137">
        <v>0</v>
      </c>
      <c r="G165" s="138" t="s">
        <v>913</v>
      </c>
      <c r="H165" s="138" t="s">
        <v>914</v>
      </c>
      <c r="I165" s="138" t="s">
        <v>2798</v>
      </c>
      <c r="J165" s="137" t="s">
        <v>83</v>
      </c>
      <c r="K165" s="137" t="s">
        <v>84</v>
      </c>
      <c r="L165" s="137" t="s">
        <v>84</v>
      </c>
      <c r="M165" s="137" t="s">
        <v>84</v>
      </c>
      <c r="N165" s="137" t="s">
        <v>229</v>
      </c>
      <c r="O165" s="137" t="s">
        <v>915</v>
      </c>
      <c r="P165" s="138" t="s">
        <v>2799</v>
      </c>
      <c r="Q165" s="138" t="s">
        <v>2800</v>
      </c>
      <c r="R165" s="138" t="s">
        <v>2801</v>
      </c>
      <c r="S165" s="138" t="s">
        <v>2802</v>
      </c>
      <c r="T165" s="138"/>
      <c r="U165" s="138"/>
      <c r="V165" s="138"/>
      <c r="W165" s="138"/>
      <c r="X165" s="138"/>
      <c r="Y165" s="138"/>
      <c r="Z165" s="138"/>
      <c r="AA165" s="138"/>
      <c r="AB165" s="138"/>
      <c r="AC165" s="138"/>
      <c r="AD165" s="138"/>
      <c r="AE165" s="138"/>
      <c r="AF165" s="138"/>
      <c r="AG165" s="138"/>
      <c r="AH165" s="138"/>
      <c r="AI165" s="138"/>
      <c r="AJ165" s="138"/>
      <c r="AK165" s="138"/>
      <c r="AL165" s="138"/>
      <c r="AM165" s="138"/>
    </row>
    <row r="166" spans="1:39" ht="86.4">
      <c r="A166" s="137">
        <v>164</v>
      </c>
      <c r="B166" s="137">
        <v>3</v>
      </c>
      <c r="C166" s="137">
        <v>7</v>
      </c>
      <c r="D166" s="137">
        <v>4</v>
      </c>
      <c r="E166" s="137">
        <v>3</v>
      </c>
      <c r="F166" s="137">
        <v>0</v>
      </c>
      <c r="G166" s="138" t="s">
        <v>916</v>
      </c>
      <c r="H166" s="138" t="s">
        <v>917</v>
      </c>
      <c r="I166" s="138" t="s">
        <v>2803</v>
      </c>
      <c r="J166" s="137" t="s">
        <v>83</v>
      </c>
      <c r="K166" s="137" t="s">
        <v>84</v>
      </c>
      <c r="L166" s="137" t="s">
        <v>84</v>
      </c>
      <c r="M166" s="137" t="s">
        <v>84</v>
      </c>
      <c r="N166" s="137" t="s">
        <v>229</v>
      </c>
      <c r="O166" s="137" t="s">
        <v>918</v>
      </c>
      <c r="P166" s="138" t="s">
        <v>2804</v>
      </c>
      <c r="Q166" s="138" t="s">
        <v>2805</v>
      </c>
      <c r="R166" s="138" t="s">
        <v>2806</v>
      </c>
      <c r="S166" s="138" t="s">
        <v>2807</v>
      </c>
      <c r="T166" s="138"/>
      <c r="U166" s="138"/>
      <c r="V166" s="138"/>
      <c r="W166" s="138"/>
      <c r="X166" s="138"/>
      <c r="Y166" s="138"/>
      <c r="Z166" s="138"/>
      <c r="AA166" s="138"/>
      <c r="AB166" s="138"/>
      <c r="AC166" s="138"/>
      <c r="AD166" s="138"/>
      <c r="AE166" s="138"/>
      <c r="AF166" s="138"/>
      <c r="AG166" s="138"/>
      <c r="AH166" s="138"/>
      <c r="AI166" s="138"/>
      <c r="AJ166" s="138"/>
      <c r="AK166" s="138"/>
      <c r="AL166" s="138"/>
      <c r="AM166" s="138"/>
    </row>
    <row r="167" spans="1:39">
      <c r="A167" s="141">
        <v>165</v>
      </c>
      <c r="B167" s="141">
        <v>3</v>
      </c>
      <c r="C167" s="141">
        <v>7</v>
      </c>
      <c r="D167" s="141">
        <v>4</v>
      </c>
      <c r="E167" s="141">
        <v>4</v>
      </c>
      <c r="F167" s="141">
        <v>0</v>
      </c>
      <c r="G167" s="142" t="s">
        <v>919</v>
      </c>
      <c r="H167" s="142" t="s">
        <v>920</v>
      </c>
      <c r="I167" s="141" t="s">
        <v>84</v>
      </c>
      <c r="J167" s="141" t="s">
        <v>154</v>
      </c>
      <c r="K167" s="141" t="s">
        <v>155</v>
      </c>
      <c r="L167" s="142" t="s">
        <v>921</v>
      </c>
      <c r="M167" s="142" t="s">
        <v>739</v>
      </c>
      <c r="N167" s="141" t="s">
        <v>84</v>
      </c>
      <c r="O167" s="141" t="s">
        <v>84</v>
      </c>
      <c r="P167" s="141" t="s">
        <v>84</v>
      </c>
      <c r="Q167" s="141" t="s">
        <v>84</v>
      </c>
      <c r="R167" s="141" t="s">
        <v>84</v>
      </c>
      <c r="S167" s="141" t="s">
        <v>84</v>
      </c>
      <c r="T167" s="142"/>
      <c r="U167" s="142"/>
      <c r="V167" s="142"/>
      <c r="W167" s="142"/>
      <c r="X167" s="142"/>
      <c r="Y167" s="142"/>
      <c r="Z167" s="142"/>
      <c r="AA167" s="142"/>
      <c r="AB167" s="142"/>
      <c r="AC167" s="142"/>
      <c r="AD167" s="142"/>
      <c r="AE167" s="142"/>
      <c r="AF167" s="142"/>
      <c r="AG167" s="142"/>
      <c r="AH167" s="142"/>
      <c r="AI167" s="142"/>
      <c r="AJ167" s="142"/>
      <c r="AK167" s="142"/>
      <c r="AL167" s="142"/>
      <c r="AM167" s="142"/>
    </row>
    <row r="168" spans="1:39" ht="81">
      <c r="A168" s="137">
        <v>166</v>
      </c>
      <c r="B168" s="137">
        <v>3</v>
      </c>
      <c r="C168" s="137">
        <v>7</v>
      </c>
      <c r="D168" s="137">
        <v>4</v>
      </c>
      <c r="E168" s="137">
        <v>5</v>
      </c>
      <c r="F168" s="137">
        <v>0</v>
      </c>
      <c r="G168" s="138" t="s">
        <v>922</v>
      </c>
      <c r="H168" s="138" t="s">
        <v>923</v>
      </c>
      <c r="I168" s="138" t="s">
        <v>2808</v>
      </c>
      <c r="J168" s="137" t="s">
        <v>83</v>
      </c>
      <c r="K168" s="137" t="s">
        <v>84</v>
      </c>
      <c r="L168" s="137" t="s">
        <v>84</v>
      </c>
      <c r="M168" s="137" t="s">
        <v>84</v>
      </c>
      <c r="N168" s="137" t="s">
        <v>84</v>
      </c>
      <c r="O168" s="137" t="s">
        <v>924</v>
      </c>
      <c r="P168" s="138" t="s">
        <v>2809</v>
      </c>
      <c r="Q168" s="138" t="s">
        <v>2810</v>
      </c>
      <c r="R168" s="138" t="s">
        <v>2811</v>
      </c>
      <c r="S168" s="138" t="s">
        <v>2812</v>
      </c>
      <c r="T168" s="138"/>
      <c r="U168" s="138"/>
      <c r="V168" s="138"/>
      <c r="W168" s="138"/>
      <c r="X168" s="138"/>
      <c r="Y168" s="138"/>
      <c r="Z168" s="138"/>
      <c r="AA168" s="138"/>
      <c r="AB168" s="138"/>
      <c r="AC168" s="138"/>
      <c r="AD168" s="138"/>
      <c r="AE168" s="138"/>
      <c r="AF168" s="138"/>
      <c r="AG168" s="138"/>
      <c r="AH168" s="138"/>
      <c r="AI168" s="138"/>
      <c r="AJ168" s="138"/>
      <c r="AK168" s="138"/>
      <c r="AL168" s="138"/>
      <c r="AM168" s="138"/>
    </row>
    <row r="169" spans="1:39" ht="70.2">
      <c r="A169" s="137">
        <v>167</v>
      </c>
      <c r="B169" s="137">
        <v>3</v>
      </c>
      <c r="C169" s="137">
        <v>7</v>
      </c>
      <c r="D169" s="137">
        <v>4</v>
      </c>
      <c r="E169" s="137">
        <v>6</v>
      </c>
      <c r="F169" s="137">
        <v>0</v>
      </c>
      <c r="G169" s="138" t="s">
        <v>925</v>
      </c>
      <c r="H169" s="138" t="s">
        <v>926</v>
      </c>
      <c r="I169" s="138" t="s">
        <v>2813</v>
      </c>
      <c r="J169" s="137" t="s">
        <v>83</v>
      </c>
      <c r="K169" s="137" t="s">
        <v>84</v>
      </c>
      <c r="L169" s="137" t="s">
        <v>84</v>
      </c>
      <c r="M169" s="137" t="s">
        <v>84</v>
      </c>
      <c r="N169" s="137" t="s">
        <v>84</v>
      </c>
      <c r="O169" s="137" t="s">
        <v>927</v>
      </c>
      <c r="P169" s="138" t="s">
        <v>2814</v>
      </c>
      <c r="Q169" s="138" t="s">
        <v>2815</v>
      </c>
      <c r="R169" s="138" t="s">
        <v>2816</v>
      </c>
      <c r="S169" s="138" t="s">
        <v>2817</v>
      </c>
      <c r="T169" s="138"/>
      <c r="U169" s="138"/>
      <c r="V169" s="138"/>
      <c r="W169" s="138"/>
      <c r="X169" s="138"/>
      <c r="Y169" s="138"/>
      <c r="Z169" s="138"/>
      <c r="AA169" s="138"/>
      <c r="AB169" s="138"/>
      <c r="AC169" s="138"/>
      <c r="AD169" s="138"/>
      <c r="AE169" s="138"/>
      <c r="AF169" s="138"/>
      <c r="AG169" s="138"/>
      <c r="AH169" s="138"/>
      <c r="AI169" s="138"/>
      <c r="AJ169" s="138"/>
      <c r="AK169" s="138"/>
      <c r="AL169" s="138"/>
      <c r="AM169" s="138"/>
    </row>
    <row r="170" spans="1:39" ht="64.8">
      <c r="A170" s="137">
        <v>168</v>
      </c>
      <c r="B170" s="137">
        <v>3</v>
      </c>
      <c r="C170" s="137">
        <v>7</v>
      </c>
      <c r="D170" s="137">
        <v>5</v>
      </c>
      <c r="E170" s="137">
        <v>0</v>
      </c>
      <c r="F170" s="137">
        <v>0</v>
      </c>
      <c r="G170" s="138" t="s">
        <v>928</v>
      </c>
      <c r="H170" s="138" t="s">
        <v>929</v>
      </c>
      <c r="I170" s="138" t="s">
        <v>2818</v>
      </c>
      <c r="J170" s="137" t="s">
        <v>83</v>
      </c>
      <c r="K170" s="137" t="s">
        <v>84</v>
      </c>
      <c r="L170" s="137" t="s">
        <v>84</v>
      </c>
      <c r="M170" s="137" t="s">
        <v>84</v>
      </c>
      <c r="N170" s="137" t="s">
        <v>84</v>
      </c>
      <c r="O170" s="137" t="s">
        <v>899</v>
      </c>
      <c r="P170" s="138" t="s">
        <v>2819</v>
      </c>
      <c r="Q170" s="138" t="s">
        <v>2820</v>
      </c>
      <c r="R170" s="138" t="s">
        <v>2821</v>
      </c>
      <c r="S170" s="138" t="s">
        <v>2822</v>
      </c>
      <c r="T170" s="138"/>
      <c r="U170" s="138"/>
      <c r="V170" s="138"/>
      <c r="W170" s="138"/>
      <c r="X170" s="138"/>
      <c r="Y170" s="138"/>
      <c r="Z170" s="138"/>
      <c r="AA170" s="138"/>
      <c r="AB170" s="138"/>
      <c r="AC170" s="138"/>
      <c r="AD170" s="138"/>
      <c r="AE170" s="138"/>
      <c r="AF170" s="138"/>
      <c r="AG170" s="138"/>
      <c r="AH170" s="138"/>
      <c r="AI170" s="138"/>
      <c r="AJ170" s="138"/>
      <c r="AK170" s="138"/>
      <c r="AL170" s="138"/>
      <c r="AM170" s="138"/>
    </row>
    <row r="171" spans="1:39" ht="81">
      <c r="A171" s="137">
        <v>169</v>
      </c>
      <c r="B171" s="137">
        <v>3</v>
      </c>
      <c r="C171" s="137">
        <v>7</v>
      </c>
      <c r="D171" s="137">
        <v>5</v>
      </c>
      <c r="E171" s="137">
        <v>1</v>
      </c>
      <c r="F171" s="137">
        <v>1</v>
      </c>
      <c r="G171" s="138" t="s">
        <v>930</v>
      </c>
      <c r="H171" s="138" t="s">
        <v>931</v>
      </c>
      <c r="I171" s="138" t="s">
        <v>2823</v>
      </c>
      <c r="J171" s="137" t="s">
        <v>83</v>
      </c>
      <c r="K171" s="137" t="s">
        <v>84</v>
      </c>
      <c r="L171" s="137" t="s">
        <v>84</v>
      </c>
      <c r="M171" s="137" t="s">
        <v>84</v>
      </c>
      <c r="N171" s="137" t="s">
        <v>84</v>
      </c>
      <c r="O171" s="137" t="s">
        <v>84</v>
      </c>
      <c r="P171" s="138" t="s">
        <v>2824</v>
      </c>
      <c r="Q171" s="138" t="s">
        <v>2825</v>
      </c>
      <c r="R171" s="138" t="s">
        <v>2826</v>
      </c>
      <c r="S171" s="138" t="s">
        <v>2827</v>
      </c>
      <c r="T171" s="138"/>
      <c r="U171" s="138"/>
      <c r="V171" s="138"/>
      <c r="W171" s="138"/>
      <c r="X171" s="138"/>
      <c r="Y171" s="138"/>
      <c r="Z171" s="138"/>
      <c r="AA171" s="138"/>
      <c r="AB171" s="138"/>
      <c r="AC171" s="138"/>
      <c r="AD171" s="138"/>
      <c r="AE171" s="138"/>
      <c r="AF171" s="138"/>
      <c r="AG171" s="138"/>
      <c r="AH171" s="138"/>
      <c r="AI171" s="138"/>
      <c r="AJ171" s="138"/>
      <c r="AK171" s="138"/>
      <c r="AL171" s="138"/>
      <c r="AM171" s="138"/>
    </row>
    <row r="172" spans="1:39" ht="81">
      <c r="A172" s="137">
        <v>170</v>
      </c>
      <c r="B172" s="137">
        <v>3</v>
      </c>
      <c r="C172" s="137">
        <v>7</v>
      </c>
      <c r="D172" s="137">
        <v>5</v>
      </c>
      <c r="E172" s="137">
        <v>1</v>
      </c>
      <c r="F172" s="137">
        <v>2</v>
      </c>
      <c r="G172" s="138" t="s">
        <v>932</v>
      </c>
      <c r="H172" s="138" t="s">
        <v>933</v>
      </c>
      <c r="I172" s="138" t="s">
        <v>2828</v>
      </c>
      <c r="J172" s="137" t="s">
        <v>83</v>
      </c>
      <c r="K172" s="137" t="s">
        <v>84</v>
      </c>
      <c r="L172" s="137" t="s">
        <v>84</v>
      </c>
      <c r="M172" s="137" t="s">
        <v>84</v>
      </c>
      <c r="N172" s="137" t="s">
        <v>84</v>
      </c>
      <c r="O172" s="137" t="s">
        <v>84</v>
      </c>
      <c r="P172" s="138" t="s">
        <v>2829</v>
      </c>
      <c r="Q172" s="138" t="s">
        <v>2830</v>
      </c>
      <c r="R172" s="138" t="s">
        <v>2831</v>
      </c>
      <c r="S172" s="138" t="s">
        <v>934</v>
      </c>
      <c r="T172" s="138"/>
      <c r="U172" s="138"/>
      <c r="V172" s="138"/>
      <c r="W172" s="138"/>
      <c r="X172" s="138"/>
      <c r="Y172" s="138"/>
      <c r="Z172" s="138"/>
      <c r="AA172" s="138"/>
      <c r="AB172" s="138"/>
      <c r="AC172" s="138"/>
      <c r="AD172" s="138"/>
      <c r="AE172" s="138"/>
      <c r="AF172" s="138"/>
      <c r="AG172" s="138"/>
      <c r="AH172" s="138"/>
      <c r="AI172" s="138"/>
      <c r="AJ172" s="138"/>
      <c r="AK172" s="138"/>
      <c r="AL172" s="138"/>
      <c r="AM172" s="138"/>
    </row>
    <row r="173" spans="1:39" s="168" customFormat="1" ht="124.2">
      <c r="A173" s="166">
        <v>171</v>
      </c>
      <c r="B173" s="166">
        <v>3</v>
      </c>
      <c r="C173" s="166">
        <v>7</v>
      </c>
      <c r="D173" s="166">
        <v>6</v>
      </c>
      <c r="E173" s="166">
        <v>1</v>
      </c>
      <c r="F173" s="166">
        <v>0</v>
      </c>
      <c r="G173" s="167" t="s">
        <v>935</v>
      </c>
      <c r="H173" s="167" t="s">
        <v>936</v>
      </c>
      <c r="I173" s="167" t="s">
        <v>2832</v>
      </c>
      <c r="J173" s="166" t="s">
        <v>83</v>
      </c>
      <c r="K173" s="166" t="s">
        <v>84</v>
      </c>
      <c r="L173" s="166" t="s">
        <v>84</v>
      </c>
      <c r="M173" s="166" t="s">
        <v>84</v>
      </c>
      <c r="N173" s="166" t="s">
        <v>229</v>
      </c>
      <c r="O173" s="166" t="s">
        <v>937</v>
      </c>
      <c r="P173" s="167" t="s">
        <v>2833</v>
      </c>
      <c r="Q173" s="167" t="s">
        <v>2834</v>
      </c>
      <c r="R173" s="167" t="s">
        <v>2835</v>
      </c>
      <c r="S173" s="167" t="s">
        <v>2836</v>
      </c>
      <c r="T173" s="167"/>
      <c r="U173" s="167"/>
      <c r="V173" s="167"/>
      <c r="W173" s="167"/>
      <c r="X173" s="167"/>
      <c r="Y173" s="167"/>
      <c r="Z173" s="167"/>
      <c r="AA173" s="167"/>
      <c r="AB173" s="167"/>
      <c r="AC173" s="167"/>
      <c r="AD173" s="167"/>
      <c r="AE173" s="167"/>
      <c r="AF173" s="167"/>
      <c r="AG173" s="167"/>
      <c r="AH173" s="167"/>
      <c r="AI173" s="167"/>
      <c r="AJ173" s="167"/>
      <c r="AK173" s="167"/>
      <c r="AL173" s="167"/>
      <c r="AM173" s="167"/>
    </row>
    <row r="174" spans="1:39" ht="102.6">
      <c r="A174" s="137">
        <v>172</v>
      </c>
      <c r="B174" s="137">
        <v>3</v>
      </c>
      <c r="C174" s="137">
        <v>7</v>
      </c>
      <c r="D174" s="137">
        <v>6</v>
      </c>
      <c r="E174" s="137">
        <v>2</v>
      </c>
      <c r="F174" s="137">
        <v>0</v>
      </c>
      <c r="G174" s="138" t="s">
        <v>938</v>
      </c>
      <c r="H174" s="138" t="s">
        <v>939</v>
      </c>
      <c r="I174" s="138" t="s">
        <v>2837</v>
      </c>
      <c r="J174" s="137" t="s">
        <v>83</v>
      </c>
      <c r="K174" s="137" t="s">
        <v>84</v>
      </c>
      <c r="L174" s="137" t="s">
        <v>84</v>
      </c>
      <c r="M174" s="137" t="s">
        <v>84</v>
      </c>
      <c r="N174" s="137" t="s">
        <v>229</v>
      </c>
      <c r="O174" s="137" t="s">
        <v>937</v>
      </c>
      <c r="P174" s="138" t="s">
        <v>2838</v>
      </c>
      <c r="Q174" s="138" t="s">
        <v>2839</v>
      </c>
      <c r="R174" s="138" t="s">
        <v>2840</v>
      </c>
      <c r="S174" s="138" t="s">
        <v>2841</v>
      </c>
      <c r="T174" s="138"/>
      <c r="U174" s="138"/>
      <c r="V174" s="138"/>
      <c r="W174" s="138"/>
      <c r="X174" s="138"/>
      <c r="Y174" s="138"/>
      <c r="Z174" s="138"/>
      <c r="AA174" s="138"/>
      <c r="AB174" s="138"/>
      <c r="AC174" s="138"/>
      <c r="AD174" s="138"/>
      <c r="AE174" s="138"/>
      <c r="AF174" s="138"/>
      <c r="AG174" s="138"/>
      <c r="AH174" s="138"/>
      <c r="AI174" s="138"/>
      <c r="AJ174" s="138"/>
      <c r="AK174" s="138"/>
      <c r="AL174" s="138"/>
      <c r="AM174" s="138"/>
    </row>
    <row r="175" spans="1:39" ht="75.599999999999994">
      <c r="A175" s="137">
        <v>173</v>
      </c>
      <c r="B175" s="137">
        <v>3</v>
      </c>
      <c r="C175" s="137">
        <v>7</v>
      </c>
      <c r="D175" s="137">
        <v>6</v>
      </c>
      <c r="E175" s="137">
        <v>2</v>
      </c>
      <c r="F175" s="137">
        <v>1</v>
      </c>
      <c r="G175" s="138" t="s">
        <v>940</v>
      </c>
      <c r="H175" s="138" t="s">
        <v>941</v>
      </c>
      <c r="I175" s="138" t="s">
        <v>2842</v>
      </c>
      <c r="J175" s="137" t="s">
        <v>83</v>
      </c>
      <c r="K175" s="137" t="s">
        <v>84</v>
      </c>
      <c r="L175" s="137" t="s">
        <v>84</v>
      </c>
      <c r="M175" s="137" t="s">
        <v>84</v>
      </c>
      <c r="N175" s="137" t="s">
        <v>229</v>
      </c>
      <c r="O175" s="137" t="s">
        <v>937</v>
      </c>
      <c r="P175" s="138" t="s">
        <v>2843</v>
      </c>
      <c r="Q175" s="138" t="s">
        <v>2844</v>
      </c>
      <c r="R175" s="138" t="s">
        <v>2845</v>
      </c>
      <c r="S175" s="138" t="s">
        <v>2846</v>
      </c>
      <c r="T175" s="138"/>
      <c r="U175" s="138"/>
      <c r="V175" s="138"/>
      <c r="W175" s="138"/>
      <c r="X175" s="138"/>
      <c r="Y175" s="138"/>
      <c r="Z175" s="138"/>
      <c r="AA175" s="138"/>
      <c r="AB175" s="138"/>
      <c r="AC175" s="138"/>
      <c r="AD175" s="138"/>
      <c r="AE175" s="138"/>
      <c r="AF175" s="138"/>
      <c r="AG175" s="138"/>
      <c r="AH175" s="138"/>
      <c r="AI175" s="138"/>
      <c r="AJ175" s="138"/>
      <c r="AK175" s="138"/>
      <c r="AL175" s="138"/>
      <c r="AM175" s="138"/>
    </row>
    <row r="176" spans="1:39" ht="102.6">
      <c r="A176" s="137">
        <v>174</v>
      </c>
      <c r="B176" s="137">
        <v>3</v>
      </c>
      <c r="C176" s="137">
        <v>7</v>
      </c>
      <c r="D176" s="137">
        <v>7</v>
      </c>
      <c r="E176" s="137">
        <v>1</v>
      </c>
      <c r="F176" s="137">
        <v>0</v>
      </c>
      <c r="G176" s="138" t="s">
        <v>942</v>
      </c>
      <c r="H176" s="138" t="s">
        <v>943</v>
      </c>
      <c r="I176" s="138" t="s">
        <v>2847</v>
      </c>
      <c r="J176" s="137" t="s">
        <v>83</v>
      </c>
      <c r="K176" s="137" t="s">
        <v>84</v>
      </c>
      <c r="L176" s="137" t="s">
        <v>84</v>
      </c>
      <c r="M176" s="137" t="s">
        <v>84</v>
      </c>
      <c r="N176" s="137" t="s">
        <v>229</v>
      </c>
      <c r="O176" s="137" t="s">
        <v>944</v>
      </c>
      <c r="P176" s="138" t="s">
        <v>2848</v>
      </c>
      <c r="Q176" s="138" t="s">
        <v>2849</v>
      </c>
      <c r="R176" s="138" t="s">
        <v>2850</v>
      </c>
      <c r="S176" s="138" t="s">
        <v>2851</v>
      </c>
      <c r="T176" s="138"/>
      <c r="U176" s="138"/>
      <c r="V176" s="138"/>
      <c r="W176" s="138"/>
      <c r="X176" s="138"/>
      <c r="Y176" s="138"/>
      <c r="Z176" s="138"/>
      <c r="AA176" s="138"/>
      <c r="AB176" s="138"/>
      <c r="AC176" s="138"/>
      <c r="AD176" s="138"/>
      <c r="AE176" s="138"/>
      <c r="AF176" s="138"/>
      <c r="AG176" s="138"/>
      <c r="AH176" s="138"/>
      <c r="AI176" s="138"/>
      <c r="AJ176" s="138"/>
      <c r="AK176" s="138"/>
      <c r="AL176" s="138"/>
      <c r="AM176" s="138"/>
    </row>
    <row r="177" spans="1:39" ht="70.2">
      <c r="A177" s="137">
        <v>175</v>
      </c>
      <c r="B177" s="137">
        <v>3</v>
      </c>
      <c r="C177" s="137">
        <v>7</v>
      </c>
      <c r="D177" s="137">
        <v>8</v>
      </c>
      <c r="E177" s="137">
        <v>1</v>
      </c>
      <c r="F177" s="137">
        <v>0</v>
      </c>
      <c r="G177" s="138" t="s">
        <v>945</v>
      </c>
      <c r="H177" s="138" t="s">
        <v>946</v>
      </c>
      <c r="I177" s="138" t="s">
        <v>2852</v>
      </c>
      <c r="J177" s="137" t="s">
        <v>83</v>
      </c>
      <c r="K177" s="137" t="s">
        <v>84</v>
      </c>
      <c r="L177" s="137" t="s">
        <v>84</v>
      </c>
      <c r="M177" s="137" t="s">
        <v>84</v>
      </c>
      <c r="N177" s="137" t="s">
        <v>229</v>
      </c>
      <c r="O177" s="137" t="s">
        <v>947</v>
      </c>
      <c r="P177" s="138" t="s">
        <v>2853</v>
      </c>
      <c r="Q177" s="138" t="s">
        <v>2854</v>
      </c>
      <c r="R177" s="138" t="s">
        <v>2855</v>
      </c>
      <c r="S177" s="138" t="s">
        <v>2856</v>
      </c>
      <c r="T177" s="138"/>
      <c r="U177" s="138"/>
      <c r="V177" s="138"/>
      <c r="W177" s="138"/>
      <c r="X177" s="138"/>
      <c r="Y177" s="138"/>
      <c r="Z177" s="138"/>
      <c r="AA177" s="138"/>
      <c r="AB177" s="138"/>
      <c r="AC177" s="138"/>
      <c r="AD177" s="138"/>
      <c r="AE177" s="138"/>
      <c r="AF177" s="138"/>
      <c r="AG177" s="138"/>
      <c r="AH177" s="138"/>
      <c r="AI177" s="138"/>
      <c r="AJ177" s="138"/>
      <c r="AK177" s="138"/>
      <c r="AL177" s="138"/>
      <c r="AM177" s="138"/>
    </row>
    <row r="178" spans="1:39" ht="88.8">
      <c r="A178" s="137">
        <v>176</v>
      </c>
      <c r="B178" s="137">
        <v>3</v>
      </c>
      <c r="C178" s="137">
        <v>7</v>
      </c>
      <c r="D178" s="137">
        <v>8</v>
      </c>
      <c r="E178" s="137">
        <v>1</v>
      </c>
      <c r="F178" s="137">
        <v>1</v>
      </c>
      <c r="G178" s="138" t="s">
        <v>948</v>
      </c>
      <c r="H178" s="138" t="s">
        <v>949</v>
      </c>
      <c r="I178" s="138" t="s">
        <v>2857</v>
      </c>
      <c r="J178" s="137" t="s">
        <v>83</v>
      </c>
      <c r="K178" s="137" t="s">
        <v>84</v>
      </c>
      <c r="L178" s="137" t="s">
        <v>84</v>
      </c>
      <c r="M178" s="137" t="s">
        <v>84</v>
      </c>
      <c r="N178" s="137" t="s">
        <v>229</v>
      </c>
      <c r="O178" s="137" t="s">
        <v>84</v>
      </c>
      <c r="P178" s="138" t="s">
        <v>2858</v>
      </c>
      <c r="Q178" s="138" t="s">
        <v>2859</v>
      </c>
      <c r="R178" s="138" t="s">
        <v>2860</v>
      </c>
      <c r="S178" s="138" t="s">
        <v>2861</v>
      </c>
      <c r="T178" s="138"/>
      <c r="U178" s="138"/>
      <c r="V178" s="138"/>
      <c r="W178" s="138"/>
      <c r="X178" s="138"/>
      <c r="Y178" s="138"/>
      <c r="Z178" s="138"/>
      <c r="AA178" s="138"/>
      <c r="AB178" s="138"/>
      <c r="AC178" s="138"/>
      <c r="AD178" s="138"/>
      <c r="AE178" s="138"/>
      <c r="AF178" s="138"/>
      <c r="AG178" s="138"/>
      <c r="AH178" s="138"/>
      <c r="AI178" s="138"/>
      <c r="AJ178" s="138"/>
      <c r="AK178" s="138"/>
      <c r="AL178" s="138"/>
      <c r="AM178" s="138"/>
    </row>
    <row r="179" spans="1:39" ht="70.2">
      <c r="A179" s="137">
        <v>177</v>
      </c>
      <c r="B179" s="137">
        <v>3</v>
      </c>
      <c r="C179" s="137">
        <v>7</v>
      </c>
      <c r="D179" s="137">
        <v>8</v>
      </c>
      <c r="E179" s="137">
        <v>1</v>
      </c>
      <c r="F179" s="137">
        <v>2</v>
      </c>
      <c r="G179" s="138" t="s">
        <v>950</v>
      </c>
      <c r="H179" s="138" t="s">
        <v>951</v>
      </c>
      <c r="I179" s="138" t="s">
        <v>2862</v>
      </c>
      <c r="J179" s="137" t="s">
        <v>83</v>
      </c>
      <c r="K179" s="137" t="s">
        <v>84</v>
      </c>
      <c r="L179" s="137" t="s">
        <v>84</v>
      </c>
      <c r="M179" s="137" t="s">
        <v>84</v>
      </c>
      <c r="N179" s="137" t="s">
        <v>229</v>
      </c>
      <c r="O179" s="137" t="s">
        <v>382</v>
      </c>
      <c r="P179" s="138" t="s">
        <v>2863</v>
      </c>
      <c r="Q179" s="138" t="s">
        <v>2864</v>
      </c>
      <c r="R179" s="138" t="s">
        <v>2865</v>
      </c>
      <c r="S179" s="138" t="s">
        <v>2866</v>
      </c>
      <c r="T179" s="138"/>
      <c r="U179" s="138"/>
      <c r="V179" s="138"/>
      <c r="W179" s="138"/>
      <c r="X179" s="138"/>
      <c r="Y179" s="138"/>
      <c r="Z179" s="138"/>
      <c r="AA179" s="138"/>
      <c r="AB179" s="138"/>
      <c r="AC179" s="138"/>
      <c r="AD179" s="138"/>
      <c r="AE179" s="138"/>
      <c r="AF179" s="138"/>
      <c r="AG179" s="138"/>
      <c r="AH179" s="138"/>
      <c r="AI179" s="138"/>
      <c r="AJ179" s="138"/>
      <c r="AK179" s="138"/>
      <c r="AL179" s="138"/>
      <c r="AM179" s="138"/>
    </row>
    <row r="180" spans="1:39" ht="59.4">
      <c r="A180" s="137">
        <v>178</v>
      </c>
      <c r="B180" s="137">
        <v>3</v>
      </c>
      <c r="C180" s="137">
        <v>7</v>
      </c>
      <c r="D180" s="137">
        <v>8</v>
      </c>
      <c r="E180" s="137">
        <v>1</v>
      </c>
      <c r="F180" s="137">
        <v>3</v>
      </c>
      <c r="G180" s="138" t="s">
        <v>952</v>
      </c>
      <c r="H180" s="138" t="s">
        <v>953</v>
      </c>
      <c r="I180" s="138" t="s">
        <v>2867</v>
      </c>
      <c r="J180" s="137" t="s">
        <v>83</v>
      </c>
      <c r="K180" s="137" t="s">
        <v>84</v>
      </c>
      <c r="L180" s="137" t="s">
        <v>84</v>
      </c>
      <c r="M180" s="137" t="s">
        <v>84</v>
      </c>
      <c r="N180" s="137" t="s">
        <v>229</v>
      </c>
      <c r="O180" s="137" t="s">
        <v>84</v>
      </c>
      <c r="P180" s="138" t="s">
        <v>2868</v>
      </c>
      <c r="Q180" s="138" t="s">
        <v>954</v>
      </c>
      <c r="R180" s="138" t="s">
        <v>2869</v>
      </c>
      <c r="S180" s="138" t="s">
        <v>2870</v>
      </c>
      <c r="T180" s="138"/>
      <c r="U180" s="138"/>
      <c r="V180" s="138"/>
      <c r="W180" s="138"/>
      <c r="X180" s="138"/>
      <c r="Y180" s="138"/>
      <c r="Z180" s="138"/>
      <c r="AA180" s="138"/>
      <c r="AB180" s="138"/>
      <c r="AC180" s="138"/>
      <c r="AD180" s="138"/>
      <c r="AE180" s="138"/>
      <c r="AF180" s="138"/>
      <c r="AG180" s="138"/>
      <c r="AH180" s="138"/>
      <c r="AI180" s="138"/>
      <c r="AJ180" s="138"/>
      <c r="AK180" s="138"/>
      <c r="AL180" s="138"/>
      <c r="AM180" s="138"/>
    </row>
    <row r="181" spans="1:39" ht="70.2">
      <c r="A181" s="137">
        <v>179</v>
      </c>
      <c r="B181" s="137">
        <v>3</v>
      </c>
      <c r="C181" s="137">
        <v>7</v>
      </c>
      <c r="D181" s="137">
        <v>8</v>
      </c>
      <c r="E181" s="137">
        <v>2</v>
      </c>
      <c r="F181" s="137">
        <v>1</v>
      </c>
      <c r="G181" s="138" t="s">
        <v>955</v>
      </c>
      <c r="H181" s="138" t="s">
        <v>956</v>
      </c>
      <c r="I181" s="138" t="s">
        <v>2871</v>
      </c>
      <c r="J181" s="137" t="s">
        <v>83</v>
      </c>
      <c r="K181" s="137" t="s">
        <v>84</v>
      </c>
      <c r="L181" s="137" t="s">
        <v>84</v>
      </c>
      <c r="M181" s="137" t="s">
        <v>84</v>
      </c>
      <c r="N181" s="137" t="s">
        <v>229</v>
      </c>
      <c r="O181" s="137" t="s">
        <v>918</v>
      </c>
      <c r="P181" s="138" t="s">
        <v>2872</v>
      </c>
      <c r="Q181" s="138" t="s">
        <v>2873</v>
      </c>
      <c r="R181" s="138" t="s">
        <v>2874</v>
      </c>
      <c r="S181" s="138" t="s">
        <v>2875</v>
      </c>
      <c r="T181" s="138"/>
      <c r="U181" s="138"/>
      <c r="V181" s="138"/>
      <c r="W181" s="138"/>
      <c r="X181" s="138"/>
      <c r="Y181" s="138"/>
      <c r="Z181" s="138"/>
      <c r="AA181" s="138"/>
      <c r="AB181" s="138"/>
      <c r="AC181" s="138"/>
      <c r="AD181" s="138"/>
      <c r="AE181" s="138"/>
      <c r="AF181" s="138"/>
      <c r="AG181" s="138"/>
      <c r="AH181" s="138"/>
      <c r="AI181" s="138"/>
      <c r="AJ181" s="138"/>
      <c r="AK181" s="138"/>
      <c r="AL181" s="138"/>
      <c r="AM181" s="138"/>
    </row>
    <row r="182" spans="1:39" ht="88.8">
      <c r="A182" s="137">
        <v>180</v>
      </c>
      <c r="B182" s="137">
        <v>3</v>
      </c>
      <c r="C182" s="137">
        <v>7</v>
      </c>
      <c r="D182" s="137">
        <v>8</v>
      </c>
      <c r="E182" s="137">
        <v>2</v>
      </c>
      <c r="F182" s="137">
        <v>1.1000000000000001</v>
      </c>
      <c r="G182" s="138" t="s">
        <v>957</v>
      </c>
      <c r="H182" s="138" t="s">
        <v>958</v>
      </c>
      <c r="I182" s="138" t="s">
        <v>2876</v>
      </c>
      <c r="J182" s="137" t="s">
        <v>83</v>
      </c>
      <c r="K182" s="137" t="s">
        <v>84</v>
      </c>
      <c r="L182" s="137" t="s">
        <v>84</v>
      </c>
      <c r="M182" s="137" t="s">
        <v>84</v>
      </c>
      <c r="N182" s="137" t="s">
        <v>229</v>
      </c>
      <c r="O182" s="137" t="s">
        <v>947</v>
      </c>
      <c r="P182" s="138" t="s">
        <v>2877</v>
      </c>
      <c r="Q182" s="138" t="s">
        <v>2878</v>
      </c>
      <c r="R182" s="138" t="s">
        <v>2879</v>
      </c>
      <c r="S182" s="138" t="s">
        <v>2880</v>
      </c>
      <c r="T182" s="138"/>
      <c r="U182" s="138"/>
      <c r="V182" s="138"/>
      <c r="W182" s="138"/>
      <c r="X182" s="138"/>
      <c r="Y182" s="138"/>
      <c r="Z182" s="138"/>
      <c r="AA182" s="138"/>
      <c r="AB182" s="138"/>
      <c r="AC182" s="138"/>
      <c r="AD182" s="138"/>
      <c r="AE182" s="138"/>
      <c r="AF182" s="138"/>
      <c r="AG182" s="138"/>
      <c r="AH182" s="138"/>
      <c r="AI182" s="138"/>
      <c r="AJ182" s="138"/>
      <c r="AK182" s="138"/>
      <c r="AL182" s="138"/>
      <c r="AM182" s="138"/>
    </row>
    <row r="183" spans="1:39" ht="70.2">
      <c r="A183" s="137">
        <v>181</v>
      </c>
      <c r="B183" s="137">
        <v>3</v>
      </c>
      <c r="C183" s="137">
        <v>7</v>
      </c>
      <c r="D183" s="137">
        <v>8</v>
      </c>
      <c r="E183" s="137">
        <v>2</v>
      </c>
      <c r="F183" s="137">
        <v>2</v>
      </c>
      <c r="G183" s="138" t="s">
        <v>959</v>
      </c>
      <c r="H183" s="138" t="s">
        <v>960</v>
      </c>
      <c r="I183" s="138" t="s">
        <v>2881</v>
      </c>
      <c r="J183" s="137" t="s">
        <v>83</v>
      </c>
      <c r="K183" s="137" t="s">
        <v>84</v>
      </c>
      <c r="L183" s="137" t="s">
        <v>84</v>
      </c>
      <c r="M183" s="137" t="s">
        <v>84</v>
      </c>
      <c r="N183" s="137" t="s">
        <v>229</v>
      </c>
      <c r="O183" s="137" t="s">
        <v>947</v>
      </c>
      <c r="P183" s="138" t="s">
        <v>2882</v>
      </c>
      <c r="Q183" s="138" t="s">
        <v>2883</v>
      </c>
      <c r="R183" s="138" t="s">
        <v>2884</v>
      </c>
      <c r="S183" s="138" t="s">
        <v>2885</v>
      </c>
      <c r="T183" s="138"/>
      <c r="U183" s="138"/>
      <c r="V183" s="138"/>
      <c r="W183" s="138"/>
      <c r="X183" s="138"/>
      <c r="Y183" s="138"/>
      <c r="Z183" s="138"/>
      <c r="AA183" s="138"/>
      <c r="AB183" s="138"/>
      <c r="AC183" s="138"/>
      <c r="AD183" s="138"/>
      <c r="AE183" s="138"/>
      <c r="AF183" s="138"/>
      <c r="AG183" s="138"/>
      <c r="AH183" s="138"/>
      <c r="AI183" s="138"/>
      <c r="AJ183" s="138"/>
      <c r="AK183" s="138"/>
      <c r="AL183" s="138"/>
      <c r="AM183" s="138"/>
    </row>
    <row r="184" spans="1:39" ht="126">
      <c r="A184" s="137">
        <v>182</v>
      </c>
      <c r="B184" s="137">
        <v>3</v>
      </c>
      <c r="C184" s="137">
        <v>7</v>
      </c>
      <c r="D184" s="137">
        <v>8</v>
      </c>
      <c r="E184" s="137">
        <v>2</v>
      </c>
      <c r="F184" s="137">
        <v>3</v>
      </c>
      <c r="G184" s="138" t="s">
        <v>961</v>
      </c>
      <c r="H184" s="138" t="s">
        <v>962</v>
      </c>
      <c r="I184" s="138" t="s">
        <v>2886</v>
      </c>
      <c r="J184" s="137" t="s">
        <v>83</v>
      </c>
      <c r="K184" s="137" t="s">
        <v>84</v>
      </c>
      <c r="L184" s="137" t="s">
        <v>84</v>
      </c>
      <c r="M184" s="137" t="s">
        <v>84</v>
      </c>
      <c r="N184" s="137" t="s">
        <v>229</v>
      </c>
      <c r="O184" s="137" t="s">
        <v>947</v>
      </c>
      <c r="P184" s="138" t="s">
        <v>2887</v>
      </c>
      <c r="Q184" s="138" t="s">
        <v>2888</v>
      </c>
      <c r="R184" s="138" t="s">
        <v>2889</v>
      </c>
      <c r="S184" s="138" t="s">
        <v>2890</v>
      </c>
      <c r="T184" s="138"/>
      <c r="U184" s="138"/>
      <c r="V184" s="138"/>
      <c r="W184" s="138"/>
      <c r="X184" s="138"/>
      <c r="Y184" s="138"/>
      <c r="Z184" s="138"/>
      <c r="AA184" s="138"/>
      <c r="AB184" s="138"/>
      <c r="AC184" s="138"/>
      <c r="AD184" s="138"/>
      <c r="AE184" s="138"/>
      <c r="AF184" s="138"/>
      <c r="AG184" s="138"/>
      <c r="AH184" s="138"/>
      <c r="AI184" s="138"/>
      <c r="AJ184" s="138"/>
      <c r="AK184" s="138"/>
      <c r="AL184" s="138"/>
      <c r="AM184" s="138"/>
    </row>
    <row r="185" spans="1:39" ht="70.2">
      <c r="A185" s="137">
        <v>183</v>
      </c>
      <c r="B185" s="137">
        <v>3</v>
      </c>
      <c r="C185" s="137">
        <v>7</v>
      </c>
      <c r="D185" s="137">
        <v>8</v>
      </c>
      <c r="E185" s="137">
        <v>2</v>
      </c>
      <c r="F185" s="137">
        <v>4</v>
      </c>
      <c r="G185" s="138" t="s">
        <v>963</v>
      </c>
      <c r="H185" s="138" t="s">
        <v>964</v>
      </c>
      <c r="I185" s="138" t="s">
        <v>2891</v>
      </c>
      <c r="J185" s="137" t="s">
        <v>83</v>
      </c>
      <c r="K185" s="137" t="s">
        <v>84</v>
      </c>
      <c r="L185" s="137" t="s">
        <v>84</v>
      </c>
      <c r="M185" s="137" t="s">
        <v>84</v>
      </c>
      <c r="N185" s="137" t="s">
        <v>229</v>
      </c>
      <c r="O185" s="137" t="s">
        <v>918</v>
      </c>
      <c r="P185" s="138" t="s">
        <v>2892</v>
      </c>
      <c r="Q185" s="138" t="s">
        <v>2893</v>
      </c>
      <c r="R185" s="138" t="s">
        <v>2894</v>
      </c>
      <c r="S185" s="138" t="s">
        <v>2895</v>
      </c>
      <c r="T185" s="138"/>
      <c r="U185" s="138"/>
      <c r="V185" s="138"/>
      <c r="W185" s="138"/>
      <c r="X185" s="138"/>
      <c r="Y185" s="138"/>
      <c r="Z185" s="138"/>
      <c r="AA185" s="138"/>
      <c r="AB185" s="138"/>
      <c r="AC185" s="138"/>
      <c r="AD185" s="138"/>
      <c r="AE185" s="138"/>
      <c r="AF185" s="138"/>
      <c r="AG185" s="138"/>
      <c r="AH185" s="138"/>
      <c r="AI185" s="138"/>
      <c r="AJ185" s="138"/>
      <c r="AK185" s="138"/>
      <c r="AL185" s="138"/>
      <c r="AM185" s="138"/>
    </row>
    <row r="186" spans="1:39" ht="70.2">
      <c r="A186" s="137">
        <v>184</v>
      </c>
      <c r="B186" s="137">
        <v>3</v>
      </c>
      <c r="C186" s="137">
        <v>7</v>
      </c>
      <c r="D186" s="137">
        <v>8</v>
      </c>
      <c r="E186" s="137">
        <v>3</v>
      </c>
      <c r="F186" s="137">
        <v>0</v>
      </c>
      <c r="G186" s="138" t="s">
        <v>965</v>
      </c>
      <c r="H186" s="138" t="s">
        <v>966</v>
      </c>
      <c r="I186" s="138" t="s">
        <v>2896</v>
      </c>
      <c r="J186" s="137" t="s">
        <v>83</v>
      </c>
      <c r="K186" s="137" t="s">
        <v>84</v>
      </c>
      <c r="L186" s="137" t="s">
        <v>84</v>
      </c>
      <c r="M186" s="137" t="s">
        <v>84</v>
      </c>
      <c r="N186" s="137" t="s">
        <v>229</v>
      </c>
      <c r="O186" s="137" t="s">
        <v>947</v>
      </c>
      <c r="P186" s="138" t="s">
        <v>2897</v>
      </c>
      <c r="Q186" s="138" t="s">
        <v>2898</v>
      </c>
      <c r="R186" s="138" t="s">
        <v>2899</v>
      </c>
      <c r="S186" s="138" t="s">
        <v>2900</v>
      </c>
      <c r="T186" s="138"/>
      <c r="U186" s="138"/>
      <c r="V186" s="138"/>
      <c r="W186" s="138"/>
      <c r="X186" s="138"/>
      <c r="Y186" s="138"/>
      <c r="Z186" s="138"/>
      <c r="AA186" s="138"/>
      <c r="AB186" s="138"/>
      <c r="AC186" s="138"/>
      <c r="AD186" s="138"/>
      <c r="AE186" s="138"/>
      <c r="AF186" s="138"/>
      <c r="AG186" s="138"/>
      <c r="AH186" s="138"/>
      <c r="AI186" s="138"/>
      <c r="AJ186" s="138"/>
      <c r="AK186" s="138"/>
      <c r="AL186" s="138"/>
      <c r="AM186" s="138"/>
    </row>
    <row r="187" spans="1:39" ht="54">
      <c r="A187" s="137">
        <v>185</v>
      </c>
      <c r="B187" s="137">
        <v>3</v>
      </c>
      <c r="C187" s="137">
        <v>7</v>
      </c>
      <c r="D187" s="137">
        <v>9</v>
      </c>
      <c r="E187" s="137">
        <v>0</v>
      </c>
      <c r="F187" s="137">
        <v>0</v>
      </c>
      <c r="G187" s="138" t="s">
        <v>967</v>
      </c>
      <c r="H187" s="138" t="s">
        <v>968</v>
      </c>
      <c r="I187" s="138" t="s">
        <v>2901</v>
      </c>
      <c r="J187" s="137" t="s">
        <v>83</v>
      </c>
      <c r="K187" s="137" t="s">
        <v>84</v>
      </c>
      <c r="L187" s="137" t="s">
        <v>84</v>
      </c>
      <c r="M187" s="137" t="s">
        <v>84</v>
      </c>
      <c r="N187" s="137" t="s">
        <v>229</v>
      </c>
      <c r="O187" s="137" t="s">
        <v>382</v>
      </c>
      <c r="P187" s="138" t="s">
        <v>2902</v>
      </c>
      <c r="Q187" s="138" t="s">
        <v>2903</v>
      </c>
      <c r="R187" s="138" t="s">
        <v>2904</v>
      </c>
      <c r="S187" s="138" t="s">
        <v>2905</v>
      </c>
      <c r="T187" s="138"/>
      <c r="U187" s="138"/>
      <c r="V187" s="138"/>
      <c r="W187" s="138"/>
      <c r="X187" s="138"/>
      <c r="Y187" s="138"/>
      <c r="Z187" s="138"/>
      <c r="AA187" s="138"/>
      <c r="AB187" s="138"/>
      <c r="AC187" s="138"/>
      <c r="AD187" s="138"/>
      <c r="AE187" s="138"/>
      <c r="AF187" s="138"/>
      <c r="AG187" s="138"/>
      <c r="AH187" s="138"/>
      <c r="AI187" s="138"/>
      <c r="AJ187" s="138"/>
      <c r="AK187" s="138"/>
      <c r="AL187" s="138"/>
      <c r="AM187" s="138"/>
    </row>
    <row r="188" spans="1:39" ht="48.6">
      <c r="A188" s="137">
        <v>186</v>
      </c>
      <c r="B188" s="137">
        <v>3</v>
      </c>
      <c r="C188" s="137">
        <v>7</v>
      </c>
      <c r="D188" s="137">
        <v>9</v>
      </c>
      <c r="E188" s="137">
        <v>1</v>
      </c>
      <c r="F188" s="137">
        <v>0</v>
      </c>
      <c r="G188" s="138" t="s">
        <v>969</v>
      </c>
      <c r="H188" s="138" t="s">
        <v>970</v>
      </c>
      <c r="I188" s="138" t="s">
        <v>2906</v>
      </c>
      <c r="J188" s="137" t="s">
        <v>83</v>
      </c>
      <c r="K188" s="137" t="s">
        <v>84</v>
      </c>
      <c r="L188" s="137" t="s">
        <v>84</v>
      </c>
      <c r="M188" s="137" t="s">
        <v>84</v>
      </c>
      <c r="N188" s="137" t="s">
        <v>229</v>
      </c>
      <c r="O188" s="137" t="s">
        <v>86</v>
      </c>
      <c r="P188" s="138" t="s">
        <v>2907</v>
      </c>
      <c r="Q188" s="138" t="s">
        <v>2908</v>
      </c>
      <c r="R188" s="138" t="s">
        <v>2909</v>
      </c>
      <c r="S188" s="138" t="s">
        <v>2910</v>
      </c>
      <c r="T188" s="138"/>
      <c r="U188" s="138"/>
      <c r="V188" s="138"/>
      <c r="W188" s="138"/>
      <c r="X188" s="138"/>
      <c r="Y188" s="138"/>
      <c r="Z188" s="138"/>
      <c r="AA188" s="138"/>
      <c r="AB188" s="138"/>
      <c r="AC188" s="138"/>
      <c r="AD188" s="138"/>
      <c r="AE188" s="138"/>
      <c r="AF188" s="138"/>
      <c r="AG188" s="138"/>
      <c r="AH188" s="138"/>
      <c r="AI188" s="138"/>
      <c r="AJ188" s="138"/>
      <c r="AK188" s="138"/>
      <c r="AL188" s="138"/>
      <c r="AM188" s="138"/>
    </row>
    <row r="189" spans="1:39" ht="48.6">
      <c r="A189" s="137">
        <v>187</v>
      </c>
      <c r="B189" s="137">
        <v>3</v>
      </c>
      <c r="C189" s="137">
        <v>7</v>
      </c>
      <c r="D189" s="137">
        <v>9</v>
      </c>
      <c r="E189" s="137">
        <v>2</v>
      </c>
      <c r="F189" s="137">
        <v>0</v>
      </c>
      <c r="G189" s="138" t="s">
        <v>967</v>
      </c>
      <c r="H189" s="138" t="s">
        <v>971</v>
      </c>
      <c r="I189" s="138" t="s">
        <v>2911</v>
      </c>
      <c r="J189" s="137" t="s">
        <v>83</v>
      </c>
      <c r="K189" s="137" t="s">
        <v>84</v>
      </c>
      <c r="L189" s="137" t="s">
        <v>84</v>
      </c>
      <c r="M189" s="137" t="s">
        <v>84</v>
      </c>
      <c r="N189" s="137" t="s">
        <v>229</v>
      </c>
      <c r="O189" s="137" t="s">
        <v>86</v>
      </c>
      <c r="P189" s="138" t="s">
        <v>2912</v>
      </c>
      <c r="Q189" s="138" t="s">
        <v>2913</v>
      </c>
      <c r="R189" s="138" t="s">
        <v>2914</v>
      </c>
      <c r="S189" s="138" t="s">
        <v>2915</v>
      </c>
      <c r="T189" s="138"/>
      <c r="U189" s="138"/>
      <c r="V189" s="138"/>
      <c r="W189" s="138"/>
      <c r="X189" s="138"/>
      <c r="Y189" s="138"/>
      <c r="Z189" s="138"/>
      <c r="AA189" s="138"/>
      <c r="AB189" s="138"/>
      <c r="AC189" s="138"/>
      <c r="AD189" s="138"/>
      <c r="AE189" s="138"/>
      <c r="AF189" s="138"/>
      <c r="AG189" s="138"/>
      <c r="AH189" s="138"/>
      <c r="AI189" s="138"/>
      <c r="AJ189" s="138"/>
      <c r="AK189" s="138"/>
      <c r="AL189" s="138"/>
      <c r="AM189" s="138"/>
    </row>
    <row r="190" spans="1:39" ht="70.2">
      <c r="A190" s="137">
        <v>188</v>
      </c>
      <c r="B190" s="137">
        <v>3</v>
      </c>
      <c r="C190" s="137">
        <v>7</v>
      </c>
      <c r="D190" s="137">
        <v>9</v>
      </c>
      <c r="E190" s="137">
        <v>3</v>
      </c>
      <c r="F190" s="137">
        <v>0</v>
      </c>
      <c r="G190" s="138" t="s">
        <v>972</v>
      </c>
      <c r="H190" s="138" t="s">
        <v>973</v>
      </c>
      <c r="I190" s="138" t="s">
        <v>2916</v>
      </c>
      <c r="J190" s="137" t="s">
        <v>83</v>
      </c>
      <c r="K190" s="137" t="s">
        <v>84</v>
      </c>
      <c r="L190" s="137" t="s">
        <v>84</v>
      </c>
      <c r="M190" s="137" t="s">
        <v>84</v>
      </c>
      <c r="N190" s="137" t="s">
        <v>229</v>
      </c>
      <c r="O190" s="137" t="s">
        <v>86</v>
      </c>
      <c r="P190" s="138" t="s">
        <v>2917</v>
      </c>
      <c r="Q190" s="138" t="s">
        <v>2918</v>
      </c>
      <c r="R190" s="138" t="s">
        <v>2919</v>
      </c>
      <c r="S190" s="138" t="s">
        <v>2920</v>
      </c>
      <c r="T190" s="138"/>
      <c r="U190" s="138"/>
      <c r="V190" s="138"/>
      <c r="W190" s="138"/>
      <c r="X190" s="138"/>
      <c r="Y190" s="138"/>
      <c r="Z190" s="138"/>
      <c r="AA190" s="138"/>
      <c r="AB190" s="138"/>
      <c r="AC190" s="138"/>
      <c r="AD190" s="138"/>
      <c r="AE190" s="138"/>
      <c r="AF190" s="138"/>
      <c r="AG190" s="138"/>
      <c r="AH190" s="138"/>
      <c r="AI190" s="138"/>
      <c r="AJ190" s="138"/>
      <c r="AK190" s="138"/>
      <c r="AL190" s="138"/>
      <c r="AM190" s="138"/>
    </row>
    <row r="191" spans="1:39" ht="48.6">
      <c r="A191" s="137">
        <v>189</v>
      </c>
      <c r="B191" s="137">
        <v>3</v>
      </c>
      <c r="C191" s="137">
        <v>7</v>
      </c>
      <c r="D191" s="137">
        <v>10</v>
      </c>
      <c r="E191" s="137">
        <v>0</v>
      </c>
      <c r="F191" s="137">
        <v>0</v>
      </c>
      <c r="G191" s="138" t="s">
        <v>974</v>
      </c>
      <c r="H191" s="138" t="s">
        <v>975</v>
      </c>
      <c r="I191" s="138" t="s">
        <v>2921</v>
      </c>
      <c r="J191" s="137" t="s">
        <v>83</v>
      </c>
      <c r="K191" s="137" t="s">
        <v>84</v>
      </c>
      <c r="L191" s="137" t="s">
        <v>84</v>
      </c>
      <c r="M191" s="137" t="s">
        <v>84</v>
      </c>
      <c r="N191" s="137" t="s">
        <v>229</v>
      </c>
      <c r="O191" s="137" t="s">
        <v>899</v>
      </c>
      <c r="P191" s="138" t="s">
        <v>2922</v>
      </c>
      <c r="Q191" s="138" t="s">
        <v>2923</v>
      </c>
      <c r="R191" s="138" t="s">
        <v>2924</v>
      </c>
      <c r="S191" s="138" t="s">
        <v>2925</v>
      </c>
      <c r="T191" s="138"/>
      <c r="U191" s="138"/>
      <c r="V191" s="138"/>
      <c r="W191" s="138"/>
      <c r="X191" s="138"/>
      <c r="Y191" s="138"/>
      <c r="Z191" s="138"/>
      <c r="AA191" s="138"/>
      <c r="AB191" s="138"/>
      <c r="AC191" s="138"/>
      <c r="AD191" s="138"/>
      <c r="AE191" s="138"/>
      <c r="AF191" s="138"/>
      <c r="AG191" s="138"/>
      <c r="AH191" s="138"/>
      <c r="AI191" s="138"/>
      <c r="AJ191" s="138"/>
      <c r="AK191" s="138"/>
      <c r="AL191" s="138"/>
      <c r="AM191" s="138"/>
    </row>
    <row r="192" spans="1:39" ht="43.2">
      <c r="A192" s="137">
        <v>190</v>
      </c>
      <c r="B192" s="137">
        <v>3</v>
      </c>
      <c r="C192" s="137">
        <v>7</v>
      </c>
      <c r="D192" s="137">
        <v>10</v>
      </c>
      <c r="E192" s="137">
        <v>1</v>
      </c>
      <c r="F192" s="137">
        <v>0</v>
      </c>
      <c r="G192" s="138" t="s">
        <v>976</v>
      </c>
      <c r="H192" s="138" t="s">
        <v>977</v>
      </c>
      <c r="I192" s="138" t="s">
        <v>2926</v>
      </c>
      <c r="J192" s="137" t="s">
        <v>83</v>
      </c>
      <c r="K192" s="137" t="s">
        <v>84</v>
      </c>
      <c r="L192" s="137" t="s">
        <v>84</v>
      </c>
      <c r="M192" s="137" t="s">
        <v>84</v>
      </c>
      <c r="N192" s="137" t="s">
        <v>229</v>
      </c>
      <c r="O192" s="137" t="s">
        <v>899</v>
      </c>
      <c r="P192" s="138" t="s">
        <v>2927</v>
      </c>
      <c r="Q192" s="138" t="s">
        <v>2928</v>
      </c>
      <c r="R192" s="138" t="s">
        <v>2929</v>
      </c>
      <c r="S192" s="138" t="s">
        <v>2930</v>
      </c>
      <c r="T192" s="138"/>
      <c r="U192" s="138"/>
      <c r="V192" s="138"/>
      <c r="W192" s="138"/>
      <c r="X192" s="138"/>
      <c r="Y192" s="138"/>
      <c r="Z192" s="138"/>
      <c r="AA192" s="138"/>
      <c r="AB192" s="138"/>
      <c r="AC192" s="138"/>
      <c r="AD192" s="138"/>
      <c r="AE192" s="138"/>
      <c r="AF192" s="138"/>
      <c r="AG192" s="138"/>
      <c r="AH192" s="138"/>
      <c r="AI192" s="138"/>
      <c r="AJ192" s="138"/>
      <c r="AK192" s="138"/>
      <c r="AL192" s="138"/>
      <c r="AM192" s="138"/>
    </row>
    <row r="193" spans="1:39">
      <c r="A193" s="141">
        <v>191</v>
      </c>
      <c r="B193" s="141">
        <v>3</v>
      </c>
      <c r="C193" s="141">
        <v>7</v>
      </c>
      <c r="D193" s="141">
        <v>10</v>
      </c>
      <c r="E193" s="141">
        <v>2</v>
      </c>
      <c r="F193" s="141">
        <v>0</v>
      </c>
      <c r="G193" s="142" t="s">
        <v>978</v>
      </c>
      <c r="H193" s="142" t="s">
        <v>979</v>
      </c>
      <c r="I193" s="141" t="s">
        <v>84</v>
      </c>
      <c r="J193" s="141" t="s">
        <v>154</v>
      </c>
      <c r="K193" s="141" t="s">
        <v>155</v>
      </c>
      <c r="L193" s="142" t="s">
        <v>980</v>
      </c>
      <c r="M193" s="142" t="s">
        <v>739</v>
      </c>
      <c r="N193" s="141" t="s">
        <v>84</v>
      </c>
      <c r="O193" s="141" t="s">
        <v>84</v>
      </c>
      <c r="P193" s="141" t="s">
        <v>84</v>
      </c>
      <c r="Q193" s="141" t="s">
        <v>84</v>
      </c>
      <c r="R193" s="141" t="s">
        <v>84</v>
      </c>
      <c r="S193" s="141" t="s">
        <v>84</v>
      </c>
      <c r="T193" s="142"/>
      <c r="U193" s="142"/>
      <c r="V193" s="142"/>
      <c r="W193" s="142"/>
      <c r="X193" s="142"/>
      <c r="Y193" s="142"/>
      <c r="Z193" s="142"/>
      <c r="AA193" s="142"/>
      <c r="AB193" s="142"/>
      <c r="AC193" s="142"/>
      <c r="AD193" s="142"/>
      <c r="AE193" s="142"/>
      <c r="AF193" s="142"/>
      <c r="AG193" s="142"/>
      <c r="AH193" s="142"/>
      <c r="AI193" s="142"/>
      <c r="AJ193" s="142"/>
      <c r="AK193" s="142"/>
      <c r="AL193" s="142"/>
      <c r="AM193" s="142"/>
    </row>
    <row r="194" spans="1:39">
      <c r="A194" s="141">
        <v>192</v>
      </c>
      <c r="B194" s="141">
        <v>3</v>
      </c>
      <c r="C194" s="141">
        <v>7</v>
      </c>
      <c r="D194" s="141">
        <v>10</v>
      </c>
      <c r="E194" s="141">
        <v>2</v>
      </c>
      <c r="F194" s="141">
        <v>1</v>
      </c>
      <c r="G194" s="142" t="s">
        <v>981</v>
      </c>
      <c r="H194" s="142" t="s">
        <v>982</v>
      </c>
      <c r="I194" s="141" t="s">
        <v>84</v>
      </c>
      <c r="J194" s="141" t="s">
        <v>154</v>
      </c>
      <c r="K194" s="141" t="s">
        <v>155</v>
      </c>
      <c r="L194" s="142" t="s">
        <v>980</v>
      </c>
      <c r="M194" s="142" t="s">
        <v>739</v>
      </c>
      <c r="N194" s="141" t="s">
        <v>84</v>
      </c>
      <c r="O194" s="141" t="s">
        <v>84</v>
      </c>
      <c r="P194" s="141" t="s">
        <v>84</v>
      </c>
      <c r="Q194" s="141" t="s">
        <v>84</v>
      </c>
      <c r="R194" s="141" t="s">
        <v>84</v>
      </c>
      <c r="S194" s="141" t="s">
        <v>84</v>
      </c>
      <c r="T194" s="142"/>
      <c r="U194" s="142"/>
      <c r="V194" s="142"/>
      <c r="W194" s="142"/>
      <c r="X194" s="142"/>
      <c r="Y194" s="142"/>
      <c r="Z194" s="142"/>
      <c r="AA194" s="142"/>
      <c r="AB194" s="142"/>
      <c r="AC194" s="142"/>
      <c r="AD194" s="142"/>
      <c r="AE194" s="142"/>
      <c r="AF194" s="142"/>
      <c r="AG194" s="142"/>
      <c r="AH194" s="142"/>
      <c r="AI194" s="142"/>
      <c r="AJ194" s="142"/>
      <c r="AK194" s="142"/>
      <c r="AL194" s="142"/>
      <c r="AM194" s="142"/>
    </row>
    <row r="195" spans="1:39">
      <c r="A195" s="141">
        <v>193</v>
      </c>
      <c r="B195" s="141">
        <v>3</v>
      </c>
      <c r="C195" s="141">
        <v>7</v>
      </c>
      <c r="D195" s="141">
        <v>10</v>
      </c>
      <c r="E195" s="141">
        <v>2</v>
      </c>
      <c r="F195" s="141">
        <v>2</v>
      </c>
      <c r="G195" s="142" t="s">
        <v>983</v>
      </c>
      <c r="H195" s="142" t="s">
        <v>984</v>
      </c>
      <c r="I195" s="141" t="s">
        <v>84</v>
      </c>
      <c r="J195" s="141" t="s">
        <v>154</v>
      </c>
      <c r="K195" s="141" t="s">
        <v>155</v>
      </c>
      <c r="L195" s="142" t="s">
        <v>980</v>
      </c>
      <c r="M195" s="142" t="s">
        <v>739</v>
      </c>
      <c r="N195" s="141" t="s">
        <v>84</v>
      </c>
      <c r="O195" s="141" t="s">
        <v>84</v>
      </c>
      <c r="P195" s="141" t="s">
        <v>84</v>
      </c>
      <c r="Q195" s="141" t="s">
        <v>84</v>
      </c>
      <c r="R195" s="141" t="s">
        <v>84</v>
      </c>
      <c r="S195" s="141" t="s">
        <v>84</v>
      </c>
      <c r="T195" s="142"/>
      <c r="U195" s="142"/>
      <c r="V195" s="142"/>
      <c r="W195" s="142"/>
      <c r="X195" s="142"/>
      <c r="Y195" s="142"/>
      <c r="Z195" s="142"/>
      <c r="AA195" s="142"/>
      <c r="AB195" s="142"/>
      <c r="AC195" s="142"/>
      <c r="AD195" s="142"/>
      <c r="AE195" s="142"/>
      <c r="AF195" s="142"/>
      <c r="AG195" s="142"/>
      <c r="AH195" s="142"/>
      <c r="AI195" s="142"/>
      <c r="AJ195" s="142"/>
      <c r="AK195" s="142"/>
      <c r="AL195" s="142"/>
      <c r="AM195" s="142"/>
    </row>
    <row r="196" spans="1:39">
      <c r="A196" s="141">
        <v>194</v>
      </c>
      <c r="B196" s="141">
        <v>3</v>
      </c>
      <c r="C196" s="141">
        <v>7</v>
      </c>
      <c r="D196" s="141">
        <v>11</v>
      </c>
      <c r="E196" s="141">
        <v>0</v>
      </c>
      <c r="F196" s="141">
        <v>0</v>
      </c>
      <c r="G196" s="142" t="s">
        <v>985</v>
      </c>
      <c r="H196" s="142" t="s">
        <v>986</v>
      </c>
      <c r="I196" s="141" t="s">
        <v>84</v>
      </c>
      <c r="J196" s="141" t="s">
        <v>154</v>
      </c>
      <c r="K196" s="141" t="s">
        <v>155</v>
      </c>
      <c r="L196" s="142" t="s">
        <v>987</v>
      </c>
      <c r="M196" s="142" t="s">
        <v>739</v>
      </c>
      <c r="N196" s="141" t="s">
        <v>84</v>
      </c>
      <c r="O196" s="141" t="s">
        <v>84</v>
      </c>
      <c r="P196" s="141" t="s">
        <v>84</v>
      </c>
      <c r="Q196" s="141" t="s">
        <v>84</v>
      </c>
      <c r="R196" s="141" t="s">
        <v>84</v>
      </c>
      <c r="S196" s="141" t="s">
        <v>84</v>
      </c>
      <c r="T196" s="142"/>
      <c r="U196" s="142"/>
      <c r="V196" s="142"/>
      <c r="W196" s="142"/>
      <c r="X196" s="142"/>
      <c r="Y196" s="142"/>
      <c r="Z196" s="142"/>
      <c r="AA196" s="142"/>
      <c r="AB196" s="142"/>
      <c r="AC196" s="142"/>
      <c r="AD196" s="142"/>
      <c r="AE196" s="142"/>
      <c r="AF196" s="142"/>
      <c r="AG196" s="142"/>
      <c r="AH196" s="142"/>
      <c r="AI196" s="142"/>
      <c r="AJ196" s="142"/>
      <c r="AK196" s="142"/>
      <c r="AL196" s="142"/>
      <c r="AM196" s="142"/>
    </row>
    <row r="197" spans="1:39">
      <c r="A197" s="141">
        <v>195</v>
      </c>
      <c r="B197" s="141">
        <v>3</v>
      </c>
      <c r="C197" s="141">
        <v>7</v>
      </c>
      <c r="D197" s="141">
        <v>11</v>
      </c>
      <c r="E197" s="141">
        <v>1</v>
      </c>
      <c r="F197" s="141">
        <v>0</v>
      </c>
      <c r="G197" s="142" t="s">
        <v>988</v>
      </c>
      <c r="H197" s="142" t="s">
        <v>989</v>
      </c>
      <c r="I197" s="141" t="s">
        <v>84</v>
      </c>
      <c r="J197" s="141" t="s">
        <v>154</v>
      </c>
      <c r="K197" s="141" t="s">
        <v>155</v>
      </c>
      <c r="L197" s="142" t="s">
        <v>990</v>
      </c>
      <c r="M197" s="142" t="s">
        <v>739</v>
      </c>
      <c r="N197" s="141" t="s">
        <v>84</v>
      </c>
      <c r="O197" s="141" t="s">
        <v>84</v>
      </c>
      <c r="P197" s="141" t="s">
        <v>84</v>
      </c>
      <c r="Q197" s="141" t="s">
        <v>84</v>
      </c>
      <c r="R197" s="141" t="s">
        <v>84</v>
      </c>
      <c r="S197" s="141" t="s">
        <v>84</v>
      </c>
      <c r="T197" s="142"/>
      <c r="U197" s="142"/>
      <c r="V197" s="142"/>
      <c r="W197" s="142"/>
      <c r="X197" s="142"/>
      <c r="Y197" s="142"/>
      <c r="Z197" s="142"/>
      <c r="AA197" s="142"/>
      <c r="AB197" s="142"/>
      <c r="AC197" s="142"/>
      <c r="AD197" s="142"/>
      <c r="AE197" s="142"/>
      <c r="AF197" s="142"/>
      <c r="AG197" s="142"/>
      <c r="AH197" s="142"/>
      <c r="AI197" s="142"/>
      <c r="AJ197" s="142"/>
      <c r="AK197" s="142"/>
      <c r="AL197" s="142"/>
      <c r="AM197" s="142"/>
    </row>
    <row r="198" spans="1:39">
      <c r="A198" s="141">
        <v>196</v>
      </c>
      <c r="B198" s="141">
        <v>3</v>
      </c>
      <c r="C198" s="141">
        <v>7</v>
      </c>
      <c r="D198" s="141">
        <v>12</v>
      </c>
      <c r="E198" s="141">
        <v>0</v>
      </c>
      <c r="F198" s="141">
        <v>0</v>
      </c>
      <c r="G198" s="142" t="s">
        <v>991</v>
      </c>
      <c r="H198" s="142" t="s">
        <v>992</v>
      </c>
      <c r="I198" s="141" t="s">
        <v>84</v>
      </c>
      <c r="J198" s="141" t="s">
        <v>154</v>
      </c>
      <c r="K198" s="141" t="s">
        <v>155</v>
      </c>
      <c r="L198" s="142" t="s">
        <v>993</v>
      </c>
      <c r="M198" s="142" t="s">
        <v>739</v>
      </c>
      <c r="N198" s="141" t="s">
        <v>84</v>
      </c>
      <c r="O198" s="141" t="s">
        <v>84</v>
      </c>
      <c r="P198" s="141" t="s">
        <v>84</v>
      </c>
      <c r="Q198" s="141" t="s">
        <v>84</v>
      </c>
      <c r="R198" s="141" t="s">
        <v>84</v>
      </c>
      <c r="S198" s="141" t="s">
        <v>84</v>
      </c>
      <c r="T198" s="142"/>
      <c r="U198" s="142"/>
      <c r="V198" s="142"/>
      <c r="W198" s="142"/>
      <c r="X198" s="142"/>
      <c r="Y198" s="142"/>
      <c r="Z198" s="142"/>
      <c r="AA198" s="142"/>
      <c r="AB198" s="142"/>
      <c r="AC198" s="142"/>
      <c r="AD198" s="142"/>
      <c r="AE198" s="142"/>
      <c r="AF198" s="142"/>
      <c r="AG198" s="142"/>
      <c r="AH198" s="142"/>
      <c r="AI198" s="142"/>
      <c r="AJ198" s="142"/>
      <c r="AK198" s="142"/>
      <c r="AL198" s="142"/>
      <c r="AM198" s="142"/>
    </row>
    <row r="199" spans="1:39" ht="59.4">
      <c r="A199" s="137">
        <v>197</v>
      </c>
      <c r="B199" s="137">
        <v>3</v>
      </c>
      <c r="C199" s="137">
        <v>7</v>
      </c>
      <c r="D199" s="137">
        <v>13</v>
      </c>
      <c r="E199" s="137">
        <v>0</v>
      </c>
      <c r="F199" s="137">
        <v>0</v>
      </c>
      <c r="G199" s="138" t="s">
        <v>994</v>
      </c>
      <c r="H199" s="138" t="s">
        <v>995</v>
      </c>
      <c r="I199" s="138" t="s">
        <v>2931</v>
      </c>
      <c r="J199" s="137" t="s">
        <v>83</v>
      </c>
      <c r="K199" s="137" t="s">
        <v>84</v>
      </c>
      <c r="L199" s="137" t="s">
        <v>84</v>
      </c>
      <c r="M199" s="137" t="s">
        <v>84</v>
      </c>
      <c r="N199" s="137" t="s">
        <v>84</v>
      </c>
      <c r="O199" s="137" t="s">
        <v>511</v>
      </c>
      <c r="P199" s="138" t="s">
        <v>2932</v>
      </c>
      <c r="Q199" s="138" t="s">
        <v>2933</v>
      </c>
      <c r="R199" s="138" t="s">
        <v>2934</v>
      </c>
      <c r="S199" s="138" t="s">
        <v>2935</v>
      </c>
      <c r="T199" s="138"/>
      <c r="U199" s="138"/>
      <c r="V199" s="138"/>
      <c r="W199" s="138"/>
      <c r="X199" s="138"/>
      <c r="Y199" s="138"/>
      <c r="Z199" s="138"/>
      <c r="AA199" s="138"/>
      <c r="AB199" s="138"/>
      <c r="AC199" s="138"/>
      <c r="AD199" s="138"/>
      <c r="AE199" s="138"/>
      <c r="AF199" s="138"/>
      <c r="AG199" s="138"/>
      <c r="AH199" s="138"/>
      <c r="AI199" s="138"/>
      <c r="AJ199" s="138"/>
      <c r="AK199" s="138"/>
      <c r="AL199" s="138"/>
      <c r="AM199" s="138"/>
    </row>
    <row r="200" spans="1:39" ht="54">
      <c r="A200" s="137">
        <v>198</v>
      </c>
      <c r="B200" s="137">
        <v>3</v>
      </c>
      <c r="C200" s="137">
        <v>7</v>
      </c>
      <c r="D200" s="137">
        <v>14</v>
      </c>
      <c r="E200" s="137">
        <v>0</v>
      </c>
      <c r="F200" s="137">
        <v>0</v>
      </c>
      <c r="G200" s="138" t="s">
        <v>996</v>
      </c>
      <c r="H200" s="138" t="s">
        <v>997</v>
      </c>
      <c r="I200" s="138" t="s">
        <v>2936</v>
      </c>
      <c r="J200" s="137" t="s">
        <v>83</v>
      </c>
      <c r="K200" s="137" t="s">
        <v>84</v>
      </c>
      <c r="L200" s="137" t="s">
        <v>84</v>
      </c>
      <c r="M200" s="137" t="s">
        <v>84</v>
      </c>
      <c r="N200" s="137" t="s">
        <v>84</v>
      </c>
      <c r="O200" s="137" t="s">
        <v>229</v>
      </c>
      <c r="P200" s="138" t="s">
        <v>2937</v>
      </c>
      <c r="Q200" s="138" t="s">
        <v>2938</v>
      </c>
      <c r="R200" s="138" t="s">
        <v>2939</v>
      </c>
      <c r="S200" s="138" t="s">
        <v>2940</v>
      </c>
      <c r="T200" s="138"/>
      <c r="U200" s="138"/>
      <c r="V200" s="138"/>
      <c r="W200" s="138"/>
      <c r="X200" s="138"/>
      <c r="Y200" s="138"/>
      <c r="Z200" s="138"/>
      <c r="AA200" s="138"/>
      <c r="AB200" s="138"/>
      <c r="AC200" s="138"/>
      <c r="AD200" s="138"/>
      <c r="AE200" s="138"/>
      <c r="AF200" s="138"/>
      <c r="AG200" s="138"/>
      <c r="AH200" s="138"/>
      <c r="AI200" s="138"/>
      <c r="AJ200" s="138"/>
      <c r="AK200" s="138"/>
      <c r="AL200" s="138"/>
      <c r="AM200" s="138"/>
    </row>
    <row r="201" spans="1:39">
      <c r="A201" s="141">
        <v>199</v>
      </c>
      <c r="B201" s="141">
        <v>3</v>
      </c>
      <c r="C201" s="141">
        <v>7</v>
      </c>
      <c r="D201" s="141">
        <v>14</v>
      </c>
      <c r="E201" s="141">
        <v>1</v>
      </c>
      <c r="F201" s="141">
        <v>0</v>
      </c>
      <c r="G201" s="142" t="s">
        <v>998</v>
      </c>
      <c r="H201" s="142" t="s">
        <v>999</v>
      </c>
      <c r="I201" s="141" t="s">
        <v>84</v>
      </c>
      <c r="J201" s="141" t="s">
        <v>154</v>
      </c>
      <c r="K201" s="141" t="s">
        <v>155</v>
      </c>
      <c r="L201" s="142" t="s">
        <v>1000</v>
      </c>
      <c r="M201" s="142" t="s">
        <v>739</v>
      </c>
      <c r="N201" s="141" t="s">
        <v>84</v>
      </c>
      <c r="O201" s="141" t="s">
        <v>84</v>
      </c>
      <c r="P201" s="141" t="s">
        <v>84</v>
      </c>
      <c r="Q201" s="141" t="s">
        <v>84</v>
      </c>
      <c r="R201" s="141" t="s">
        <v>84</v>
      </c>
      <c r="S201" s="141" t="s">
        <v>84</v>
      </c>
      <c r="T201" s="142"/>
      <c r="U201" s="142"/>
      <c r="V201" s="142"/>
      <c r="W201" s="142"/>
      <c r="X201" s="142"/>
      <c r="Y201" s="142"/>
      <c r="Z201" s="142"/>
      <c r="AA201" s="142"/>
      <c r="AB201" s="142"/>
      <c r="AC201" s="142"/>
      <c r="AD201" s="142"/>
      <c r="AE201" s="142"/>
      <c r="AF201" s="142"/>
      <c r="AG201" s="142"/>
      <c r="AH201" s="142"/>
      <c r="AI201" s="142"/>
      <c r="AJ201" s="142"/>
      <c r="AK201" s="142"/>
      <c r="AL201" s="142"/>
      <c r="AM201" s="142"/>
    </row>
    <row r="202" spans="1:39" ht="54">
      <c r="A202" s="137">
        <v>200</v>
      </c>
      <c r="B202" s="137">
        <v>3</v>
      </c>
      <c r="C202" s="137">
        <v>7</v>
      </c>
      <c r="D202" s="137">
        <v>15</v>
      </c>
      <c r="E202" s="137">
        <v>0</v>
      </c>
      <c r="F202" s="137">
        <v>0</v>
      </c>
      <c r="G202" s="138" t="s">
        <v>1001</v>
      </c>
      <c r="H202" s="138" t="s">
        <v>1002</v>
      </c>
      <c r="I202" s="138" t="s">
        <v>2941</v>
      </c>
      <c r="J202" s="137" t="s">
        <v>83</v>
      </c>
      <c r="K202" s="137" t="s">
        <v>84</v>
      </c>
      <c r="L202" s="137" t="s">
        <v>84</v>
      </c>
      <c r="M202" s="137" t="s">
        <v>84</v>
      </c>
      <c r="N202" s="137" t="s">
        <v>84</v>
      </c>
      <c r="O202" s="137" t="s">
        <v>229</v>
      </c>
      <c r="P202" s="138" t="s">
        <v>2942</v>
      </c>
      <c r="Q202" s="138" t="s">
        <v>2943</v>
      </c>
      <c r="R202" s="138" t="s">
        <v>2944</v>
      </c>
      <c r="S202" s="138" t="s">
        <v>2945</v>
      </c>
      <c r="T202" s="138"/>
      <c r="U202" s="138"/>
      <c r="V202" s="138"/>
      <c r="W202" s="138"/>
      <c r="X202" s="138"/>
      <c r="Y202" s="138"/>
      <c r="Z202" s="138"/>
      <c r="AA202" s="138"/>
      <c r="AB202" s="138"/>
      <c r="AC202" s="138"/>
      <c r="AD202" s="138"/>
      <c r="AE202" s="138"/>
      <c r="AF202" s="138"/>
      <c r="AG202" s="138"/>
      <c r="AH202" s="138"/>
      <c r="AI202" s="138"/>
      <c r="AJ202" s="138"/>
      <c r="AK202" s="138"/>
      <c r="AL202" s="138"/>
      <c r="AM202" s="138"/>
    </row>
    <row r="203" spans="1:39">
      <c r="A203" s="141">
        <v>201</v>
      </c>
      <c r="B203" s="141">
        <v>3</v>
      </c>
      <c r="C203" s="141">
        <v>7</v>
      </c>
      <c r="D203" s="141">
        <v>15</v>
      </c>
      <c r="E203" s="141">
        <v>1</v>
      </c>
      <c r="F203" s="141">
        <v>0</v>
      </c>
      <c r="G203" s="142" t="s">
        <v>1003</v>
      </c>
      <c r="H203" s="142" t="s">
        <v>1004</v>
      </c>
      <c r="I203" s="141" t="s">
        <v>84</v>
      </c>
      <c r="J203" s="141" t="s">
        <v>154</v>
      </c>
      <c r="K203" s="141" t="s">
        <v>155</v>
      </c>
      <c r="L203" s="142" t="s">
        <v>1005</v>
      </c>
      <c r="M203" s="142" t="s">
        <v>739</v>
      </c>
      <c r="N203" s="141" t="s">
        <v>84</v>
      </c>
      <c r="O203" s="141" t="s">
        <v>84</v>
      </c>
      <c r="P203" s="141" t="s">
        <v>84</v>
      </c>
      <c r="Q203" s="141" t="s">
        <v>84</v>
      </c>
      <c r="R203" s="141" t="s">
        <v>84</v>
      </c>
      <c r="S203" s="141" t="s">
        <v>84</v>
      </c>
      <c r="T203" s="142"/>
      <c r="U203" s="142"/>
      <c r="V203" s="142"/>
      <c r="W203" s="142"/>
      <c r="X203" s="142"/>
      <c r="Y203" s="142"/>
      <c r="Z203" s="142"/>
      <c r="AA203" s="142"/>
      <c r="AB203" s="142"/>
      <c r="AC203" s="142"/>
      <c r="AD203" s="142"/>
      <c r="AE203" s="142"/>
      <c r="AF203" s="142"/>
      <c r="AG203" s="142"/>
      <c r="AH203" s="142"/>
      <c r="AI203" s="142"/>
      <c r="AJ203" s="142"/>
      <c r="AK203" s="142"/>
      <c r="AL203" s="142"/>
      <c r="AM203" s="142"/>
    </row>
    <row r="204" spans="1:39" ht="409.6" thickBot="1">
      <c r="A204" s="137">
        <v>202</v>
      </c>
      <c r="B204" s="143">
        <v>3</v>
      </c>
      <c r="C204" s="143">
        <v>7</v>
      </c>
      <c r="D204" s="143">
        <v>16</v>
      </c>
      <c r="E204" s="143">
        <v>0</v>
      </c>
      <c r="F204" s="143">
        <v>0</v>
      </c>
      <c r="G204" s="144" t="s">
        <v>1006</v>
      </c>
      <c r="H204" s="144" t="s">
        <v>1007</v>
      </c>
      <c r="I204" s="138" t="s">
        <v>2946</v>
      </c>
      <c r="J204" s="143" t="s">
        <v>83</v>
      </c>
      <c r="K204" s="143" t="s">
        <v>84</v>
      </c>
      <c r="L204" s="143" t="s">
        <v>84</v>
      </c>
      <c r="M204" s="143" t="s">
        <v>84</v>
      </c>
      <c r="N204" s="143" t="s">
        <v>229</v>
      </c>
      <c r="O204" s="143" t="s">
        <v>303</v>
      </c>
      <c r="P204" s="144" t="s">
        <v>2947</v>
      </c>
      <c r="Q204" s="138" t="s">
        <v>2948</v>
      </c>
      <c r="R204" s="138" t="s">
        <v>2949</v>
      </c>
      <c r="S204" s="138" t="s">
        <v>2950</v>
      </c>
      <c r="T204" s="144"/>
      <c r="U204" s="144"/>
      <c r="V204" s="144"/>
      <c r="W204" s="144"/>
      <c r="X204" s="144"/>
      <c r="Y204" s="144"/>
      <c r="Z204" s="144"/>
      <c r="AA204" s="144"/>
      <c r="AB204" s="144"/>
      <c r="AC204" s="144"/>
      <c r="AD204" s="144"/>
      <c r="AE204" s="144"/>
      <c r="AF204" s="144"/>
      <c r="AG204" s="144"/>
      <c r="AH204" s="144"/>
      <c r="AI204" s="144"/>
      <c r="AJ204" s="144"/>
      <c r="AK204" s="144"/>
      <c r="AL204" s="144"/>
      <c r="AM204" s="144"/>
    </row>
    <row r="205" spans="1:39" ht="16.8" thickTop="1">
      <c r="A205" s="135">
        <v>203</v>
      </c>
      <c r="B205" s="135">
        <v>3</v>
      </c>
      <c r="C205" s="135">
        <v>8</v>
      </c>
      <c r="D205" s="135">
        <v>1</v>
      </c>
      <c r="E205" s="135">
        <v>0</v>
      </c>
      <c r="F205" s="135">
        <v>0</v>
      </c>
      <c r="G205" s="136" t="s">
        <v>1008</v>
      </c>
      <c r="H205" s="136" t="s">
        <v>1009</v>
      </c>
      <c r="I205" s="136" t="s">
        <v>2951</v>
      </c>
      <c r="J205" s="135" t="s">
        <v>83</v>
      </c>
      <c r="K205" s="135" t="s">
        <v>84</v>
      </c>
      <c r="L205" s="135" t="s">
        <v>84</v>
      </c>
      <c r="M205" s="135" t="s">
        <v>84</v>
      </c>
      <c r="N205" s="135" t="s">
        <v>230</v>
      </c>
      <c r="O205" s="135" t="s">
        <v>1010</v>
      </c>
      <c r="P205" s="136" t="s">
        <v>2952</v>
      </c>
      <c r="Q205" s="136" t="s">
        <v>2953</v>
      </c>
      <c r="R205" s="136" t="s">
        <v>2954</v>
      </c>
      <c r="S205" s="136" t="s">
        <v>2955</v>
      </c>
      <c r="T205" s="136"/>
      <c r="U205" s="136"/>
      <c r="V205" s="136"/>
      <c r="W205" s="136"/>
      <c r="X205" s="136"/>
      <c r="Y205" s="136"/>
      <c r="Z205" s="136"/>
      <c r="AA205" s="136"/>
      <c r="AB205" s="136"/>
      <c r="AC205" s="136"/>
      <c r="AD205" s="136"/>
      <c r="AE205" s="136"/>
      <c r="AF205" s="136"/>
      <c r="AG205" s="136"/>
      <c r="AH205" s="136"/>
      <c r="AI205" s="136"/>
      <c r="AJ205" s="136"/>
      <c r="AK205" s="136"/>
      <c r="AL205" s="136"/>
      <c r="AM205" s="136"/>
    </row>
    <row r="206" spans="1:39" ht="16.2">
      <c r="A206" s="137">
        <v>204</v>
      </c>
      <c r="B206" s="137">
        <v>3</v>
      </c>
      <c r="C206" s="137">
        <v>8</v>
      </c>
      <c r="D206" s="137">
        <v>1</v>
      </c>
      <c r="E206" s="137">
        <v>1</v>
      </c>
      <c r="F206" s="137">
        <v>0</v>
      </c>
      <c r="G206" s="138" t="s">
        <v>1011</v>
      </c>
      <c r="H206" s="138" t="s">
        <v>1012</v>
      </c>
      <c r="I206" s="138" t="s">
        <v>2956</v>
      </c>
      <c r="J206" s="137" t="s">
        <v>83</v>
      </c>
      <c r="K206" s="137" t="s">
        <v>84</v>
      </c>
      <c r="L206" s="137" t="s">
        <v>84</v>
      </c>
      <c r="M206" s="137" t="s">
        <v>84</v>
      </c>
      <c r="N206" s="137" t="s">
        <v>230</v>
      </c>
      <c r="O206" s="137" t="s">
        <v>511</v>
      </c>
      <c r="P206" s="138" t="s">
        <v>2957</v>
      </c>
      <c r="Q206" s="138" t="s">
        <v>2958</v>
      </c>
      <c r="R206" s="138" t="s">
        <v>2959</v>
      </c>
      <c r="S206" s="138" t="s">
        <v>2960</v>
      </c>
      <c r="T206" s="138"/>
      <c r="U206" s="138"/>
      <c r="V206" s="138"/>
      <c r="W206" s="138"/>
      <c r="X206" s="138"/>
      <c r="Y206" s="138"/>
      <c r="Z206" s="138"/>
      <c r="AA206" s="138"/>
      <c r="AB206" s="138"/>
      <c r="AC206" s="138"/>
      <c r="AD206" s="138"/>
      <c r="AE206" s="138"/>
      <c r="AF206" s="138"/>
      <c r="AG206" s="138"/>
      <c r="AH206" s="138"/>
      <c r="AI206" s="138"/>
      <c r="AJ206" s="138"/>
      <c r="AK206" s="138"/>
      <c r="AL206" s="138"/>
      <c r="AM206" s="138"/>
    </row>
    <row r="207" spans="1:39" ht="16.8" thickBot="1">
      <c r="A207" s="143">
        <v>205</v>
      </c>
      <c r="B207" s="143">
        <v>3</v>
      </c>
      <c r="C207" s="143">
        <v>8</v>
      </c>
      <c r="D207" s="143">
        <v>2</v>
      </c>
      <c r="E207" s="143">
        <v>0</v>
      </c>
      <c r="F207" s="143">
        <v>0</v>
      </c>
      <c r="G207" s="144" t="s">
        <v>1013</v>
      </c>
      <c r="H207" s="144" t="s">
        <v>1014</v>
      </c>
      <c r="I207" s="144" t="s">
        <v>2961</v>
      </c>
      <c r="J207" s="143" t="s">
        <v>83</v>
      </c>
      <c r="K207" s="137" t="s">
        <v>84</v>
      </c>
      <c r="L207" s="137" t="s">
        <v>84</v>
      </c>
      <c r="M207" s="137" t="s">
        <v>84</v>
      </c>
      <c r="N207" s="143" t="s">
        <v>230</v>
      </c>
      <c r="O207" s="143" t="s">
        <v>511</v>
      </c>
      <c r="P207" s="144" t="s">
        <v>2962</v>
      </c>
      <c r="Q207" s="144" t="s">
        <v>2963</v>
      </c>
      <c r="R207" s="144" t="s">
        <v>2964</v>
      </c>
      <c r="S207" s="144" t="s">
        <v>2965</v>
      </c>
      <c r="T207" s="144"/>
      <c r="U207" s="144"/>
      <c r="V207" s="144"/>
      <c r="W207" s="144"/>
      <c r="X207" s="144"/>
      <c r="Y207" s="144"/>
      <c r="Z207" s="144"/>
      <c r="AA207" s="144"/>
      <c r="AB207" s="144"/>
      <c r="AC207" s="144"/>
      <c r="AD207" s="144"/>
      <c r="AE207" s="144"/>
      <c r="AF207" s="144"/>
      <c r="AG207" s="144"/>
      <c r="AH207" s="144"/>
      <c r="AI207" s="144"/>
      <c r="AJ207" s="144"/>
      <c r="AK207" s="144"/>
      <c r="AL207" s="144"/>
      <c r="AM207" s="144"/>
    </row>
    <row r="208" spans="1:39" ht="6" thickTop="1">
      <c r="A208" s="157">
        <v>206</v>
      </c>
      <c r="B208" s="157">
        <v>3</v>
      </c>
      <c r="C208" s="157">
        <v>9</v>
      </c>
      <c r="D208" s="157">
        <v>0</v>
      </c>
      <c r="E208" s="157">
        <v>0</v>
      </c>
      <c r="F208" s="157">
        <v>0</v>
      </c>
      <c r="G208" s="158" t="s">
        <v>1015</v>
      </c>
      <c r="H208" s="158" t="s">
        <v>1016</v>
      </c>
      <c r="I208" s="157" t="s">
        <v>84</v>
      </c>
      <c r="J208" s="157" t="s">
        <v>154</v>
      </c>
      <c r="K208" s="157" t="s">
        <v>155</v>
      </c>
      <c r="L208" s="158" t="s">
        <v>1017</v>
      </c>
      <c r="M208" s="158" t="s">
        <v>739</v>
      </c>
      <c r="N208" s="157" t="s">
        <v>84</v>
      </c>
      <c r="O208" s="157" t="s">
        <v>84</v>
      </c>
      <c r="P208" s="157" t="s">
        <v>84</v>
      </c>
      <c r="Q208" s="157" t="s">
        <v>84</v>
      </c>
      <c r="R208" s="157" t="s">
        <v>84</v>
      </c>
      <c r="S208" s="157" t="s">
        <v>84</v>
      </c>
      <c r="T208" s="158"/>
      <c r="U208" s="158"/>
      <c r="V208" s="158"/>
      <c r="W208" s="158"/>
      <c r="X208" s="158"/>
      <c r="Y208" s="158"/>
      <c r="Z208" s="158"/>
      <c r="AA208" s="158"/>
      <c r="AB208" s="158"/>
      <c r="AC208" s="158"/>
      <c r="AD208" s="158"/>
      <c r="AE208" s="158"/>
      <c r="AF208" s="158"/>
      <c r="AG208" s="158"/>
      <c r="AH208" s="158"/>
      <c r="AI208" s="158"/>
      <c r="AJ208" s="158"/>
      <c r="AK208" s="158"/>
      <c r="AL208" s="158"/>
      <c r="AM208" s="158"/>
    </row>
    <row r="209" spans="1:39">
      <c r="A209" s="141">
        <v>207</v>
      </c>
      <c r="B209" s="141">
        <v>3</v>
      </c>
      <c r="C209" s="141">
        <v>10</v>
      </c>
      <c r="D209" s="141">
        <v>0</v>
      </c>
      <c r="E209" s="141">
        <v>0</v>
      </c>
      <c r="F209" s="141">
        <v>0</v>
      </c>
      <c r="G209" s="142" t="s">
        <v>1018</v>
      </c>
      <c r="H209" s="142" t="s">
        <v>1019</v>
      </c>
      <c r="I209" s="141" t="s">
        <v>84</v>
      </c>
      <c r="J209" s="141" t="s">
        <v>154</v>
      </c>
      <c r="K209" s="141" t="s">
        <v>155</v>
      </c>
      <c r="L209" s="142" t="s">
        <v>1017</v>
      </c>
      <c r="M209" s="142" t="s">
        <v>739</v>
      </c>
      <c r="N209" s="141" t="s">
        <v>84</v>
      </c>
      <c r="O209" s="141" t="s">
        <v>84</v>
      </c>
      <c r="P209" s="141" t="s">
        <v>84</v>
      </c>
      <c r="Q209" s="141" t="s">
        <v>84</v>
      </c>
      <c r="R209" s="141" t="s">
        <v>84</v>
      </c>
      <c r="S209" s="141" t="s">
        <v>84</v>
      </c>
      <c r="T209" s="142"/>
      <c r="U209" s="142"/>
      <c r="V209" s="142"/>
      <c r="W209" s="142"/>
      <c r="X209" s="142"/>
      <c r="Y209" s="142"/>
      <c r="Z209" s="142"/>
      <c r="AA209" s="142"/>
      <c r="AB209" s="142"/>
      <c r="AC209" s="142"/>
      <c r="AD209" s="142"/>
      <c r="AE209" s="142"/>
      <c r="AF209" s="142"/>
      <c r="AG209" s="142"/>
      <c r="AH209" s="142"/>
      <c r="AI209" s="142"/>
      <c r="AJ209" s="142"/>
      <c r="AK209" s="142"/>
      <c r="AL209" s="142"/>
      <c r="AM209" s="142"/>
    </row>
    <row r="210" spans="1:39" ht="21.6">
      <c r="A210" s="137">
        <v>208</v>
      </c>
      <c r="B210" s="137">
        <v>3</v>
      </c>
      <c r="C210" s="137">
        <v>11</v>
      </c>
      <c r="D210" s="137">
        <v>0</v>
      </c>
      <c r="E210" s="137">
        <v>0</v>
      </c>
      <c r="F210" s="137">
        <v>0</v>
      </c>
      <c r="G210" s="138" t="s">
        <v>1020</v>
      </c>
      <c r="H210" s="138" t="s">
        <v>1021</v>
      </c>
      <c r="I210" s="138" t="s">
        <v>2966</v>
      </c>
      <c r="J210" s="137" t="s">
        <v>83</v>
      </c>
      <c r="K210" s="137" t="s">
        <v>84</v>
      </c>
      <c r="L210" s="137" t="s">
        <v>84</v>
      </c>
      <c r="M210" s="137" t="s">
        <v>84</v>
      </c>
      <c r="N210" s="137" t="s">
        <v>229</v>
      </c>
      <c r="O210" s="137" t="s">
        <v>1022</v>
      </c>
      <c r="P210" s="138" t="s">
        <v>2967</v>
      </c>
      <c r="Q210" s="138" t="s">
        <v>2968</v>
      </c>
      <c r="R210" s="138" t="s">
        <v>2969</v>
      </c>
      <c r="S210" s="138" t="s">
        <v>2970</v>
      </c>
      <c r="T210" s="138"/>
      <c r="U210" s="138"/>
      <c r="V210" s="138"/>
      <c r="W210" s="138"/>
      <c r="X210" s="138"/>
      <c r="Y210" s="138"/>
      <c r="Z210" s="138"/>
      <c r="AA210" s="138"/>
      <c r="AB210" s="138"/>
      <c r="AC210" s="138"/>
      <c r="AD210" s="138"/>
      <c r="AE210" s="138"/>
      <c r="AF210" s="138"/>
      <c r="AG210" s="138"/>
      <c r="AH210" s="138"/>
      <c r="AI210" s="138"/>
      <c r="AJ210" s="138"/>
      <c r="AK210" s="138"/>
      <c r="AL210" s="138"/>
      <c r="AM210" s="138"/>
    </row>
    <row r="211" spans="1:39" ht="11.4" thickBot="1">
      <c r="A211" s="151">
        <v>209</v>
      </c>
      <c r="B211" s="152">
        <v>3</v>
      </c>
      <c r="C211" s="152">
        <v>12</v>
      </c>
      <c r="D211" s="152">
        <v>0</v>
      </c>
      <c r="E211" s="152">
        <v>0</v>
      </c>
      <c r="F211" s="152">
        <v>0</v>
      </c>
      <c r="G211" s="153" t="s">
        <v>1023</v>
      </c>
      <c r="H211" s="153" t="s">
        <v>1024</v>
      </c>
      <c r="I211" s="141" t="s">
        <v>84</v>
      </c>
      <c r="J211" s="141" t="s">
        <v>154</v>
      </c>
      <c r="K211" s="141" t="s">
        <v>155</v>
      </c>
      <c r="L211" s="141" t="s">
        <v>1025</v>
      </c>
      <c r="M211" s="141" t="s">
        <v>1026</v>
      </c>
      <c r="N211" s="141" t="s">
        <v>84</v>
      </c>
      <c r="O211" s="141" t="s">
        <v>84</v>
      </c>
      <c r="P211" s="152" t="s">
        <v>84</v>
      </c>
      <c r="Q211" s="141" t="s">
        <v>84</v>
      </c>
      <c r="R211" s="141" t="s">
        <v>84</v>
      </c>
      <c r="S211" s="141" t="s">
        <v>84</v>
      </c>
      <c r="T211" s="153"/>
      <c r="U211" s="153"/>
      <c r="V211" s="153"/>
      <c r="W211" s="153"/>
      <c r="X211" s="153"/>
      <c r="Y211" s="153"/>
      <c r="Z211" s="153"/>
      <c r="AA211" s="153"/>
      <c r="AB211" s="153"/>
      <c r="AC211" s="153"/>
      <c r="AD211" s="153"/>
      <c r="AE211" s="153"/>
      <c r="AF211" s="153"/>
      <c r="AG211" s="153"/>
      <c r="AH211" s="153"/>
      <c r="AI211" s="153"/>
      <c r="AJ211" s="153"/>
      <c r="AK211" s="153"/>
      <c r="AL211" s="153"/>
      <c r="AM211" s="153"/>
    </row>
    <row r="212" spans="1:39" ht="6" thickTop="1">
      <c r="A212" s="159"/>
      <c r="B212" s="160"/>
      <c r="C212" s="160"/>
      <c r="D212" s="160"/>
      <c r="E212" s="160"/>
      <c r="F212" s="160"/>
      <c r="G212" s="161"/>
      <c r="H212" s="161"/>
      <c r="I212" s="161"/>
      <c r="J212" s="162"/>
      <c r="K212" s="162"/>
      <c r="L212" s="161"/>
      <c r="M212" s="162"/>
      <c r="N212" s="160"/>
      <c r="O212" s="160"/>
      <c r="P212" s="162"/>
      <c r="Q212" s="161"/>
      <c r="R212" s="161"/>
      <c r="S212" s="163"/>
      <c r="T212" s="162"/>
      <c r="U212" s="162"/>
      <c r="V212" s="162"/>
      <c r="W212" s="162"/>
      <c r="X212" s="162"/>
      <c r="Y212" s="162"/>
      <c r="Z212" s="162"/>
      <c r="AA212" s="162"/>
      <c r="AB212" s="162"/>
      <c r="AC212" s="162"/>
      <c r="AD212" s="162"/>
      <c r="AE212" s="162"/>
      <c r="AF212" s="162"/>
      <c r="AG212" s="162"/>
      <c r="AH212" s="162"/>
      <c r="AI212" s="162"/>
      <c r="AJ212" s="162"/>
      <c r="AK212" s="162"/>
      <c r="AL212" s="162"/>
      <c r="AM212" s="162"/>
    </row>
    <row r="213" spans="1:39">
      <c r="A213" s="159"/>
      <c r="B213" s="159"/>
      <c r="C213" s="159"/>
      <c r="D213" s="159"/>
      <c r="E213" s="159"/>
      <c r="F213" s="159"/>
      <c r="G213" s="145"/>
      <c r="H213" s="159"/>
      <c r="I213" s="145"/>
      <c r="J213" s="164"/>
      <c r="L213" s="145"/>
      <c r="N213" s="159"/>
      <c r="O213" s="159"/>
      <c r="Q213" s="145"/>
      <c r="R213" s="145"/>
      <c r="S213" s="165"/>
    </row>
    <row r="214" spans="1:39">
      <c r="A214" s="159"/>
      <c r="B214" s="159"/>
      <c r="C214" s="159"/>
      <c r="D214" s="159"/>
      <c r="E214" s="159"/>
      <c r="F214" s="159"/>
      <c r="G214" s="165" t="s">
        <v>1027</v>
      </c>
      <c r="H214" s="159">
        <f>COUNTIF(K3:K211, "-")</f>
        <v>166</v>
      </c>
      <c r="I214" s="145"/>
      <c r="L214" s="145"/>
      <c r="N214" s="159"/>
      <c r="O214" s="159"/>
      <c r="Q214" s="145"/>
      <c r="R214" s="145"/>
      <c r="S214" s="145"/>
    </row>
    <row r="215" spans="1:39">
      <c r="A215" s="159"/>
      <c r="B215" s="159"/>
      <c r="C215" s="159"/>
      <c r="D215" s="159"/>
      <c r="E215" s="159"/>
      <c r="F215" s="159"/>
      <c r="G215" s="165" t="s">
        <v>1028</v>
      </c>
      <c r="H215" s="159">
        <f>COUNTIF(K3:K211, "비적용")</f>
        <v>35</v>
      </c>
      <c r="I215" s="145"/>
      <c r="L215" s="145"/>
      <c r="N215" s="159"/>
      <c r="O215" s="159"/>
      <c r="Q215" s="145"/>
      <c r="R215" s="145"/>
      <c r="S215" s="145"/>
    </row>
    <row r="216" spans="1:39">
      <c r="A216" s="159"/>
      <c r="B216" s="159"/>
      <c r="C216" s="159"/>
      <c r="D216" s="159"/>
      <c r="E216" s="159"/>
      <c r="F216" s="159"/>
      <c r="G216" s="165" t="s">
        <v>1029</v>
      </c>
      <c r="H216" s="159">
        <f>COUNTIF(K3:K211, "수정적용")</f>
        <v>5</v>
      </c>
      <c r="I216" s="145"/>
      <c r="L216" s="145"/>
      <c r="N216" s="159"/>
      <c r="O216" s="159"/>
      <c r="Q216" s="145"/>
      <c r="R216" s="145"/>
      <c r="S216" s="145"/>
    </row>
    <row r="217" spans="1:39">
      <c r="A217" s="159"/>
      <c r="B217" s="159"/>
      <c r="C217" s="159"/>
      <c r="D217" s="159"/>
      <c r="E217" s="159"/>
      <c r="F217" s="159"/>
      <c r="G217" s="165" t="s">
        <v>1030</v>
      </c>
      <c r="H217" s="159">
        <f>COUNTIF(K3:K211, "부분적용")</f>
        <v>3</v>
      </c>
      <c r="I217" s="145"/>
      <c r="L217" s="145"/>
      <c r="N217" s="159"/>
      <c r="O217" s="159"/>
      <c r="Q217" s="145"/>
      <c r="R217" s="145"/>
      <c r="S217" s="145"/>
    </row>
    <row r="218" spans="1:39">
      <c r="A218" s="159"/>
      <c r="B218" s="159"/>
      <c r="C218" s="159"/>
      <c r="D218" s="159"/>
      <c r="E218" s="159"/>
      <c r="F218" s="159"/>
      <c r="G218" s="165" t="s">
        <v>45</v>
      </c>
      <c r="H218" s="159">
        <f>SUM(H214:H217)</f>
        <v>209</v>
      </c>
      <c r="I218" s="145"/>
      <c r="L218" s="145"/>
      <c r="N218" s="159"/>
      <c r="O218" s="159"/>
      <c r="Q218" s="145"/>
      <c r="R218" s="145"/>
      <c r="S218" s="145"/>
    </row>
    <row r="219" spans="1:39">
      <c r="A219" s="159"/>
      <c r="B219" s="159"/>
      <c r="C219" s="159"/>
      <c r="D219" s="159"/>
      <c r="E219" s="159"/>
      <c r="F219" s="159"/>
      <c r="G219" s="165" t="s">
        <v>1031</v>
      </c>
      <c r="H219" s="159">
        <f>ROUND(((209-0)/209)*100, 2)</f>
        <v>100</v>
      </c>
      <c r="I219" s="145"/>
      <c r="L219" s="145"/>
      <c r="N219" s="159"/>
      <c r="O219" s="159"/>
      <c r="Q219" s="145"/>
      <c r="R219" s="145"/>
      <c r="S219" s="145"/>
    </row>
    <row r="220" spans="1:39">
      <c r="A220" s="159"/>
      <c r="B220" s="159"/>
      <c r="C220" s="159"/>
      <c r="D220" s="159"/>
      <c r="E220" s="159"/>
      <c r="F220" s="159"/>
      <c r="G220" s="165" t="s">
        <v>1032</v>
      </c>
      <c r="H220" s="159">
        <f>ROUND((0/209)*100, 2)</f>
        <v>0</v>
      </c>
      <c r="I220" s="145"/>
      <c r="L220" s="145"/>
      <c r="N220" s="159"/>
      <c r="O220" s="159"/>
      <c r="Q220" s="145"/>
      <c r="R220" s="145"/>
      <c r="S220" s="145"/>
    </row>
    <row r="221" spans="1:39">
      <c r="A221" s="159"/>
      <c r="B221" s="159"/>
      <c r="C221" s="159"/>
      <c r="D221" s="159"/>
      <c r="E221" s="159"/>
      <c r="F221" s="159"/>
      <c r="G221" s="145"/>
      <c r="H221" s="145"/>
      <c r="I221" s="145"/>
      <c r="L221" s="145"/>
      <c r="N221" s="159"/>
      <c r="O221" s="159"/>
      <c r="Q221" s="145"/>
      <c r="R221" s="145"/>
      <c r="S221" s="145"/>
    </row>
    <row r="222" spans="1:39" ht="145.80000000000001">
      <c r="A222" s="145" t="s">
        <v>1033</v>
      </c>
      <c r="B222" s="159"/>
      <c r="C222" s="159"/>
      <c r="D222" s="159"/>
      <c r="E222" s="159"/>
      <c r="F222" s="159"/>
      <c r="H222" s="145"/>
      <c r="I222" s="145"/>
      <c r="L222" s="145"/>
      <c r="N222" s="159"/>
      <c r="O222" s="159"/>
      <c r="Q222" s="145"/>
      <c r="R222" s="145"/>
      <c r="S222" s="145"/>
    </row>
    <row r="223" spans="1:39">
      <c r="A223" s="159"/>
      <c r="B223" s="159"/>
      <c r="C223" s="159"/>
      <c r="D223" s="159"/>
      <c r="E223" s="159"/>
      <c r="F223" s="159"/>
      <c r="G223" s="145"/>
      <c r="H223" s="145"/>
      <c r="I223" s="145"/>
      <c r="L223" s="145"/>
      <c r="N223" s="159"/>
      <c r="O223" s="159"/>
      <c r="Q223" s="145"/>
      <c r="R223" s="145"/>
      <c r="S223" s="145"/>
    </row>
    <row r="224" spans="1:39">
      <c r="A224" s="159"/>
      <c r="B224" s="159"/>
      <c r="C224" s="159"/>
      <c r="D224" s="159"/>
      <c r="E224" s="159"/>
      <c r="F224" s="159"/>
      <c r="G224" s="145"/>
      <c r="H224" s="145"/>
      <c r="I224" s="145"/>
      <c r="L224" s="145"/>
      <c r="N224" s="159"/>
      <c r="O224" s="159"/>
      <c r="Q224" s="145"/>
      <c r="R224" s="145"/>
      <c r="S224" s="145"/>
    </row>
    <row r="225" spans="1:19">
      <c r="A225" s="159"/>
      <c r="B225" s="159"/>
      <c r="C225" s="159"/>
      <c r="D225" s="159"/>
      <c r="E225" s="159"/>
      <c r="F225" s="159"/>
      <c r="G225" s="145"/>
      <c r="H225" s="145"/>
      <c r="I225" s="145"/>
      <c r="L225" s="145"/>
      <c r="N225" s="159"/>
      <c r="O225" s="159"/>
      <c r="Q225" s="145"/>
      <c r="R225" s="145"/>
      <c r="S225" s="145"/>
    </row>
    <row r="226" spans="1:19">
      <c r="A226" s="159"/>
      <c r="B226" s="159"/>
      <c r="C226" s="159"/>
      <c r="D226" s="159"/>
      <c r="E226" s="159"/>
      <c r="F226" s="159"/>
      <c r="G226" s="145"/>
      <c r="H226" s="145"/>
      <c r="I226" s="145"/>
      <c r="L226" s="145"/>
      <c r="N226" s="159"/>
      <c r="O226" s="159"/>
      <c r="Q226" s="145"/>
      <c r="R226" s="145"/>
      <c r="S226" s="145"/>
    </row>
    <row r="227" spans="1:19">
      <c r="A227" s="159"/>
      <c r="B227" s="159"/>
      <c r="C227" s="159"/>
      <c r="D227" s="159"/>
      <c r="E227" s="159"/>
      <c r="F227" s="159"/>
      <c r="G227" s="145"/>
      <c r="H227" s="145"/>
      <c r="I227" s="145"/>
      <c r="L227" s="145"/>
      <c r="N227" s="159"/>
      <c r="O227" s="159"/>
      <c r="Q227" s="145"/>
      <c r="R227" s="145"/>
      <c r="S227" s="145"/>
    </row>
    <row r="228" spans="1:19">
      <c r="A228" s="159"/>
      <c r="B228" s="159"/>
      <c r="C228" s="159"/>
      <c r="D228" s="159"/>
      <c r="E228" s="159"/>
      <c r="F228" s="159"/>
      <c r="G228" s="145"/>
      <c r="H228" s="145"/>
      <c r="I228" s="145"/>
      <c r="L228" s="145"/>
      <c r="N228" s="159"/>
      <c r="O228" s="159"/>
      <c r="Q228" s="145"/>
      <c r="R228" s="145"/>
      <c r="S228" s="145"/>
    </row>
    <row r="229" spans="1:19">
      <c r="A229" s="159"/>
      <c r="B229" s="159"/>
      <c r="C229" s="159"/>
      <c r="D229" s="159"/>
      <c r="E229" s="159"/>
      <c r="F229" s="159"/>
      <c r="G229" s="145"/>
      <c r="H229" s="145"/>
      <c r="I229" s="145"/>
      <c r="L229" s="145"/>
      <c r="N229" s="159"/>
      <c r="O229" s="159"/>
      <c r="Q229" s="145"/>
      <c r="R229" s="145"/>
      <c r="S229" s="145"/>
    </row>
    <row r="230" spans="1:19">
      <c r="A230" s="159"/>
      <c r="B230" s="159"/>
      <c r="C230" s="159"/>
      <c r="D230" s="159"/>
      <c r="E230" s="159"/>
      <c r="F230" s="159"/>
      <c r="G230" s="145"/>
      <c r="H230" s="145"/>
      <c r="I230" s="145"/>
      <c r="L230" s="145"/>
      <c r="N230" s="159"/>
      <c r="O230" s="159"/>
      <c r="Q230" s="145"/>
      <c r="R230" s="145"/>
      <c r="S230" s="145"/>
    </row>
    <row r="231" spans="1:19">
      <c r="A231" s="159"/>
      <c r="B231" s="159"/>
      <c r="C231" s="159"/>
      <c r="D231" s="159"/>
      <c r="E231" s="159"/>
      <c r="F231" s="159"/>
      <c r="G231" s="145"/>
      <c r="H231" s="145"/>
      <c r="I231" s="145"/>
      <c r="L231" s="145"/>
      <c r="N231" s="159"/>
      <c r="O231" s="159"/>
      <c r="Q231" s="145"/>
      <c r="R231" s="145"/>
      <c r="S231" s="145"/>
    </row>
    <row r="232" spans="1:19">
      <c r="A232" s="159"/>
      <c r="B232" s="159"/>
      <c r="C232" s="159"/>
      <c r="D232" s="159"/>
      <c r="E232" s="159"/>
      <c r="F232" s="159"/>
      <c r="G232" s="145"/>
      <c r="H232" s="145"/>
      <c r="I232" s="145"/>
      <c r="L232" s="145"/>
      <c r="N232" s="159"/>
      <c r="O232" s="159"/>
      <c r="Q232" s="145"/>
      <c r="R232" s="145"/>
      <c r="S232" s="145"/>
    </row>
    <row r="233" spans="1:19">
      <c r="A233" s="159"/>
      <c r="B233" s="159"/>
      <c r="C233" s="159"/>
      <c r="D233" s="159"/>
      <c r="E233" s="159"/>
      <c r="F233" s="159"/>
      <c r="G233" s="145"/>
      <c r="H233" s="145"/>
      <c r="I233" s="145"/>
      <c r="L233" s="145"/>
      <c r="N233" s="159"/>
      <c r="O233" s="159"/>
      <c r="Q233" s="145"/>
      <c r="R233" s="145"/>
      <c r="S233" s="145"/>
    </row>
    <row r="234" spans="1:19">
      <c r="A234" s="159"/>
      <c r="B234" s="159"/>
      <c r="C234" s="159"/>
      <c r="D234" s="159"/>
      <c r="E234" s="159"/>
      <c r="F234" s="159"/>
      <c r="G234" s="145"/>
      <c r="H234" s="145"/>
      <c r="I234" s="145"/>
      <c r="L234" s="145"/>
      <c r="N234" s="159"/>
      <c r="O234" s="159"/>
      <c r="Q234" s="145"/>
      <c r="R234" s="145"/>
      <c r="S234" s="145"/>
    </row>
    <row r="235" spans="1:19">
      <c r="A235" s="159"/>
      <c r="B235" s="159"/>
      <c r="C235" s="159"/>
      <c r="D235" s="159"/>
      <c r="E235" s="159"/>
      <c r="F235" s="159"/>
      <c r="G235" s="145"/>
      <c r="H235" s="145"/>
      <c r="I235" s="145"/>
      <c r="L235" s="145"/>
      <c r="N235" s="159"/>
      <c r="O235" s="159"/>
      <c r="Q235" s="145"/>
      <c r="R235" s="145"/>
      <c r="S235" s="145"/>
    </row>
    <row r="236" spans="1:19">
      <c r="A236" s="159"/>
      <c r="B236" s="159"/>
      <c r="C236" s="159"/>
      <c r="D236" s="159"/>
      <c r="E236" s="159"/>
      <c r="F236" s="159"/>
      <c r="G236" s="145"/>
      <c r="H236" s="145"/>
      <c r="I236" s="145"/>
      <c r="L236" s="145"/>
      <c r="N236" s="159"/>
      <c r="O236" s="159"/>
      <c r="Q236" s="145"/>
      <c r="R236" s="145"/>
      <c r="S236" s="145"/>
    </row>
    <row r="237" spans="1:19">
      <c r="A237" s="159"/>
      <c r="B237" s="159"/>
      <c r="C237" s="159"/>
      <c r="D237" s="159"/>
      <c r="E237" s="159"/>
      <c r="F237" s="159"/>
      <c r="G237" s="145"/>
      <c r="H237" s="145"/>
      <c r="I237" s="145"/>
      <c r="L237" s="145"/>
      <c r="N237" s="159"/>
      <c r="O237" s="159"/>
      <c r="Q237" s="145"/>
      <c r="R237" s="145"/>
      <c r="S237" s="145"/>
    </row>
    <row r="238" spans="1:19">
      <c r="A238" s="159"/>
      <c r="B238" s="159"/>
      <c r="C238" s="159"/>
      <c r="D238" s="159"/>
      <c r="E238" s="159"/>
      <c r="F238" s="159"/>
      <c r="G238" s="145"/>
      <c r="H238" s="145"/>
      <c r="I238" s="145"/>
      <c r="L238" s="145"/>
      <c r="N238" s="159"/>
      <c r="O238" s="159"/>
      <c r="Q238" s="145"/>
      <c r="R238" s="145"/>
      <c r="S238" s="145"/>
    </row>
    <row r="239" spans="1:19">
      <c r="A239" s="159"/>
      <c r="B239" s="159"/>
      <c r="C239" s="159"/>
      <c r="D239" s="159"/>
      <c r="E239" s="159"/>
      <c r="F239" s="159"/>
      <c r="G239" s="145"/>
      <c r="H239" s="145"/>
      <c r="I239" s="145"/>
      <c r="L239" s="145"/>
      <c r="N239" s="159"/>
      <c r="O239" s="159"/>
      <c r="Q239" s="145"/>
      <c r="R239" s="145"/>
      <c r="S239" s="145"/>
    </row>
    <row r="240" spans="1:19">
      <c r="A240" s="159"/>
      <c r="B240" s="159"/>
      <c r="C240" s="159"/>
      <c r="D240" s="159"/>
      <c r="E240" s="159"/>
      <c r="F240" s="159"/>
      <c r="G240" s="145"/>
      <c r="H240" s="145"/>
      <c r="I240" s="145"/>
      <c r="L240" s="145"/>
      <c r="N240" s="159"/>
      <c r="O240" s="159"/>
      <c r="Q240" s="145"/>
      <c r="R240" s="145"/>
      <c r="S240" s="145"/>
    </row>
    <row r="241" spans="1:19">
      <c r="A241" s="159"/>
      <c r="B241" s="159"/>
      <c r="C241" s="159"/>
      <c r="D241" s="159"/>
      <c r="E241" s="159"/>
      <c r="F241" s="159"/>
      <c r="G241" s="145"/>
      <c r="H241" s="145"/>
      <c r="I241" s="145"/>
      <c r="L241" s="145"/>
      <c r="N241" s="159"/>
      <c r="O241" s="159"/>
      <c r="Q241" s="145"/>
      <c r="R241" s="145"/>
      <c r="S241" s="145"/>
    </row>
    <row r="242" spans="1:19">
      <c r="A242" s="159"/>
      <c r="B242" s="159"/>
      <c r="C242" s="159"/>
      <c r="D242" s="159"/>
      <c r="E242" s="159"/>
      <c r="F242" s="159"/>
      <c r="G242" s="145"/>
      <c r="H242" s="145"/>
      <c r="I242" s="145"/>
      <c r="L242" s="145"/>
      <c r="N242" s="159"/>
      <c r="O242" s="159"/>
      <c r="Q242" s="145"/>
      <c r="R242" s="145"/>
      <c r="S242" s="145"/>
    </row>
    <row r="243" spans="1:19">
      <c r="A243" s="159"/>
      <c r="B243" s="159"/>
      <c r="C243" s="159"/>
      <c r="D243" s="159"/>
      <c r="E243" s="159"/>
      <c r="F243" s="159"/>
      <c r="G243" s="145"/>
      <c r="H243" s="145"/>
      <c r="I243" s="145"/>
      <c r="L243" s="145"/>
      <c r="N243" s="159"/>
      <c r="O243" s="159"/>
      <c r="Q243" s="145"/>
      <c r="R243" s="145"/>
      <c r="S243" s="145"/>
    </row>
    <row r="244" spans="1:19">
      <c r="A244" s="159"/>
      <c r="B244" s="159"/>
      <c r="C244" s="159"/>
      <c r="D244" s="159"/>
      <c r="E244" s="159"/>
      <c r="F244" s="159"/>
      <c r="G244" s="145"/>
      <c r="H244" s="145"/>
      <c r="I244" s="145"/>
      <c r="L244" s="145"/>
      <c r="N244" s="159"/>
      <c r="O244" s="159"/>
      <c r="Q244" s="145"/>
      <c r="R244" s="145"/>
      <c r="S244" s="145"/>
    </row>
    <row r="245" spans="1:19">
      <c r="A245" s="159"/>
      <c r="B245" s="159"/>
      <c r="C245" s="159"/>
      <c r="D245" s="159"/>
      <c r="E245" s="159"/>
      <c r="F245" s="159"/>
      <c r="G245" s="145"/>
      <c r="H245" s="145"/>
      <c r="I245" s="145"/>
      <c r="L245" s="145"/>
      <c r="N245" s="159"/>
      <c r="O245" s="159"/>
      <c r="Q245" s="145"/>
      <c r="R245" s="145"/>
      <c r="S245" s="145"/>
    </row>
    <row r="246" spans="1:19">
      <c r="A246" s="159"/>
      <c r="B246" s="159"/>
      <c r="C246" s="159"/>
      <c r="D246" s="159"/>
      <c r="E246" s="159"/>
      <c r="F246" s="159"/>
      <c r="G246" s="145"/>
      <c r="H246" s="145"/>
      <c r="I246" s="145"/>
      <c r="L246" s="145"/>
      <c r="N246" s="159"/>
      <c r="O246" s="159"/>
      <c r="Q246" s="145"/>
      <c r="R246" s="145"/>
      <c r="S246" s="145"/>
    </row>
    <row r="247" spans="1:19">
      <c r="A247" s="159"/>
      <c r="B247" s="159"/>
      <c r="C247" s="159"/>
      <c r="D247" s="159"/>
      <c r="E247" s="159"/>
      <c r="F247" s="159"/>
      <c r="G247" s="145"/>
      <c r="H247" s="145"/>
      <c r="I247" s="145"/>
      <c r="L247" s="145"/>
      <c r="N247" s="159"/>
      <c r="O247" s="159"/>
      <c r="Q247" s="145"/>
      <c r="R247" s="145"/>
      <c r="S247" s="145"/>
    </row>
    <row r="248" spans="1:19">
      <c r="A248" s="159"/>
      <c r="B248" s="159"/>
      <c r="C248" s="159"/>
      <c r="D248" s="159"/>
      <c r="E248" s="159"/>
      <c r="F248" s="159"/>
      <c r="G248" s="145"/>
      <c r="H248" s="145"/>
      <c r="I248" s="145"/>
      <c r="L248" s="145"/>
      <c r="N248" s="159"/>
      <c r="O248" s="159"/>
      <c r="Q248" s="145"/>
      <c r="R248" s="145"/>
      <c r="S248" s="145"/>
    </row>
    <row r="249" spans="1:19">
      <c r="A249" s="159"/>
      <c r="B249" s="159"/>
      <c r="C249" s="159"/>
      <c r="D249" s="159"/>
      <c r="E249" s="159"/>
      <c r="F249" s="159"/>
      <c r="G249" s="145"/>
      <c r="H249" s="145"/>
      <c r="I249" s="145"/>
      <c r="L249" s="145"/>
      <c r="N249" s="159"/>
      <c r="O249" s="159"/>
      <c r="Q249" s="145"/>
      <c r="R249" s="145"/>
      <c r="S249" s="145"/>
    </row>
    <row r="250" spans="1:19">
      <c r="A250" s="159"/>
      <c r="B250" s="159"/>
      <c r="C250" s="159"/>
      <c r="D250" s="159"/>
      <c r="E250" s="159"/>
      <c r="F250" s="159"/>
      <c r="G250" s="145"/>
      <c r="H250" s="145"/>
      <c r="I250" s="145"/>
      <c r="L250" s="145"/>
      <c r="N250" s="159"/>
      <c r="O250" s="159"/>
      <c r="Q250" s="145"/>
      <c r="R250" s="145"/>
      <c r="S250" s="145"/>
    </row>
    <row r="251" spans="1:19">
      <c r="A251" s="159"/>
      <c r="B251" s="159"/>
      <c r="C251" s="159"/>
      <c r="D251" s="159"/>
      <c r="E251" s="159"/>
      <c r="F251" s="159"/>
      <c r="G251" s="145"/>
      <c r="H251" s="145"/>
      <c r="I251" s="145"/>
      <c r="L251" s="145"/>
      <c r="N251" s="159"/>
      <c r="O251" s="159"/>
      <c r="Q251" s="145"/>
      <c r="R251" s="145"/>
      <c r="S251" s="145"/>
    </row>
    <row r="252" spans="1:19">
      <c r="A252" s="159"/>
      <c r="B252" s="159"/>
      <c r="C252" s="159"/>
      <c r="D252" s="159"/>
      <c r="E252" s="159"/>
      <c r="F252" s="159"/>
      <c r="G252" s="145"/>
      <c r="H252" s="145"/>
      <c r="I252" s="145"/>
      <c r="L252" s="145"/>
      <c r="N252" s="159"/>
      <c r="O252" s="159"/>
      <c r="Q252" s="145"/>
      <c r="R252" s="145"/>
      <c r="S252" s="145"/>
    </row>
    <row r="253" spans="1:19">
      <c r="A253" s="159"/>
      <c r="B253" s="159"/>
      <c r="C253" s="159"/>
      <c r="D253" s="159"/>
      <c r="E253" s="159"/>
      <c r="F253" s="159"/>
      <c r="G253" s="145"/>
      <c r="H253" s="145"/>
      <c r="I253" s="145"/>
      <c r="L253" s="145"/>
      <c r="N253" s="159"/>
      <c r="O253" s="159"/>
      <c r="Q253" s="145"/>
      <c r="R253" s="145"/>
      <c r="S253" s="145"/>
    </row>
    <row r="254" spans="1:19">
      <c r="A254" s="159"/>
      <c r="B254" s="159"/>
      <c r="C254" s="159"/>
      <c r="D254" s="159"/>
      <c r="E254" s="159"/>
      <c r="F254" s="159"/>
      <c r="G254" s="145"/>
      <c r="H254" s="145"/>
      <c r="I254" s="145"/>
      <c r="L254" s="145"/>
      <c r="N254" s="159"/>
      <c r="O254" s="159"/>
      <c r="Q254" s="145"/>
      <c r="R254" s="145"/>
      <c r="S254" s="145"/>
    </row>
    <row r="255" spans="1:19">
      <c r="A255" s="159"/>
      <c r="B255" s="159"/>
      <c r="C255" s="159"/>
      <c r="D255" s="159"/>
      <c r="E255" s="159"/>
      <c r="F255" s="159"/>
      <c r="G255" s="145"/>
      <c r="H255" s="145"/>
      <c r="I255" s="145"/>
      <c r="L255" s="145"/>
      <c r="N255" s="159"/>
      <c r="O255" s="159"/>
      <c r="Q255" s="145"/>
      <c r="R255" s="145"/>
      <c r="S255" s="145"/>
    </row>
    <row r="256" spans="1:19">
      <c r="A256" s="159"/>
      <c r="B256" s="159"/>
      <c r="C256" s="159"/>
      <c r="D256" s="159"/>
      <c r="E256" s="159"/>
      <c r="F256" s="159"/>
      <c r="G256" s="145"/>
      <c r="H256" s="145"/>
      <c r="I256" s="145"/>
      <c r="L256" s="145"/>
      <c r="N256" s="159"/>
      <c r="O256" s="159"/>
      <c r="Q256" s="145"/>
      <c r="R256" s="145"/>
      <c r="S256" s="145"/>
    </row>
    <row r="257" spans="1:19">
      <c r="A257" s="159"/>
      <c r="B257" s="159"/>
      <c r="C257" s="159"/>
      <c r="D257" s="159"/>
      <c r="E257" s="159"/>
      <c r="F257" s="159"/>
      <c r="G257" s="145"/>
      <c r="H257" s="145"/>
      <c r="I257" s="145"/>
      <c r="L257" s="145"/>
      <c r="N257" s="159"/>
      <c r="O257" s="159"/>
      <c r="Q257" s="145"/>
      <c r="R257" s="145"/>
      <c r="S257" s="145"/>
    </row>
    <row r="258" spans="1:19">
      <c r="A258" s="159"/>
      <c r="B258" s="159"/>
      <c r="C258" s="159"/>
      <c r="D258" s="159"/>
      <c r="E258" s="159"/>
      <c r="F258" s="159"/>
      <c r="G258" s="145"/>
      <c r="H258" s="145"/>
      <c r="I258" s="145"/>
      <c r="L258" s="145"/>
      <c r="N258" s="159"/>
      <c r="O258" s="159"/>
      <c r="Q258" s="145"/>
      <c r="R258" s="145"/>
      <c r="S258" s="145"/>
    </row>
    <row r="259" spans="1:19">
      <c r="A259" s="159"/>
      <c r="B259" s="159"/>
      <c r="C259" s="159"/>
      <c r="D259" s="159"/>
      <c r="E259" s="159"/>
      <c r="F259" s="159"/>
      <c r="G259" s="145"/>
      <c r="H259" s="145"/>
      <c r="I259" s="145"/>
      <c r="L259" s="145"/>
      <c r="N259" s="159"/>
      <c r="O259" s="159"/>
      <c r="Q259" s="145"/>
      <c r="R259" s="145"/>
      <c r="S259" s="145"/>
    </row>
    <row r="260" spans="1:19">
      <c r="A260" s="159"/>
      <c r="B260" s="159"/>
      <c r="C260" s="159"/>
      <c r="D260" s="159"/>
      <c r="E260" s="159"/>
      <c r="F260" s="159"/>
      <c r="G260" s="145"/>
      <c r="H260" s="145"/>
      <c r="I260" s="145"/>
      <c r="L260" s="145"/>
      <c r="N260" s="159"/>
      <c r="O260" s="159"/>
      <c r="Q260" s="145"/>
      <c r="R260" s="145"/>
      <c r="S260" s="145"/>
    </row>
    <row r="261" spans="1:19">
      <c r="A261" s="159"/>
      <c r="B261" s="159"/>
      <c r="C261" s="159"/>
      <c r="D261" s="159"/>
      <c r="E261" s="159"/>
      <c r="F261" s="159"/>
      <c r="G261" s="145"/>
      <c r="H261" s="145"/>
      <c r="I261" s="145"/>
      <c r="L261" s="145"/>
      <c r="N261" s="159"/>
      <c r="O261" s="159"/>
      <c r="Q261" s="145"/>
      <c r="R261" s="145"/>
      <c r="S261" s="145"/>
    </row>
    <row r="262" spans="1:19">
      <c r="A262" s="159"/>
      <c r="B262" s="159"/>
      <c r="C262" s="159"/>
      <c r="D262" s="159"/>
      <c r="E262" s="159"/>
      <c r="F262" s="159"/>
      <c r="G262" s="145"/>
      <c r="H262" s="145"/>
      <c r="I262" s="145"/>
      <c r="L262" s="145"/>
      <c r="N262" s="159"/>
      <c r="O262" s="159"/>
      <c r="Q262" s="145"/>
      <c r="R262" s="145"/>
      <c r="S262" s="145"/>
    </row>
    <row r="263" spans="1:19">
      <c r="A263" s="159"/>
      <c r="B263" s="159"/>
      <c r="C263" s="159"/>
      <c r="D263" s="159"/>
      <c r="E263" s="159"/>
      <c r="F263" s="159"/>
      <c r="G263" s="145"/>
      <c r="H263" s="145"/>
      <c r="I263" s="145"/>
      <c r="L263" s="145"/>
      <c r="N263" s="159"/>
      <c r="O263" s="159"/>
      <c r="Q263" s="145"/>
      <c r="R263" s="145"/>
      <c r="S263" s="145"/>
    </row>
    <row r="264" spans="1:19">
      <c r="A264" s="159"/>
      <c r="B264" s="159"/>
      <c r="C264" s="159"/>
      <c r="D264" s="159"/>
      <c r="E264" s="159"/>
      <c r="F264" s="159"/>
      <c r="G264" s="145"/>
      <c r="H264" s="145"/>
      <c r="I264" s="145"/>
      <c r="L264" s="145"/>
      <c r="N264" s="159"/>
      <c r="O264" s="159"/>
      <c r="Q264" s="145"/>
      <c r="R264" s="145"/>
      <c r="S264" s="145"/>
    </row>
    <row r="265" spans="1:19">
      <c r="A265" s="159"/>
      <c r="B265" s="159"/>
      <c r="C265" s="159"/>
      <c r="D265" s="159"/>
      <c r="E265" s="159"/>
      <c r="F265" s="159"/>
      <c r="G265" s="145"/>
      <c r="H265" s="145"/>
      <c r="I265" s="145"/>
      <c r="L265" s="145"/>
      <c r="N265" s="159"/>
      <c r="O265" s="159"/>
      <c r="Q265" s="145"/>
      <c r="R265" s="145"/>
      <c r="S265" s="145"/>
    </row>
    <row r="266" spans="1:19">
      <c r="A266" s="159"/>
      <c r="B266" s="159"/>
      <c r="C266" s="159"/>
      <c r="D266" s="159"/>
      <c r="E266" s="159"/>
      <c r="F266" s="159"/>
      <c r="G266" s="145"/>
      <c r="H266" s="145"/>
      <c r="I266" s="145"/>
      <c r="L266" s="145"/>
      <c r="N266" s="159"/>
      <c r="O266" s="159"/>
      <c r="Q266" s="145"/>
      <c r="R266" s="145"/>
      <c r="S266" s="145"/>
    </row>
    <row r="267" spans="1:19">
      <c r="A267" s="159"/>
      <c r="B267" s="159"/>
      <c r="C267" s="159"/>
      <c r="D267" s="159"/>
      <c r="E267" s="159"/>
      <c r="F267" s="159"/>
      <c r="G267" s="145"/>
      <c r="H267" s="145"/>
      <c r="I267" s="145"/>
      <c r="L267" s="145"/>
      <c r="N267" s="159"/>
      <c r="O267" s="159"/>
      <c r="Q267" s="145"/>
      <c r="R267" s="145"/>
      <c r="S267" s="145"/>
    </row>
    <row r="268" spans="1:19">
      <c r="A268" s="159"/>
      <c r="B268" s="159"/>
      <c r="C268" s="159"/>
      <c r="D268" s="159"/>
      <c r="E268" s="159"/>
      <c r="F268" s="159"/>
      <c r="G268" s="145"/>
      <c r="H268" s="145"/>
      <c r="I268" s="145"/>
      <c r="L268" s="145"/>
      <c r="N268" s="159"/>
      <c r="O268" s="159"/>
      <c r="Q268" s="145"/>
      <c r="R268" s="145"/>
      <c r="S268" s="145"/>
    </row>
    <row r="269" spans="1:19">
      <c r="A269" s="159"/>
      <c r="B269" s="159"/>
      <c r="C269" s="159"/>
      <c r="D269" s="159"/>
      <c r="E269" s="159"/>
      <c r="F269" s="159"/>
      <c r="G269" s="145"/>
      <c r="H269" s="145"/>
      <c r="I269" s="145"/>
      <c r="L269" s="145"/>
      <c r="N269" s="159"/>
      <c r="O269" s="159"/>
      <c r="Q269" s="145"/>
      <c r="R269" s="145"/>
      <c r="S269" s="145"/>
    </row>
    <row r="270" spans="1:19">
      <c r="A270" s="159"/>
      <c r="B270" s="159"/>
      <c r="C270" s="159"/>
      <c r="D270" s="159"/>
      <c r="E270" s="159"/>
      <c r="F270" s="159"/>
      <c r="G270" s="145"/>
      <c r="H270" s="145"/>
      <c r="I270" s="145"/>
      <c r="L270" s="145"/>
      <c r="N270" s="159"/>
      <c r="O270" s="159"/>
      <c r="Q270" s="145"/>
      <c r="R270" s="145"/>
      <c r="S270" s="145"/>
    </row>
    <row r="271" spans="1:19">
      <c r="A271" s="159"/>
      <c r="B271" s="159"/>
      <c r="C271" s="159"/>
      <c r="D271" s="159"/>
      <c r="E271" s="159"/>
      <c r="F271" s="159"/>
      <c r="G271" s="145"/>
      <c r="H271" s="145"/>
      <c r="I271" s="145"/>
      <c r="L271" s="145"/>
      <c r="N271" s="159"/>
      <c r="O271" s="159"/>
      <c r="Q271" s="145"/>
      <c r="R271" s="145"/>
      <c r="S271" s="145"/>
    </row>
    <row r="272" spans="1:19">
      <c r="A272" s="159"/>
      <c r="B272" s="159"/>
      <c r="C272" s="159"/>
      <c r="D272" s="159"/>
      <c r="E272" s="159"/>
      <c r="F272" s="159"/>
      <c r="G272" s="145"/>
      <c r="H272" s="145"/>
      <c r="I272" s="145"/>
      <c r="L272" s="145"/>
      <c r="N272" s="159"/>
      <c r="O272" s="159"/>
      <c r="Q272" s="145"/>
      <c r="R272" s="145"/>
      <c r="S272" s="145"/>
    </row>
    <row r="273" spans="1:19">
      <c r="A273" s="159"/>
      <c r="B273" s="159"/>
      <c r="C273" s="159"/>
      <c r="D273" s="159"/>
      <c r="E273" s="159"/>
      <c r="F273" s="159"/>
      <c r="G273" s="145"/>
      <c r="H273" s="145"/>
      <c r="I273" s="145"/>
      <c r="L273" s="145"/>
      <c r="N273" s="159"/>
      <c r="O273" s="159"/>
      <c r="Q273" s="145"/>
      <c r="R273" s="145"/>
      <c r="S273" s="145"/>
    </row>
    <row r="274" spans="1:19">
      <c r="A274" s="159"/>
      <c r="B274" s="159"/>
      <c r="C274" s="159"/>
      <c r="D274" s="159"/>
      <c r="E274" s="159"/>
      <c r="F274" s="159"/>
      <c r="G274" s="145"/>
      <c r="H274" s="145"/>
      <c r="I274" s="145"/>
      <c r="L274" s="145"/>
      <c r="N274" s="159"/>
      <c r="O274" s="159"/>
      <c r="Q274" s="145"/>
      <c r="R274" s="145"/>
      <c r="S274" s="145"/>
    </row>
    <row r="275" spans="1:19">
      <c r="A275" s="159"/>
      <c r="B275" s="159"/>
      <c r="C275" s="159"/>
      <c r="D275" s="159"/>
      <c r="E275" s="159"/>
      <c r="F275" s="159"/>
      <c r="G275" s="145"/>
      <c r="H275" s="145"/>
      <c r="I275" s="145"/>
      <c r="L275" s="145"/>
      <c r="N275" s="159"/>
      <c r="O275" s="159"/>
      <c r="Q275" s="145"/>
      <c r="R275" s="145"/>
      <c r="S275" s="145"/>
    </row>
    <row r="276" spans="1:19">
      <c r="A276" s="159"/>
      <c r="B276" s="159"/>
      <c r="C276" s="159"/>
      <c r="D276" s="159"/>
      <c r="E276" s="159"/>
      <c r="F276" s="159"/>
      <c r="G276" s="145"/>
      <c r="H276" s="145"/>
      <c r="I276" s="145"/>
      <c r="L276" s="145"/>
      <c r="N276" s="159"/>
      <c r="O276" s="159"/>
      <c r="Q276" s="145"/>
      <c r="R276" s="145"/>
      <c r="S276" s="145"/>
    </row>
    <row r="277" spans="1:19">
      <c r="A277" s="159"/>
      <c r="B277" s="159"/>
      <c r="C277" s="159"/>
      <c r="D277" s="159"/>
      <c r="E277" s="159"/>
      <c r="F277" s="159"/>
      <c r="G277" s="145"/>
      <c r="H277" s="145"/>
      <c r="I277" s="145"/>
      <c r="L277" s="145"/>
      <c r="N277" s="159"/>
      <c r="O277" s="159"/>
      <c r="Q277" s="145"/>
      <c r="R277" s="145"/>
      <c r="S277" s="145"/>
    </row>
    <row r="278" spans="1:19">
      <c r="A278" s="159"/>
      <c r="B278" s="159"/>
      <c r="C278" s="159"/>
      <c r="D278" s="159"/>
      <c r="E278" s="159"/>
      <c r="F278" s="159"/>
      <c r="G278" s="145"/>
      <c r="H278" s="145"/>
      <c r="I278" s="145"/>
      <c r="L278" s="145"/>
      <c r="N278" s="159"/>
      <c r="O278" s="159"/>
      <c r="Q278" s="145"/>
      <c r="R278" s="145"/>
      <c r="S278" s="145"/>
    </row>
    <row r="279" spans="1:19">
      <c r="A279" s="159"/>
      <c r="B279" s="159"/>
      <c r="C279" s="159"/>
      <c r="D279" s="159"/>
      <c r="E279" s="159"/>
      <c r="F279" s="159"/>
      <c r="G279" s="145"/>
      <c r="H279" s="145"/>
      <c r="I279" s="145"/>
      <c r="L279" s="145"/>
      <c r="N279" s="159"/>
      <c r="O279" s="159"/>
      <c r="Q279" s="145"/>
      <c r="R279" s="145"/>
      <c r="S279" s="145"/>
    </row>
    <row r="280" spans="1:19">
      <c r="A280" s="159"/>
      <c r="B280" s="159"/>
      <c r="C280" s="159"/>
      <c r="D280" s="159"/>
      <c r="E280" s="159"/>
      <c r="F280" s="159"/>
      <c r="G280" s="145"/>
      <c r="H280" s="145"/>
      <c r="I280" s="145"/>
      <c r="L280" s="145"/>
      <c r="N280" s="159"/>
      <c r="O280" s="159"/>
      <c r="Q280" s="145"/>
      <c r="R280" s="145"/>
      <c r="S280" s="145"/>
    </row>
    <row r="281" spans="1:19">
      <c r="A281" s="159"/>
      <c r="B281" s="159"/>
      <c r="C281" s="159"/>
      <c r="D281" s="159"/>
      <c r="E281" s="159"/>
      <c r="F281" s="159"/>
      <c r="G281" s="145"/>
      <c r="H281" s="145"/>
      <c r="I281" s="145"/>
      <c r="L281" s="145"/>
      <c r="N281" s="159"/>
      <c r="O281" s="159"/>
      <c r="Q281" s="145"/>
      <c r="R281" s="145"/>
      <c r="S281" s="145"/>
    </row>
    <row r="282" spans="1:19">
      <c r="A282" s="159"/>
      <c r="B282" s="159"/>
      <c r="C282" s="159"/>
      <c r="D282" s="159"/>
      <c r="E282" s="159"/>
      <c r="F282" s="159"/>
      <c r="G282" s="145"/>
      <c r="H282" s="145"/>
      <c r="I282" s="145"/>
      <c r="L282" s="145"/>
      <c r="N282" s="159"/>
      <c r="O282" s="159"/>
      <c r="Q282" s="145"/>
      <c r="R282" s="145"/>
      <c r="S282" s="145"/>
    </row>
    <row r="283" spans="1:19">
      <c r="A283" s="159"/>
      <c r="B283" s="159"/>
      <c r="C283" s="159"/>
      <c r="D283" s="159"/>
      <c r="E283" s="159"/>
      <c r="F283" s="159"/>
      <c r="G283" s="145"/>
      <c r="H283" s="145"/>
      <c r="I283" s="145"/>
      <c r="L283" s="145"/>
      <c r="N283" s="159"/>
      <c r="O283" s="159"/>
      <c r="Q283" s="145"/>
      <c r="R283" s="145"/>
      <c r="S283" s="145"/>
    </row>
    <row r="284" spans="1:19">
      <c r="A284" s="159"/>
      <c r="B284" s="159"/>
      <c r="C284" s="159"/>
      <c r="D284" s="159"/>
      <c r="E284" s="159"/>
      <c r="F284" s="159"/>
      <c r="G284" s="145"/>
      <c r="H284" s="145"/>
      <c r="I284" s="145"/>
      <c r="L284" s="145"/>
      <c r="N284" s="159"/>
      <c r="O284" s="159"/>
      <c r="Q284" s="145"/>
      <c r="R284" s="145"/>
      <c r="S284" s="145"/>
    </row>
    <row r="285" spans="1:19">
      <c r="A285" s="159"/>
      <c r="B285" s="159"/>
      <c r="C285" s="159"/>
      <c r="D285" s="159"/>
      <c r="E285" s="159"/>
      <c r="F285" s="159"/>
      <c r="G285" s="145"/>
      <c r="H285" s="145"/>
      <c r="I285" s="145"/>
      <c r="L285" s="145"/>
      <c r="N285" s="159"/>
      <c r="O285" s="159"/>
      <c r="Q285" s="145"/>
      <c r="R285" s="145"/>
      <c r="S285" s="145"/>
    </row>
    <row r="286" spans="1:19">
      <c r="A286" s="159"/>
      <c r="B286" s="159"/>
      <c r="C286" s="159"/>
      <c r="D286" s="159"/>
      <c r="E286" s="159"/>
      <c r="F286" s="159"/>
      <c r="G286" s="145"/>
      <c r="H286" s="145"/>
      <c r="I286" s="145"/>
      <c r="L286" s="145"/>
      <c r="N286" s="159"/>
      <c r="O286" s="159"/>
      <c r="Q286" s="145"/>
      <c r="R286" s="145"/>
      <c r="S286" s="145"/>
    </row>
    <row r="287" spans="1:19">
      <c r="A287" s="159"/>
      <c r="B287" s="159"/>
      <c r="C287" s="159"/>
      <c r="D287" s="159"/>
      <c r="E287" s="159"/>
      <c r="F287" s="159"/>
      <c r="G287" s="145"/>
      <c r="H287" s="145"/>
      <c r="I287" s="145"/>
      <c r="L287" s="145"/>
      <c r="N287" s="159"/>
      <c r="O287" s="159"/>
      <c r="Q287" s="145"/>
      <c r="R287" s="145"/>
      <c r="S287" s="145"/>
    </row>
    <row r="288" spans="1:19">
      <c r="A288" s="159"/>
      <c r="B288" s="159"/>
      <c r="C288" s="159"/>
      <c r="D288" s="159"/>
      <c r="E288" s="159"/>
      <c r="F288" s="159"/>
      <c r="G288" s="145"/>
      <c r="H288" s="145"/>
      <c r="I288" s="145"/>
      <c r="L288" s="145"/>
      <c r="N288" s="159"/>
      <c r="O288" s="159"/>
      <c r="Q288" s="145"/>
      <c r="R288" s="145"/>
      <c r="S288" s="145"/>
    </row>
    <row r="289" spans="1:19">
      <c r="A289" s="159"/>
      <c r="B289" s="159"/>
      <c r="C289" s="159"/>
      <c r="D289" s="159"/>
      <c r="E289" s="159"/>
      <c r="F289" s="159"/>
      <c r="G289" s="145"/>
      <c r="H289" s="145"/>
      <c r="I289" s="145"/>
      <c r="L289" s="145"/>
      <c r="N289" s="159"/>
      <c r="O289" s="159"/>
      <c r="Q289" s="145"/>
      <c r="R289" s="145"/>
      <c r="S289" s="145"/>
    </row>
    <row r="290" spans="1:19">
      <c r="A290" s="159"/>
      <c r="B290" s="159"/>
      <c r="C290" s="159"/>
      <c r="D290" s="159"/>
      <c r="E290" s="159"/>
      <c r="F290" s="159"/>
      <c r="G290" s="145"/>
      <c r="H290" s="145"/>
      <c r="I290" s="145"/>
      <c r="L290" s="145"/>
      <c r="N290" s="159"/>
      <c r="O290" s="159"/>
      <c r="Q290" s="145"/>
      <c r="R290" s="145"/>
      <c r="S290" s="145"/>
    </row>
    <row r="291" spans="1:19">
      <c r="A291" s="159"/>
      <c r="B291" s="159"/>
      <c r="C291" s="159"/>
      <c r="D291" s="159"/>
      <c r="E291" s="159"/>
      <c r="F291" s="159"/>
      <c r="G291" s="145"/>
      <c r="H291" s="145"/>
      <c r="I291" s="145"/>
      <c r="L291" s="145"/>
      <c r="N291" s="159"/>
      <c r="O291" s="159"/>
      <c r="Q291" s="145"/>
      <c r="R291" s="145"/>
      <c r="S291" s="145"/>
    </row>
    <row r="292" spans="1:19">
      <c r="A292" s="159"/>
      <c r="B292" s="159"/>
      <c r="C292" s="159"/>
      <c r="D292" s="159"/>
      <c r="E292" s="159"/>
      <c r="F292" s="159"/>
      <c r="G292" s="145"/>
      <c r="H292" s="145"/>
      <c r="I292" s="145"/>
      <c r="L292" s="145"/>
      <c r="N292" s="159"/>
      <c r="O292" s="159"/>
      <c r="Q292" s="145"/>
      <c r="R292" s="145"/>
      <c r="S292" s="145"/>
    </row>
    <row r="293" spans="1:19">
      <c r="A293" s="159"/>
      <c r="B293" s="159"/>
      <c r="C293" s="159"/>
      <c r="D293" s="159"/>
      <c r="E293" s="159"/>
      <c r="F293" s="159"/>
      <c r="G293" s="145"/>
      <c r="H293" s="145"/>
      <c r="I293" s="145"/>
      <c r="L293" s="145"/>
      <c r="N293" s="159"/>
      <c r="O293" s="159"/>
      <c r="Q293" s="145"/>
      <c r="R293" s="145"/>
      <c r="S293" s="145"/>
    </row>
    <row r="294" spans="1:19">
      <c r="A294" s="159"/>
      <c r="B294" s="159"/>
      <c r="C294" s="159"/>
      <c r="D294" s="159"/>
      <c r="E294" s="159"/>
      <c r="F294" s="159"/>
      <c r="G294" s="145"/>
      <c r="H294" s="145"/>
      <c r="I294" s="145"/>
      <c r="L294" s="145"/>
      <c r="N294" s="159"/>
      <c r="O294" s="159"/>
      <c r="Q294" s="145"/>
      <c r="R294" s="145"/>
      <c r="S294" s="145"/>
    </row>
    <row r="295" spans="1:19">
      <c r="A295" s="159"/>
      <c r="B295" s="159"/>
      <c r="C295" s="159"/>
      <c r="D295" s="159"/>
      <c r="E295" s="159"/>
      <c r="F295" s="159"/>
      <c r="G295" s="145"/>
      <c r="H295" s="145"/>
      <c r="I295" s="145"/>
      <c r="L295" s="145"/>
      <c r="N295" s="159"/>
      <c r="O295" s="159"/>
      <c r="Q295" s="145"/>
      <c r="R295" s="145"/>
      <c r="S295" s="145"/>
    </row>
    <row r="296" spans="1:19">
      <c r="A296" s="159"/>
      <c r="B296" s="159"/>
      <c r="C296" s="159"/>
      <c r="D296" s="159"/>
      <c r="E296" s="159"/>
      <c r="F296" s="159"/>
      <c r="G296" s="145"/>
      <c r="H296" s="145"/>
      <c r="I296" s="145"/>
      <c r="L296" s="145"/>
      <c r="N296" s="159"/>
      <c r="O296" s="159"/>
      <c r="Q296" s="145"/>
      <c r="R296" s="145"/>
      <c r="S296" s="145"/>
    </row>
    <row r="297" spans="1:19">
      <c r="A297" s="159"/>
      <c r="B297" s="159"/>
      <c r="C297" s="159"/>
      <c r="D297" s="159"/>
      <c r="E297" s="159"/>
      <c r="F297" s="159"/>
      <c r="G297" s="145"/>
      <c r="H297" s="145"/>
      <c r="I297" s="145"/>
      <c r="L297" s="145"/>
      <c r="N297" s="159"/>
      <c r="O297" s="159"/>
      <c r="Q297" s="145"/>
      <c r="R297" s="145"/>
      <c r="S297" s="145"/>
    </row>
    <row r="298" spans="1:19">
      <c r="A298" s="159"/>
      <c r="B298" s="159"/>
      <c r="C298" s="159"/>
      <c r="D298" s="159"/>
      <c r="E298" s="159"/>
      <c r="F298" s="159"/>
      <c r="G298" s="145"/>
      <c r="H298" s="145"/>
      <c r="I298" s="145"/>
      <c r="L298" s="145"/>
      <c r="N298" s="159"/>
      <c r="O298" s="159"/>
      <c r="Q298" s="145"/>
      <c r="R298" s="145"/>
      <c r="S298" s="145"/>
    </row>
    <row r="299" spans="1:19">
      <c r="A299" s="159"/>
      <c r="B299" s="159"/>
      <c r="C299" s="159"/>
      <c r="D299" s="159"/>
      <c r="E299" s="159"/>
      <c r="F299" s="159"/>
      <c r="G299" s="145"/>
      <c r="H299" s="145"/>
      <c r="I299" s="145"/>
      <c r="L299" s="145"/>
      <c r="N299" s="159"/>
      <c r="O299" s="159"/>
      <c r="Q299" s="145"/>
      <c r="R299" s="145"/>
      <c r="S299" s="145"/>
    </row>
    <row r="300" spans="1:19">
      <c r="A300" s="159"/>
      <c r="B300" s="159"/>
      <c r="C300" s="159"/>
      <c r="D300" s="159"/>
      <c r="E300" s="159"/>
      <c r="F300" s="159"/>
      <c r="G300" s="145"/>
      <c r="H300" s="145"/>
      <c r="I300" s="145"/>
      <c r="L300" s="145"/>
      <c r="N300" s="159"/>
      <c r="O300" s="159"/>
      <c r="Q300" s="145"/>
      <c r="R300" s="145"/>
      <c r="S300" s="145"/>
    </row>
    <row r="301" spans="1:19">
      <c r="A301" s="159"/>
      <c r="B301" s="159"/>
      <c r="C301" s="159"/>
      <c r="D301" s="159"/>
      <c r="E301" s="159"/>
      <c r="F301" s="159"/>
      <c r="G301" s="145"/>
      <c r="H301" s="145"/>
      <c r="I301" s="145"/>
      <c r="L301" s="145"/>
      <c r="N301" s="159"/>
      <c r="O301" s="159"/>
      <c r="Q301" s="145"/>
      <c r="R301" s="145"/>
      <c r="S301" s="145"/>
    </row>
    <row r="302" spans="1:19">
      <c r="A302" s="159"/>
      <c r="B302" s="159"/>
      <c r="C302" s="159"/>
      <c r="D302" s="159"/>
      <c r="E302" s="159"/>
      <c r="F302" s="159"/>
      <c r="G302" s="145"/>
      <c r="H302" s="145"/>
      <c r="I302" s="145"/>
      <c r="L302" s="145"/>
      <c r="N302" s="159"/>
      <c r="O302" s="159"/>
      <c r="Q302" s="145"/>
      <c r="R302" s="145"/>
      <c r="S302" s="145"/>
    </row>
    <row r="303" spans="1:19">
      <c r="A303" s="159"/>
      <c r="B303" s="159"/>
      <c r="C303" s="159"/>
      <c r="D303" s="159"/>
      <c r="E303" s="159"/>
      <c r="F303" s="159"/>
      <c r="G303" s="145"/>
      <c r="H303" s="145"/>
      <c r="I303" s="145"/>
      <c r="L303" s="145"/>
      <c r="N303" s="159"/>
      <c r="O303" s="159"/>
      <c r="Q303" s="145"/>
      <c r="R303" s="145"/>
      <c r="S303" s="145"/>
    </row>
    <row r="304" spans="1:19">
      <c r="A304" s="159"/>
      <c r="B304" s="159"/>
      <c r="C304" s="159"/>
      <c r="D304" s="159"/>
      <c r="E304" s="159"/>
      <c r="F304" s="159"/>
      <c r="G304" s="145"/>
      <c r="H304" s="145"/>
      <c r="I304" s="145"/>
      <c r="L304" s="145"/>
      <c r="N304" s="159"/>
      <c r="O304" s="159"/>
      <c r="Q304" s="145"/>
      <c r="R304" s="145"/>
      <c r="S304" s="145"/>
    </row>
    <row r="305" spans="1:19">
      <c r="A305" s="159"/>
      <c r="B305" s="159"/>
      <c r="C305" s="159"/>
      <c r="D305" s="159"/>
      <c r="E305" s="159"/>
      <c r="F305" s="159"/>
      <c r="G305" s="145"/>
      <c r="H305" s="145"/>
      <c r="I305" s="145"/>
      <c r="L305" s="145"/>
      <c r="N305" s="159"/>
      <c r="O305" s="159"/>
      <c r="Q305" s="145"/>
      <c r="R305" s="145"/>
      <c r="S305" s="145"/>
    </row>
    <row r="306" spans="1:19">
      <c r="A306" s="159"/>
      <c r="B306" s="159"/>
      <c r="C306" s="159"/>
      <c r="D306" s="159"/>
      <c r="E306" s="159"/>
      <c r="F306" s="159"/>
      <c r="G306" s="145"/>
      <c r="H306" s="145"/>
      <c r="I306" s="145"/>
      <c r="L306" s="145"/>
      <c r="N306" s="159"/>
      <c r="O306" s="159"/>
      <c r="Q306" s="145"/>
      <c r="R306" s="145"/>
      <c r="S306" s="145"/>
    </row>
    <row r="307" spans="1:19">
      <c r="A307" s="159"/>
      <c r="B307" s="159"/>
      <c r="C307" s="159"/>
      <c r="D307" s="159"/>
      <c r="E307" s="159"/>
      <c r="F307" s="159"/>
      <c r="G307" s="145"/>
      <c r="H307" s="145"/>
      <c r="I307" s="145"/>
      <c r="L307" s="145"/>
      <c r="N307" s="159"/>
      <c r="O307" s="159"/>
      <c r="Q307" s="145"/>
      <c r="R307" s="145"/>
      <c r="S307" s="145"/>
    </row>
    <row r="308" spans="1:19">
      <c r="A308" s="159"/>
      <c r="B308" s="159"/>
      <c r="C308" s="159"/>
      <c r="D308" s="159"/>
      <c r="E308" s="159"/>
      <c r="F308" s="159"/>
      <c r="G308" s="145"/>
      <c r="H308" s="145"/>
      <c r="I308" s="145"/>
      <c r="L308" s="145"/>
      <c r="N308" s="159"/>
      <c r="O308" s="159"/>
      <c r="Q308" s="145"/>
      <c r="R308" s="145"/>
      <c r="S308" s="145"/>
    </row>
    <row r="309" spans="1:19">
      <c r="A309" s="159"/>
      <c r="B309" s="159"/>
      <c r="C309" s="159"/>
      <c r="D309" s="159"/>
      <c r="E309" s="159"/>
      <c r="F309" s="159"/>
      <c r="G309" s="145"/>
      <c r="H309" s="145"/>
      <c r="I309" s="145"/>
      <c r="L309" s="145"/>
      <c r="N309" s="159"/>
      <c r="O309" s="159"/>
      <c r="Q309" s="145"/>
      <c r="R309" s="145"/>
      <c r="S309" s="145"/>
    </row>
    <row r="310" spans="1:19">
      <c r="A310" s="159"/>
      <c r="B310" s="159"/>
      <c r="C310" s="159"/>
      <c r="D310" s="159"/>
      <c r="E310" s="159"/>
      <c r="F310" s="159"/>
      <c r="G310" s="145"/>
      <c r="H310" s="145"/>
      <c r="I310" s="145"/>
      <c r="L310" s="145"/>
      <c r="N310" s="159"/>
      <c r="O310" s="159"/>
      <c r="Q310" s="145"/>
      <c r="R310" s="145"/>
      <c r="S310" s="145"/>
    </row>
    <row r="311" spans="1:19">
      <c r="A311" s="159"/>
      <c r="B311" s="159"/>
      <c r="C311" s="159"/>
      <c r="D311" s="159"/>
      <c r="E311" s="159"/>
      <c r="F311" s="159"/>
      <c r="G311" s="145"/>
      <c r="H311" s="145"/>
      <c r="I311" s="145"/>
      <c r="L311" s="145"/>
      <c r="N311" s="159"/>
      <c r="O311" s="159"/>
      <c r="Q311" s="145"/>
      <c r="R311" s="145"/>
      <c r="S311" s="145"/>
    </row>
    <row r="312" spans="1:19">
      <c r="A312" s="159"/>
      <c r="B312" s="159"/>
      <c r="C312" s="159"/>
      <c r="D312" s="159"/>
      <c r="E312" s="159"/>
      <c r="F312" s="159"/>
      <c r="G312" s="145"/>
      <c r="H312" s="145"/>
      <c r="I312" s="145"/>
      <c r="L312" s="145"/>
      <c r="N312" s="159"/>
      <c r="O312" s="159"/>
      <c r="Q312" s="145"/>
      <c r="R312" s="145"/>
      <c r="S312" s="145"/>
    </row>
    <row r="313" spans="1:19">
      <c r="A313" s="159"/>
      <c r="B313" s="159"/>
      <c r="C313" s="159"/>
      <c r="D313" s="159"/>
      <c r="E313" s="159"/>
      <c r="F313" s="159"/>
      <c r="G313" s="145"/>
      <c r="H313" s="145"/>
      <c r="I313" s="145"/>
      <c r="L313" s="145"/>
      <c r="N313" s="159"/>
      <c r="O313" s="159"/>
      <c r="Q313" s="145"/>
      <c r="R313" s="145"/>
      <c r="S313" s="145"/>
    </row>
    <row r="314" spans="1:19">
      <c r="A314" s="159"/>
      <c r="B314" s="159"/>
      <c r="C314" s="159"/>
      <c r="D314" s="159"/>
      <c r="E314" s="159"/>
      <c r="F314" s="159"/>
      <c r="G314" s="145"/>
      <c r="H314" s="145"/>
      <c r="I314" s="145"/>
      <c r="L314" s="145"/>
      <c r="N314" s="159"/>
      <c r="O314" s="159"/>
      <c r="Q314" s="145"/>
      <c r="R314" s="145"/>
      <c r="S314" s="145"/>
    </row>
    <row r="315" spans="1:19">
      <c r="A315" s="159"/>
      <c r="B315" s="159"/>
      <c r="C315" s="159"/>
      <c r="D315" s="159"/>
      <c r="E315" s="159"/>
      <c r="F315" s="159"/>
      <c r="G315" s="145"/>
      <c r="H315" s="145"/>
      <c r="I315" s="145"/>
      <c r="L315" s="145"/>
      <c r="N315" s="159"/>
      <c r="O315" s="159"/>
      <c r="Q315" s="145"/>
      <c r="R315" s="145"/>
      <c r="S315" s="145"/>
    </row>
    <row r="316" spans="1:19">
      <c r="A316" s="159"/>
      <c r="B316" s="159"/>
      <c r="C316" s="159"/>
      <c r="D316" s="159"/>
      <c r="E316" s="159"/>
      <c r="F316" s="159"/>
      <c r="G316" s="145"/>
      <c r="H316" s="145"/>
      <c r="I316" s="145"/>
      <c r="L316" s="145"/>
      <c r="N316" s="159"/>
      <c r="O316" s="159"/>
      <c r="Q316" s="145"/>
      <c r="R316" s="145"/>
      <c r="S316" s="145"/>
    </row>
    <row r="317" spans="1:19">
      <c r="A317" s="159"/>
      <c r="B317" s="159"/>
      <c r="C317" s="159"/>
      <c r="D317" s="159"/>
      <c r="E317" s="159"/>
      <c r="F317" s="159"/>
      <c r="G317" s="145"/>
      <c r="H317" s="145"/>
      <c r="I317" s="145"/>
      <c r="L317" s="145"/>
      <c r="N317" s="159"/>
      <c r="O317" s="159"/>
      <c r="Q317" s="145"/>
      <c r="R317" s="145"/>
      <c r="S317" s="145"/>
    </row>
    <row r="318" spans="1:19">
      <c r="A318" s="159"/>
      <c r="B318" s="159"/>
      <c r="C318" s="159"/>
      <c r="D318" s="159"/>
      <c r="E318" s="159"/>
      <c r="F318" s="159"/>
      <c r="G318" s="145"/>
      <c r="H318" s="145"/>
      <c r="I318" s="145"/>
      <c r="L318" s="145"/>
      <c r="N318" s="159"/>
      <c r="O318" s="159"/>
      <c r="Q318" s="145"/>
      <c r="R318" s="145"/>
      <c r="S318" s="145"/>
    </row>
    <row r="319" spans="1:19">
      <c r="A319" s="159"/>
      <c r="B319" s="159"/>
      <c r="C319" s="159"/>
      <c r="D319" s="159"/>
      <c r="E319" s="159"/>
      <c r="F319" s="159"/>
      <c r="G319" s="145"/>
      <c r="H319" s="145"/>
      <c r="I319" s="145"/>
      <c r="L319" s="145"/>
      <c r="N319" s="159"/>
      <c r="O319" s="159"/>
      <c r="Q319" s="145"/>
      <c r="R319" s="145"/>
      <c r="S319" s="145"/>
    </row>
    <row r="320" spans="1:19">
      <c r="A320" s="159"/>
      <c r="B320" s="159"/>
      <c r="C320" s="159"/>
      <c r="D320" s="159"/>
      <c r="E320" s="159"/>
      <c r="F320" s="159"/>
      <c r="G320" s="145"/>
      <c r="H320" s="145"/>
      <c r="I320" s="145"/>
      <c r="L320" s="145"/>
      <c r="N320" s="159"/>
      <c r="O320" s="159"/>
      <c r="Q320" s="145"/>
      <c r="R320" s="145"/>
      <c r="S320" s="145"/>
    </row>
    <row r="321" spans="1:19">
      <c r="A321" s="159"/>
      <c r="B321" s="159"/>
      <c r="C321" s="159"/>
      <c r="D321" s="159"/>
      <c r="E321" s="159"/>
      <c r="F321" s="159"/>
      <c r="G321" s="145"/>
      <c r="H321" s="145"/>
      <c r="I321" s="145"/>
      <c r="L321" s="145"/>
      <c r="N321" s="159"/>
      <c r="O321" s="159"/>
      <c r="Q321" s="145"/>
      <c r="R321" s="145"/>
      <c r="S321" s="145"/>
    </row>
    <row r="322" spans="1:19">
      <c r="A322" s="159"/>
      <c r="B322" s="159"/>
      <c r="C322" s="159"/>
      <c r="D322" s="159"/>
      <c r="E322" s="159"/>
      <c r="F322" s="159"/>
      <c r="G322" s="145"/>
      <c r="H322" s="145"/>
      <c r="I322" s="145"/>
      <c r="L322" s="145"/>
      <c r="N322" s="159"/>
      <c r="O322" s="159"/>
      <c r="Q322" s="145"/>
      <c r="R322" s="145"/>
      <c r="S322" s="145"/>
    </row>
    <row r="323" spans="1:19">
      <c r="A323" s="159"/>
      <c r="B323" s="159"/>
      <c r="C323" s="159"/>
      <c r="D323" s="159"/>
      <c r="E323" s="159"/>
      <c r="F323" s="159"/>
      <c r="G323" s="145"/>
      <c r="H323" s="145"/>
      <c r="I323" s="145"/>
      <c r="L323" s="145"/>
      <c r="N323" s="159"/>
      <c r="O323" s="159"/>
      <c r="Q323" s="145"/>
      <c r="R323" s="145"/>
      <c r="S323" s="145"/>
    </row>
    <row r="324" spans="1:19">
      <c r="A324" s="159"/>
      <c r="B324" s="159"/>
      <c r="C324" s="159"/>
      <c r="D324" s="159"/>
      <c r="E324" s="159"/>
      <c r="F324" s="159"/>
      <c r="G324" s="145"/>
      <c r="H324" s="145"/>
      <c r="I324" s="145"/>
      <c r="L324" s="145"/>
      <c r="N324" s="159"/>
      <c r="O324" s="159"/>
      <c r="Q324" s="145"/>
      <c r="R324" s="145"/>
      <c r="S324" s="145"/>
    </row>
    <row r="325" spans="1:19">
      <c r="A325" s="159"/>
      <c r="B325" s="159"/>
      <c r="C325" s="159"/>
      <c r="D325" s="159"/>
      <c r="E325" s="159"/>
      <c r="F325" s="159"/>
      <c r="G325" s="145"/>
      <c r="H325" s="145"/>
      <c r="I325" s="145"/>
      <c r="L325" s="145"/>
      <c r="N325" s="159"/>
      <c r="O325" s="159"/>
      <c r="Q325" s="145"/>
      <c r="R325" s="145"/>
      <c r="S325" s="145"/>
    </row>
    <row r="326" spans="1:19">
      <c r="A326" s="159"/>
      <c r="B326" s="159"/>
      <c r="C326" s="159"/>
      <c r="D326" s="159"/>
      <c r="E326" s="159"/>
      <c r="F326" s="159"/>
      <c r="G326" s="145"/>
      <c r="H326" s="145"/>
      <c r="I326" s="145"/>
      <c r="L326" s="145"/>
      <c r="N326" s="159"/>
      <c r="O326" s="159"/>
      <c r="Q326" s="145"/>
      <c r="R326" s="145"/>
      <c r="S326" s="145"/>
    </row>
    <row r="327" spans="1:19">
      <c r="A327" s="159"/>
      <c r="B327" s="159"/>
      <c r="C327" s="159"/>
      <c r="D327" s="159"/>
      <c r="E327" s="159"/>
      <c r="F327" s="159"/>
      <c r="G327" s="145"/>
      <c r="H327" s="145"/>
      <c r="I327" s="145"/>
      <c r="L327" s="145"/>
      <c r="N327" s="159"/>
      <c r="O327" s="159"/>
      <c r="Q327" s="145"/>
      <c r="R327" s="145"/>
      <c r="S327" s="145"/>
    </row>
    <row r="328" spans="1:19">
      <c r="A328" s="159"/>
      <c r="B328" s="159"/>
      <c r="C328" s="159"/>
      <c r="D328" s="159"/>
      <c r="E328" s="159"/>
      <c r="F328" s="159"/>
      <c r="G328" s="145"/>
      <c r="H328" s="145"/>
      <c r="I328" s="145"/>
      <c r="L328" s="145"/>
      <c r="N328" s="159"/>
      <c r="O328" s="159"/>
      <c r="Q328" s="145"/>
      <c r="R328" s="145"/>
      <c r="S328" s="145"/>
    </row>
    <row r="329" spans="1:19">
      <c r="A329" s="159"/>
      <c r="B329" s="159"/>
      <c r="C329" s="159"/>
      <c r="D329" s="159"/>
      <c r="E329" s="159"/>
      <c r="F329" s="159"/>
      <c r="G329" s="145"/>
      <c r="H329" s="145"/>
      <c r="I329" s="145"/>
      <c r="L329" s="145"/>
      <c r="N329" s="159"/>
      <c r="O329" s="159"/>
      <c r="Q329" s="145"/>
      <c r="R329" s="145"/>
      <c r="S329" s="145"/>
    </row>
    <row r="330" spans="1:19">
      <c r="A330" s="159"/>
      <c r="B330" s="159"/>
      <c r="C330" s="159"/>
      <c r="D330" s="159"/>
      <c r="E330" s="159"/>
      <c r="F330" s="159"/>
      <c r="G330" s="145"/>
      <c r="H330" s="145"/>
      <c r="I330" s="145"/>
      <c r="L330" s="145"/>
      <c r="N330" s="159"/>
      <c r="O330" s="159"/>
      <c r="Q330" s="145"/>
      <c r="R330" s="145"/>
      <c r="S330" s="145"/>
    </row>
    <row r="331" spans="1:19">
      <c r="A331" s="159"/>
      <c r="B331" s="159"/>
      <c r="C331" s="159"/>
      <c r="D331" s="159"/>
      <c r="E331" s="159"/>
      <c r="F331" s="159"/>
      <c r="G331" s="145"/>
      <c r="H331" s="145"/>
      <c r="I331" s="145"/>
      <c r="L331" s="145"/>
      <c r="N331" s="159"/>
      <c r="O331" s="159"/>
      <c r="Q331" s="145"/>
      <c r="R331" s="145"/>
      <c r="S331" s="145"/>
    </row>
    <row r="332" spans="1:19">
      <c r="A332" s="159"/>
      <c r="B332" s="159"/>
      <c r="C332" s="159"/>
      <c r="D332" s="159"/>
      <c r="E332" s="159"/>
      <c r="F332" s="159"/>
      <c r="G332" s="145"/>
      <c r="H332" s="145"/>
      <c r="I332" s="145"/>
      <c r="L332" s="145"/>
      <c r="N332" s="159"/>
      <c r="O332" s="159"/>
      <c r="Q332" s="145"/>
      <c r="R332" s="145"/>
      <c r="S332" s="145"/>
    </row>
    <row r="333" spans="1:19">
      <c r="A333" s="159"/>
      <c r="B333" s="159"/>
      <c r="C333" s="159"/>
      <c r="D333" s="159"/>
      <c r="E333" s="159"/>
      <c r="F333" s="159"/>
      <c r="G333" s="145"/>
      <c r="H333" s="145"/>
      <c r="I333" s="145"/>
      <c r="L333" s="145"/>
      <c r="N333" s="159"/>
      <c r="O333" s="159"/>
      <c r="Q333" s="145"/>
      <c r="R333" s="145"/>
      <c r="S333" s="145"/>
    </row>
    <row r="334" spans="1:19">
      <c r="A334" s="159"/>
      <c r="B334" s="159"/>
      <c r="C334" s="159"/>
      <c r="D334" s="159"/>
      <c r="E334" s="159"/>
      <c r="F334" s="159"/>
      <c r="G334" s="145"/>
      <c r="H334" s="145"/>
      <c r="I334" s="145"/>
      <c r="L334" s="145"/>
      <c r="N334" s="159"/>
      <c r="O334" s="159"/>
      <c r="Q334" s="145"/>
      <c r="R334" s="145"/>
      <c r="S334" s="145"/>
    </row>
    <row r="335" spans="1:19">
      <c r="A335" s="159"/>
      <c r="B335" s="159"/>
      <c r="C335" s="159"/>
      <c r="D335" s="159"/>
      <c r="E335" s="159"/>
      <c r="F335" s="159"/>
      <c r="G335" s="145"/>
      <c r="H335" s="145"/>
      <c r="I335" s="145"/>
      <c r="L335" s="145"/>
      <c r="N335" s="159"/>
      <c r="O335" s="159"/>
      <c r="Q335" s="145"/>
      <c r="R335" s="145"/>
      <c r="S335" s="145"/>
    </row>
    <row r="336" spans="1:19">
      <c r="A336" s="159"/>
      <c r="B336" s="159"/>
      <c r="C336" s="159"/>
      <c r="D336" s="159"/>
      <c r="E336" s="159"/>
      <c r="F336" s="159"/>
      <c r="G336" s="145"/>
      <c r="H336" s="145"/>
      <c r="I336" s="145"/>
      <c r="L336" s="145"/>
      <c r="N336" s="159"/>
      <c r="O336" s="159"/>
      <c r="Q336" s="145"/>
      <c r="R336" s="145"/>
      <c r="S336" s="145"/>
    </row>
    <row r="337" spans="1:19">
      <c r="A337" s="159"/>
      <c r="B337" s="159"/>
      <c r="C337" s="159"/>
      <c r="D337" s="159"/>
      <c r="E337" s="159"/>
      <c r="F337" s="159"/>
      <c r="G337" s="145"/>
      <c r="H337" s="145"/>
      <c r="I337" s="145"/>
      <c r="L337" s="145"/>
      <c r="N337" s="159"/>
      <c r="O337" s="159"/>
      <c r="Q337" s="145"/>
      <c r="R337" s="145"/>
      <c r="S337" s="145"/>
    </row>
    <row r="338" spans="1:19">
      <c r="A338" s="159"/>
      <c r="B338" s="159"/>
      <c r="C338" s="159"/>
      <c r="D338" s="159"/>
      <c r="E338" s="159"/>
      <c r="F338" s="159"/>
      <c r="G338" s="145"/>
      <c r="H338" s="145"/>
      <c r="I338" s="145"/>
      <c r="L338" s="145"/>
      <c r="N338" s="159"/>
      <c r="O338" s="159"/>
      <c r="Q338" s="145"/>
      <c r="R338" s="145"/>
      <c r="S338" s="145"/>
    </row>
    <row r="339" spans="1:19">
      <c r="A339" s="159"/>
      <c r="B339" s="159"/>
      <c r="C339" s="159"/>
      <c r="D339" s="159"/>
      <c r="E339" s="159"/>
      <c r="F339" s="159"/>
      <c r="G339" s="145"/>
      <c r="H339" s="145"/>
      <c r="I339" s="145"/>
      <c r="L339" s="145"/>
      <c r="N339" s="159"/>
      <c r="O339" s="159"/>
      <c r="Q339" s="145"/>
      <c r="R339" s="145"/>
      <c r="S339" s="145"/>
    </row>
    <row r="340" spans="1:19">
      <c r="A340" s="159"/>
      <c r="B340" s="159"/>
      <c r="C340" s="159"/>
      <c r="D340" s="159"/>
      <c r="E340" s="159"/>
      <c r="F340" s="159"/>
      <c r="G340" s="145"/>
      <c r="H340" s="145"/>
      <c r="I340" s="145"/>
      <c r="L340" s="145"/>
      <c r="N340" s="159"/>
      <c r="O340" s="159"/>
      <c r="Q340" s="145"/>
      <c r="R340" s="145"/>
      <c r="S340" s="145"/>
    </row>
    <row r="341" spans="1:19">
      <c r="A341" s="159"/>
      <c r="B341" s="159"/>
      <c r="C341" s="159"/>
      <c r="D341" s="159"/>
      <c r="E341" s="159"/>
      <c r="F341" s="159"/>
      <c r="G341" s="145"/>
      <c r="H341" s="145"/>
      <c r="I341" s="145"/>
      <c r="L341" s="145"/>
      <c r="N341" s="159"/>
      <c r="O341" s="159"/>
      <c r="Q341" s="145"/>
      <c r="R341" s="145"/>
      <c r="S341" s="145"/>
    </row>
    <row r="342" spans="1:19">
      <c r="A342" s="159"/>
      <c r="B342" s="159"/>
      <c r="C342" s="159"/>
      <c r="D342" s="159"/>
      <c r="E342" s="159"/>
      <c r="F342" s="159"/>
      <c r="G342" s="145"/>
      <c r="H342" s="145"/>
      <c r="I342" s="145"/>
      <c r="L342" s="145"/>
      <c r="N342" s="159"/>
      <c r="O342" s="159"/>
      <c r="Q342" s="145"/>
      <c r="R342" s="145"/>
      <c r="S342" s="145"/>
    </row>
    <row r="343" spans="1:19">
      <c r="A343" s="159"/>
      <c r="B343" s="159"/>
      <c r="C343" s="159"/>
      <c r="D343" s="159"/>
      <c r="E343" s="159"/>
      <c r="F343" s="159"/>
      <c r="G343" s="145"/>
      <c r="H343" s="145"/>
      <c r="I343" s="145"/>
      <c r="L343" s="145"/>
      <c r="N343" s="159"/>
      <c r="O343" s="159"/>
      <c r="Q343" s="145"/>
      <c r="R343" s="145"/>
      <c r="S343" s="145"/>
    </row>
    <row r="344" spans="1:19">
      <c r="A344" s="159"/>
      <c r="B344" s="159"/>
      <c r="C344" s="159"/>
      <c r="D344" s="159"/>
      <c r="E344" s="159"/>
      <c r="F344" s="159"/>
      <c r="G344" s="145"/>
      <c r="H344" s="145"/>
      <c r="I344" s="145"/>
      <c r="L344" s="145"/>
      <c r="N344" s="159"/>
      <c r="O344" s="159"/>
      <c r="Q344" s="145"/>
      <c r="R344" s="145"/>
      <c r="S344" s="145"/>
    </row>
    <row r="345" spans="1:19">
      <c r="A345" s="159"/>
      <c r="B345" s="159"/>
      <c r="C345" s="159"/>
      <c r="D345" s="159"/>
      <c r="E345" s="159"/>
      <c r="F345" s="159"/>
      <c r="G345" s="145"/>
      <c r="H345" s="145"/>
      <c r="I345" s="145"/>
      <c r="L345" s="145"/>
      <c r="N345" s="159"/>
      <c r="O345" s="159"/>
      <c r="Q345" s="145"/>
      <c r="R345" s="145"/>
      <c r="S345" s="145"/>
    </row>
    <row r="346" spans="1:19">
      <c r="A346" s="159"/>
      <c r="B346" s="159"/>
      <c r="C346" s="159"/>
      <c r="D346" s="159"/>
      <c r="E346" s="159"/>
      <c r="F346" s="159"/>
      <c r="G346" s="145"/>
      <c r="H346" s="145"/>
      <c r="I346" s="145"/>
      <c r="L346" s="145"/>
      <c r="N346" s="159"/>
      <c r="O346" s="159"/>
      <c r="Q346" s="145"/>
      <c r="R346" s="145"/>
      <c r="S346" s="145"/>
    </row>
    <row r="347" spans="1:19">
      <c r="A347" s="159"/>
      <c r="B347" s="159"/>
      <c r="C347" s="159"/>
      <c r="D347" s="159"/>
      <c r="E347" s="159"/>
      <c r="F347" s="159"/>
      <c r="G347" s="145"/>
      <c r="H347" s="145"/>
      <c r="I347" s="145"/>
      <c r="L347" s="145"/>
      <c r="N347" s="159"/>
      <c r="O347" s="159"/>
      <c r="Q347" s="145"/>
      <c r="R347" s="145"/>
      <c r="S347" s="145"/>
    </row>
    <row r="348" spans="1:19">
      <c r="A348" s="159"/>
      <c r="B348" s="159"/>
      <c r="C348" s="159"/>
      <c r="D348" s="159"/>
      <c r="E348" s="159"/>
      <c r="F348" s="159"/>
      <c r="G348" s="145"/>
      <c r="H348" s="145"/>
      <c r="I348" s="145"/>
      <c r="L348" s="145"/>
      <c r="N348" s="159"/>
      <c r="O348" s="159"/>
      <c r="Q348" s="145"/>
      <c r="R348" s="145"/>
      <c r="S348" s="145"/>
    </row>
    <row r="349" spans="1:19">
      <c r="A349" s="159"/>
      <c r="B349" s="159"/>
      <c r="C349" s="159"/>
      <c r="D349" s="159"/>
      <c r="E349" s="159"/>
      <c r="F349" s="159"/>
      <c r="G349" s="145"/>
      <c r="H349" s="145"/>
      <c r="I349" s="145"/>
      <c r="L349" s="145"/>
      <c r="N349" s="159"/>
      <c r="O349" s="159"/>
      <c r="Q349" s="145"/>
      <c r="R349" s="145"/>
      <c r="S349" s="145"/>
    </row>
    <row r="350" spans="1:19">
      <c r="A350" s="159"/>
      <c r="B350" s="159"/>
      <c r="C350" s="159"/>
      <c r="D350" s="159"/>
      <c r="E350" s="159"/>
      <c r="F350" s="159"/>
      <c r="G350" s="145"/>
      <c r="H350" s="145"/>
      <c r="I350" s="145"/>
      <c r="L350" s="145"/>
      <c r="N350" s="159"/>
      <c r="O350" s="159"/>
      <c r="Q350" s="145"/>
      <c r="R350" s="145"/>
      <c r="S350" s="145"/>
    </row>
    <row r="351" spans="1:19">
      <c r="A351" s="159"/>
      <c r="B351" s="159"/>
      <c r="C351" s="159"/>
      <c r="D351" s="159"/>
      <c r="E351" s="159"/>
      <c r="F351" s="159"/>
      <c r="G351" s="145"/>
      <c r="H351" s="145"/>
      <c r="I351" s="145"/>
      <c r="L351" s="145"/>
      <c r="N351" s="159"/>
      <c r="O351" s="159"/>
      <c r="Q351" s="145"/>
      <c r="R351" s="145"/>
      <c r="S351" s="145"/>
    </row>
    <row r="352" spans="1:19">
      <c r="A352" s="159"/>
      <c r="B352" s="159"/>
      <c r="C352" s="159"/>
      <c r="D352" s="159"/>
      <c r="E352" s="159"/>
      <c r="F352" s="159"/>
      <c r="G352" s="145"/>
      <c r="H352" s="145"/>
      <c r="I352" s="145"/>
      <c r="L352" s="145"/>
      <c r="N352" s="159"/>
      <c r="O352" s="159"/>
      <c r="Q352" s="145"/>
      <c r="R352" s="145"/>
      <c r="S352" s="145"/>
    </row>
    <row r="353" spans="1:19">
      <c r="A353" s="159"/>
      <c r="B353" s="159"/>
      <c r="C353" s="159"/>
      <c r="D353" s="159"/>
      <c r="E353" s="159"/>
      <c r="F353" s="159"/>
      <c r="G353" s="145"/>
      <c r="H353" s="145"/>
      <c r="I353" s="145"/>
      <c r="L353" s="145"/>
      <c r="N353" s="159"/>
      <c r="O353" s="159"/>
      <c r="Q353" s="145"/>
      <c r="R353" s="145"/>
      <c r="S353" s="145"/>
    </row>
    <row r="354" spans="1:19">
      <c r="A354" s="159"/>
      <c r="B354" s="159"/>
      <c r="C354" s="159"/>
      <c r="D354" s="159"/>
      <c r="E354" s="159"/>
      <c r="F354" s="159"/>
      <c r="G354" s="145"/>
      <c r="H354" s="145"/>
      <c r="I354" s="145"/>
      <c r="L354" s="145"/>
      <c r="N354" s="159"/>
      <c r="O354" s="159"/>
      <c r="Q354" s="145"/>
      <c r="R354" s="145"/>
      <c r="S354" s="145"/>
    </row>
    <row r="355" spans="1:19">
      <c r="A355" s="159"/>
      <c r="B355" s="159"/>
      <c r="C355" s="159"/>
      <c r="D355" s="159"/>
      <c r="E355" s="159"/>
      <c r="F355" s="159"/>
      <c r="G355" s="145"/>
      <c r="H355" s="145"/>
      <c r="I355" s="145"/>
      <c r="L355" s="145"/>
      <c r="N355" s="159"/>
      <c r="O355" s="159"/>
      <c r="Q355" s="145"/>
      <c r="R355" s="145"/>
      <c r="S355" s="145"/>
    </row>
    <row r="356" spans="1:19">
      <c r="A356" s="159"/>
      <c r="B356" s="159"/>
      <c r="C356" s="159"/>
      <c r="D356" s="159"/>
      <c r="E356" s="159"/>
      <c r="F356" s="159"/>
      <c r="G356" s="145"/>
      <c r="H356" s="145"/>
      <c r="I356" s="145"/>
      <c r="L356" s="145"/>
      <c r="N356" s="159"/>
      <c r="O356" s="159"/>
      <c r="Q356" s="145"/>
      <c r="R356" s="145"/>
      <c r="S356" s="145"/>
    </row>
    <row r="357" spans="1:19">
      <c r="A357" s="159"/>
      <c r="B357" s="159"/>
      <c r="C357" s="159"/>
      <c r="D357" s="159"/>
      <c r="E357" s="159"/>
      <c r="F357" s="159"/>
      <c r="G357" s="145"/>
      <c r="H357" s="145"/>
      <c r="I357" s="145"/>
      <c r="L357" s="145"/>
      <c r="N357" s="159"/>
      <c r="O357" s="159"/>
      <c r="Q357" s="145"/>
      <c r="R357" s="145"/>
      <c r="S357" s="145"/>
    </row>
    <row r="358" spans="1:19">
      <c r="A358" s="159"/>
      <c r="B358" s="159"/>
      <c r="C358" s="159"/>
      <c r="D358" s="159"/>
      <c r="E358" s="159"/>
      <c r="F358" s="159"/>
      <c r="G358" s="145"/>
      <c r="H358" s="145"/>
      <c r="I358" s="145"/>
      <c r="L358" s="145"/>
      <c r="N358" s="159"/>
      <c r="O358" s="159"/>
      <c r="Q358" s="145"/>
      <c r="R358" s="145"/>
      <c r="S358" s="145"/>
    </row>
    <row r="359" spans="1:19">
      <c r="A359" s="159"/>
      <c r="B359" s="159"/>
      <c r="C359" s="159"/>
      <c r="D359" s="159"/>
      <c r="E359" s="159"/>
      <c r="F359" s="159"/>
      <c r="G359" s="145"/>
      <c r="H359" s="145"/>
      <c r="I359" s="145"/>
      <c r="L359" s="145"/>
      <c r="N359" s="159"/>
      <c r="O359" s="159"/>
      <c r="Q359" s="145"/>
      <c r="R359" s="145"/>
      <c r="S359" s="145"/>
    </row>
    <row r="360" spans="1:19">
      <c r="A360" s="159"/>
      <c r="B360" s="159"/>
      <c r="C360" s="159"/>
      <c r="D360" s="159"/>
      <c r="E360" s="159"/>
      <c r="F360" s="159"/>
      <c r="G360" s="145"/>
      <c r="H360" s="145"/>
      <c r="I360" s="145"/>
      <c r="L360" s="145"/>
      <c r="N360" s="159"/>
      <c r="O360" s="159"/>
      <c r="Q360" s="145"/>
      <c r="R360" s="145"/>
      <c r="S360" s="145"/>
    </row>
    <row r="361" spans="1:19">
      <c r="A361" s="159"/>
      <c r="B361" s="159"/>
      <c r="C361" s="159"/>
      <c r="D361" s="159"/>
      <c r="E361" s="159"/>
      <c r="F361" s="159"/>
      <c r="G361" s="145"/>
      <c r="H361" s="145"/>
      <c r="I361" s="145"/>
      <c r="L361" s="145"/>
      <c r="N361" s="159"/>
      <c r="O361" s="159"/>
      <c r="Q361" s="145"/>
      <c r="R361" s="145"/>
      <c r="S361" s="145"/>
    </row>
    <row r="362" spans="1:19">
      <c r="A362" s="159"/>
      <c r="B362" s="159"/>
      <c r="C362" s="159"/>
      <c r="D362" s="159"/>
      <c r="E362" s="159"/>
      <c r="F362" s="159"/>
      <c r="G362" s="145"/>
      <c r="H362" s="145"/>
      <c r="I362" s="145"/>
      <c r="L362" s="145"/>
      <c r="N362" s="159"/>
      <c r="O362" s="159"/>
      <c r="Q362" s="145"/>
      <c r="R362" s="145"/>
      <c r="S362" s="145"/>
    </row>
    <row r="363" spans="1:19">
      <c r="A363" s="159"/>
      <c r="B363" s="159"/>
      <c r="C363" s="159"/>
      <c r="D363" s="159"/>
      <c r="E363" s="159"/>
      <c r="F363" s="159"/>
      <c r="G363" s="145"/>
      <c r="H363" s="145"/>
      <c r="I363" s="145"/>
      <c r="L363" s="145"/>
      <c r="N363" s="159"/>
      <c r="O363" s="159"/>
      <c r="Q363" s="145"/>
      <c r="R363" s="145"/>
      <c r="S363" s="145"/>
    </row>
    <row r="364" spans="1:19">
      <c r="A364" s="159"/>
      <c r="B364" s="159"/>
      <c r="C364" s="159"/>
      <c r="D364" s="159"/>
      <c r="E364" s="159"/>
      <c r="F364" s="159"/>
      <c r="G364" s="145"/>
      <c r="H364" s="145"/>
      <c r="I364" s="145"/>
      <c r="L364" s="145"/>
      <c r="N364" s="159"/>
      <c r="O364" s="159"/>
      <c r="Q364" s="145"/>
      <c r="R364" s="145"/>
      <c r="S364" s="145"/>
    </row>
    <row r="365" spans="1:19">
      <c r="A365" s="159"/>
      <c r="B365" s="159"/>
      <c r="C365" s="159"/>
      <c r="D365" s="159"/>
      <c r="E365" s="159"/>
      <c r="F365" s="159"/>
      <c r="G365" s="145"/>
      <c r="H365" s="145"/>
      <c r="I365" s="145"/>
      <c r="L365" s="145"/>
      <c r="N365" s="159"/>
      <c r="O365" s="159"/>
      <c r="Q365" s="145"/>
      <c r="R365" s="145"/>
      <c r="S365" s="145"/>
    </row>
    <row r="366" spans="1:19">
      <c r="A366" s="159"/>
      <c r="B366" s="159"/>
      <c r="C366" s="159"/>
      <c r="D366" s="159"/>
      <c r="E366" s="159"/>
      <c r="F366" s="159"/>
      <c r="G366" s="145"/>
      <c r="H366" s="145"/>
      <c r="I366" s="145"/>
      <c r="L366" s="145"/>
      <c r="N366" s="159"/>
      <c r="O366" s="159"/>
      <c r="Q366" s="145"/>
      <c r="R366" s="145"/>
      <c r="S366" s="145"/>
    </row>
    <row r="367" spans="1:19">
      <c r="A367" s="159"/>
      <c r="B367" s="159"/>
      <c r="C367" s="159"/>
      <c r="D367" s="159"/>
      <c r="E367" s="159"/>
      <c r="F367" s="159"/>
      <c r="G367" s="145"/>
      <c r="H367" s="145"/>
      <c r="I367" s="145"/>
      <c r="L367" s="145"/>
      <c r="N367" s="159"/>
      <c r="O367" s="159"/>
      <c r="Q367" s="145"/>
      <c r="R367" s="145"/>
      <c r="S367" s="145"/>
    </row>
    <row r="368" spans="1:19">
      <c r="A368" s="159"/>
      <c r="B368" s="159"/>
      <c r="C368" s="159"/>
      <c r="D368" s="159"/>
      <c r="E368" s="159"/>
      <c r="F368" s="159"/>
      <c r="G368" s="145"/>
      <c r="H368" s="145"/>
      <c r="I368" s="145"/>
      <c r="L368" s="145"/>
      <c r="N368" s="159"/>
      <c r="O368" s="159"/>
      <c r="Q368" s="145"/>
      <c r="R368" s="145"/>
      <c r="S368" s="145"/>
    </row>
    <row r="369" spans="1:19">
      <c r="A369" s="159"/>
      <c r="B369" s="159"/>
      <c r="C369" s="159"/>
      <c r="D369" s="159"/>
      <c r="E369" s="159"/>
      <c r="F369" s="159"/>
      <c r="G369" s="145"/>
      <c r="H369" s="145"/>
      <c r="I369" s="145"/>
      <c r="L369" s="145"/>
      <c r="N369" s="159"/>
      <c r="O369" s="159"/>
      <c r="Q369" s="145"/>
      <c r="R369" s="145"/>
      <c r="S369" s="145"/>
    </row>
    <row r="370" spans="1:19">
      <c r="A370" s="159"/>
      <c r="B370" s="159"/>
      <c r="C370" s="159"/>
      <c r="D370" s="159"/>
      <c r="E370" s="159"/>
      <c r="F370" s="159"/>
      <c r="G370" s="145"/>
      <c r="H370" s="145"/>
      <c r="I370" s="145"/>
      <c r="L370" s="145"/>
      <c r="N370" s="159"/>
      <c r="O370" s="159"/>
      <c r="Q370" s="145"/>
      <c r="R370" s="145"/>
      <c r="S370" s="145"/>
    </row>
    <row r="371" spans="1:19">
      <c r="A371" s="159"/>
      <c r="B371" s="159"/>
      <c r="C371" s="159"/>
      <c r="D371" s="159"/>
      <c r="E371" s="159"/>
      <c r="F371" s="159"/>
      <c r="G371" s="145"/>
      <c r="H371" s="145"/>
      <c r="I371" s="145"/>
      <c r="L371" s="145"/>
      <c r="N371" s="159"/>
      <c r="O371" s="159"/>
      <c r="Q371" s="145"/>
      <c r="R371" s="145"/>
      <c r="S371" s="145"/>
    </row>
    <row r="372" spans="1:19">
      <c r="A372" s="159"/>
      <c r="B372" s="159"/>
      <c r="C372" s="159"/>
      <c r="D372" s="159"/>
      <c r="E372" s="159"/>
      <c r="F372" s="159"/>
      <c r="G372" s="145"/>
      <c r="H372" s="145"/>
      <c r="I372" s="145"/>
      <c r="L372" s="145"/>
      <c r="N372" s="159"/>
      <c r="O372" s="159"/>
      <c r="Q372" s="145"/>
      <c r="R372" s="145"/>
      <c r="S372" s="145"/>
    </row>
    <row r="373" spans="1:19">
      <c r="A373" s="159"/>
      <c r="B373" s="159"/>
      <c r="C373" s="159"/>
      <c r="D373" s="159"/>
      <c r="E373" s="159"/>
      <c r="F373" s="159"/>
      <c r="G373" s="145"/>
      <c r="H373" s="145"/>
      <c r="I373" s="145"/>
      <c r="L373" s="145"/>
      <c r="N373" s="159"/>
      <c r="O373" s="159"/>
      <c r="Q373" s="145"/>
      <c r="R373" s="145"/>
      <c r="S373" s="145"/>
    </row>
    <row r="374" spans="1:19">
      <c r="A374" s="159"/>
      <c r="B374" s="159"/>
      <c r="C374" s="159"/>
      <c r="D374" s="159"/>
      <c r="E374" s="159"/>
      <c r="F374" s="159"/>
      <c r="G374" s="145"/>
      <c r="H374" s="145"/>
      <c r="I374" s="145"/>
      <c r="L374" s="145"/>
      <c r="N374" s="159"/>
      <c r="O374" s="159"/>
      <c r="Q374" s="145"/>
      <c r="R374" s="145"/>
      <c r="S374" s="145"/>
    </row>
    <row r="375" spans="1:19">
      <c r="A375" s="159"/>
      <c r="B375" s="159"/>
      <c r="C375" s="159"/>
      <c r="D375" s="159"/>
      <c r="E375" s="159"/>
      <c r="F375" s="159"/>
      <c r="G375" s="145"/>
      <c r="H375" s="145"/>
      <c r="I375" s="145"/>
      <c r="L375" s="145"/>
      <c r="N375" s="159"/>
      <c r="O375" s="159"/>
      <c r="Q375" s="145"/>
      <c r="R375" s="145"/>
      <c r="S375" s="145"/>
    </row>
    <row r="376" spans="1:19">
      <c r="A376" s="159"/>
      <c r="B376" s="159"/>
      <c r="C376" s="159"/>
      <c r="D376" s="159"/>
      <c r="E376" s="159"/>
      <c r="F376" s="159"/>
      <c r="G376" s="145"/>
      <c r="H376" s="145"/>
      <c r="I376" s="145"/>
      <c r="L376" s="145"/>
      <c r="N376" s="159"/>
      <c r="O376" s="159"/>
      <c r="Q376" s="145"/>
      <c r="R376" s="145"/>
      <c r="S376" s="145"/>
    </row>
    <row r="377" spans="1:19">
      <c r="A377" s="159"/>
      <c r="B377" s="159"/>
      <c r="C377" s="159"/>
      <c r="D377" s="159"/>
      <c r="E377" s="159"/>
      <c r="F377" s="159"/>
      <c r="G377" s="145"/>
      <c r="H377" s="145"/>
      <c r="I377" s="145"/>
      <c r="L377" s="145"/>
      <c r="N377" s="159"/>
      <c r="O377" s="159"/>
      <c r="Q377" s="145"/>
      <c r="R377" s="145"/>
      <c r="S377" s="145"/>
    </row>
    <row r="378" spans="1:19">
      <c r="A378" s="159"/>
      <c r="B378" s="159"/>
      <c r="C378" s="159"/>
      <c r="D378" s="159"/>
      <c r="E378" s="159"/>
      <c r="F378" s="159"/>
      <c r="G378" s="145"/>
      <c r="H378" s="145"/>
      <c r="I378" s="145"/>
      <c r="L378" s="145"/>
      <c r="N378" s="159"/>
      <c r="O378" s="159"/>
      <c r="Q378" s="145"/>
      <c r="R378" s="145"/>
      <c r="S378" s="145"/>
    </row>
    <row r="379" spans="1:19">
      <c r="A379" s="159"/>
      <c r="B379" s="159"/>
      <c r="C379" s="159"/>
      <c r="D379" s="159"/>
      <c r="E379" s="159"/>
      <c r="F379" s="159"/>
      <c r="G379" s="145"/>
      <c r="H379" s="145"/>
      <c r="I379" s="145"/>
      <c r="L379" s="145"/>
      <c r="N379" s="159"/>
      <c r="O379" s="159"/>
      <c r="Q379" s="145"/>
      <c r="R379" s="145"/>
      <c r="S379" s="145"/>
    </row>
    <row r="380" spans="1:19">
      <c r="A380" s="159"/>
      <c r="B380" s="159"/>
      <c r="C380" s="159"/>
      <c r="D380" s="159"/>
      <c r="E380" s="159"/>
      <c r="F380" s="159"/>
      <c r="G380" s="145"/>
      <c r="H380" s="145"/>
      <c r="I380" s="145"/>
      <c r="L380" s="145"/>
      <c r="N380" s="159"/>
      <c r="O380" s="159"/>
      <c r="Q380" s="145"/>
      <c r="R380" s="145"/>
      <c r="S380" s="145"/>
    </row>
    <row r="381" spans="1:19">
      <c r="A381" s="159"/>
      <c r="B381" s="159"/>
      <c r="C381" s="159"/>
      <c r="D381" s="159"/>
      <c r="E381" s="159"/>
      <c r="F381" s="159"/>
      <c r="G381" s="145"/>
      <c r="H381" s="145"/>
      <c r="I381" s="145"/>
      <c r="L381" s="145"/>
      <c r="N381" s="159"/>
      <c r="O381" s="159"/>
      <c r="Q381" s="145"/>
      <c r="R381" s="145"/>
      <c r="S381" s="145"/>
    </row>
    <row r="382" spans="1:19">
      <c r="A382" s="159"/>
      <c r="B382" s="159"/>
      <c r="C382" s="159"/>
      <c r="D382" s="159"/>
      <c r="E382" s="159"/>
      <c r="F382" s="159"/>
      <c r="G382" s="145"/>
      <c r="H382" s="145"/>
      <c r="I382" s="145"/>
      <c r="L382" s="145"/>
      <c r="N382" s="159"/>
      <c r="O382" s="159"/>
      <c r="Q382" s="145"/>
      <c r="R382" s="145"/>
      <c r="S382" s="145"/>
    </row>
    <row r="383" spans="1:19">
      <c r="A383" s="159"/>
      <c r="B383" s="159"/>
      <c r="C383" s="159"/>
      <c r="D383" s="159"/>
      <c r="E383" s="159"/>
      <c r="F383" s="159"/>
      <c r="G383" s="145"/>
      <c r="H383" s="145"/>
      <c r="I383" s="145"/>
      <c r="L383" s="145"/>
      <c r="N383" s="159"/>
      <c r="O383" s="159"/>
      <c r="Q383" s="145"/>
      <c r="R383" s="145"/>
      <c r="S383" s="145"/>
    </row>
    <row r="384" spans="1:19">
      <c r="A384" s="159"/>
      <c r="B384" s="159"/>
      <c r="C384" s="159"/>
      <c r="D384" s="159"/>
      <c r="E384" s="159"/>
      <c r="F384" s="159"/>
      <c r="G384" s="145"/>
      <c r="H384" s="145"/>
      <c r="I384" s="145"/>
      <c r="L384" s="145"/>
      <c r="N384" s="159"/>
      <c r="O384" s="159"/>
      <c r="Q384" s="145"/>
      <c r="R384" s="145"/>
      <c r="S384" s="145"/>
    </row>
    <row r="385" spans="1:19">
      <c r="A385" s="159"/>
      <c r="B385" s="159"/>
      <c r="C385" s="159"/>
      <c r="D385" s="159"/>
      <c r="E385" s="159"/>
      <c r="F385" s="159"/>
      <c r="G385" s="145"/>
      <c r="H385" s="145"/>
      <c r="I385" s="145"/>
      <c r="L385" s="145"/>
      <c r="N385" s="159"/>
      <c r="O385" s="159"/>
      <c r="Q385" s="145"/>
      <c r="R385" s="145"/>
      <c r="S385" s="145"/>
    </row>
    <row r="386" spans="1:19">
      <c r="A386" s="159"/>
      <c r="B386" s="159"/>
      <c r="C386" s="159"/>
      <c r="D386" s="159"/>
      <c r="E386" s="159"/>
      <c r="F386" s="159"/>
      <c r="G386" s="145"/>
      <c r="H386" s="145"/>
      <c r="I386" s="145"/>
      <c r="L386" s="145"/>
      <c r="N386" s="159"/>
      <c r="O386" s="159"/>
      <c r="Q386" s="145"/>
      <c r="R386" s="145"/>
      <c r="S386" s="145"/>
    </row>
    <row r="387" spans="1:19">
      <c r="A387" s="159"/>
      <c r="B387" s="159"/>
      <c r="C387" s="159"/>
      <c r="D387" s="159"/>
      <c r="E387" s="159"/>
      <c r="F387" s="159"/>
      <c r="G387" s="145"/>
      <c r="H387" s="145"/>
      <c r="I387" s="145"/>
      <c r="L387" s="145"/>
      <c r="N387" s="159"/>
      <c r="O387" s="159"/>
      <c r="Q387" s="145"/>
      <c r="R387" s="145"/>
      <c r="S387" s="145"/>
    </row>
    <row r="388" spans="1:19">
      <c r="A388" s="159"/>
      <c r="B388" s="159"/>
      <c r="C388" s="159"/>
      <c r="D388" s="159"/>
      <c r="E388" s="159"/>
      <c r="F388" s="159"/>
      <c r="G388" s="145"/>
      <c r="H388" s="145"/>
      <c r="I388" s="145"/>
      <c r="L388" s="145"/>
      <c r="N388" s="159"/>
      <c r="O388" s="159"/>
      <c r="Q388" s="145"/>
      <c r="R388" s="145"/>
      <c r="S388" s="145"/>
    </row>
    <row r="389" spans="1:19">
      <c r="A389" s="159"/>
      <c r="B389" s="159"/>
      <c r="C389" s="159"/>
      <c r="D389" s="159"/>
      <c r="E389" s="159"/>
      <c r="F389" s="159"/>
      <c r="G389" s="145"/>
      <c r="H389" s="145"/>
      <c r="I389" s="145"/>
      <c r="L389" s="145"/>
      <c r="N389" s="159"/>
      <c r="O389" s="159"/>
      <c r="Q389" s="145"/>
      <c r="R389" s="145"/>
      <c r="S389" s="145"/>
    </row>
    <row r="390" spans="1:19">
      <c r="A390" s="159"/>
      <c r="B390" s="159"/>
      <c r="C390" s="159"/>
      <c r="D390" s="159"/>
      <c r="E390" s="159"/>
      <c r="F390" s="159"/>
      <c r="G390" s="145"/>
      <c r="H390" s="145"/>
      <c r="I390" s="145"/>
      <c r="L390" s="145"/>
      <c r="N390" s="159"/>
      <c r="O390" s="159"/>
      <c r="Q390" s="145"/>
      <c r="R390" s="145"/>
      <c r="S390" s="145"/>
    </row>
    <row r="391" spans="1:19">
      <c r="A391" s="159"/>
      <c r="B391" s="159"/>
      <c r="C391" s="159"/>
      <c r="D391" s="159"/>
      <c r="E391" s="159"/>
      <c r="F391" s="159"/>
      <c r="G391" s="145"/>
      <c r="H391" s="145"/>
      <c r="I391" s="145"/>
      <c r="L391" s="145"/>
      <c r="N391" s="159"/>
      <c r="O391" s="159"/>
      <c r="Q391" s="145"/>
      <c r="R391" s="145"/>
      <c r="S391" s="145"/>
    </row>
    <row r="392" spans="1:19">
      <c r="A392" s="159"/>
      <c r="B392" s="159"/>
      <c r="C392" s="159"/>
      <c r="D392" s="159"/>
      <c r="E392" s="159"/>
      <c r="F392" s="159"/>
      <c r="G392" s="145"/>
      <c r="H392" s="145"/>
      <c r="I392" s="145"/>
      <c r="L392" s="145"/>
      <c r="N392" s="159"/>
      <c r="O392" s="159"/>
      <c r="Q392" s="145"/>
      <c r="R392" s="145"/>
      <c r="S392" s="145"/>
    </row>
    <row r="393" spans="1:19">
      <c r="A393" s="159"/>
      <c r="B393" s="159"/>
      <c r="C393" s="159"/>
      <c r="D393" s="159"/>
      <c r="E393" s="159"/>
      <c r="F393" s="159"/>
      <c r="G393" s="145"/>
      <c r="H393" s="145"/>
      <c r="I393" s="145"/>
      <c r="L393" s="145"/>
      <c r="N393" s="159"/>
      <c r="O393" s="159"/>
      <c r="Q393" s="145"/>
      <c r="R393" s="145"/>
      <c r="S393" s="145"/>
    </row>
    <row r="394" spans="1:19">
      <c r="A394" s="159"/>
      <c r="B394" s="159"/>
      <c r="C394" s="159"/>
      <c r="D394" s="159"/>
      <c r="E394" s="159"/>
      <c r="F394" s="159"/>
      <c r="G394" s="145"/>
      <c r="H394" s="145"/>
      <c r="I394" s="145"/>
      <c r="L394" s="145"/>
      <c r="N394" s="159"/>
      <c r="O394" s="159"/>
      <c r="Q394" s="145"/>
      <c r="R394" s="145"/>
      <c r="S394" s="145"/>
    </row>
    <row r="395" spans="1:19">
      <c r="A395" s="159"/>
      <c r="B395" s="159"/>
      <c r="C395" s="159"/>
      <c r="D395" s="159"/>
      <c r="E395" s="159"/>
      <c r="F395" s="159"/>
      <c r="G395" s="145"/>
      <c r="H395" s="145"/>
      <c r="I395" s="145"/>
      <c r="L395" s="145"/>
      <c r="N395" s="159"/>
      <c r="O395" s="159"/>
      <c r="Q395" s="145"/>
      <c r="R395" s="145"/>
      <c r="S395" s="145"/>
    </row>
    <row r="396" spans="1:19">
      <c r="A396" s="159"/>
      <c r="B396" s="159"/>
      <c r="C396" s="159"/>
      <c r="D396" s="159"/>
      <c r="E396" s="159"/>
      <c r="F396" s="159"/>
      <c r="G396" s="145"/>
      <c r="H396" s="145"/>
      <c r="I396" s="145"/>
      <c r="L396" s="145"/>
      <c r="N396" s="159"/>
      <c r="O396" s="159"/>
      <c r="Q396" s="145"/>
      <c r="R396" s="145"/>
      <c r="S396" s="145"/>
    </row>
    <row r="397" spans="1:19">
      <c r="A397" s="159"/>
      <c r="B397" s="159"/>
      <c r="C397" s="159"/>
      <c r="D397" s="159"/>
      <c r="E397" s="159"/>
      <c r="F397" s="159"/>
      <c r="G397" s="145"/>
      <c r="H397" s="145"/>
      <c r="I397" s="145"/>
      <c r="L397" s="145"/>
      <c r="N397" s="159"/>
      <c r="O397" s="159"/>
      <c r="Q397" s="145"/>
      <c r="R397" s="145"/>
      <c r="S397" s="145"/>
    </row>
    <row r="398" spans="1:19">
      <c r="A398" s="159"/>
      <c r="B398" s="159"/>
      <c r="C398" s="159"/>
      <c r="D398" s="159"/>
      <c r="E398" s="159"/>
      <c r="F398" s="159"/>
      <c r="G398" s="145"/>
      <c r="H398" s="145"/>
      <c r="I398" s="145"/>
      <c r="L398" s="145"/>
      <c r="N398" s="159"/>
      <c r="O398" s="159"/>
      <c r="Q398" s="145"/>
      <c r="R398" s="145"/>
      <c r="S398" s="145"/>
    </row>
    <row r="399" spans="1:19">
      <c r="A399" s="159"/>
      <c r="B399" s="159"/>
      <c r="C399" s="159"/>
      <c r="D399" s="159"/>
      <c r="E399" s="159"/>
      <c r="F399" s="159"/>
      <c r="G399" s="145"/>
      <c r="H399" s="145"/>
      <c r="I399" s="145"/>
      <c r="L399" s="145"/>
      <c r="N399" s="159"/>
      <c r="O399" s="159"/>
      <c r="Q399" s="145"/>
      <c r="R399" s="145"/>
      <c r="S399" s="145"/>
    </row>
    <row r="400" spans="1:19">
      <c r="A400" s="159"/>
      <c r="B400" s="159"/>
      <c r="C400" s="159"/>
      <c r="D400" s="159"/>
      <c r="E400" s="159"/>
      <c r="F400" s="159"/>
      <c r="G400" s="145"/>
      <c r="H400" s="145"/>
      <c r="I400" s="145"/>
      <c r="L400" s="145"/>
      <c r="N400" s="159"/>
      <c r="O400" s="159"/>
      <c r="Q400" s="145"/>
      <c r="R400" s="145"/>
      <c r="S400" s="145"/>
    </row>
    <row r="401" spans="1:19">
      <c r="A401" s="159"/>
      <c r="B401" s="159"/>
      <c r="C401" s="159"/>
      <c r="D401" s="159"/>
      <c r="E401" s="159"/>
      <c r="F401" s="159"/>
      <c r="G401" s="145"/>
      <c r="H401" s="145"/>
      <c r="I401" s="145"/>
      <c r="L401" s="145"/>
      <c r="N401" s="159"/>
      <c r="O401" s="159"/>
      <c r="Q401" s="145"/>
      <c r="R401" s="145"/>
      <c r="S401" s="145"/>
    </row>
    <row r="402" spans="1:19">
      <c r="A402" s="159"/>
      <c r="B402" s="159"/>
      <c r="C402" s="159"/>
      <c r="D402" s="159"/>
      <c r="E402" s="159"/>
      <c r="F402" s="159"/>
      <c r="G402" s="145"/>
      <c r="H402" s="145"/>
      <c r="I402" s="145"/>
      <c r="L402" s="145"/>
      <c r="N402" s="159"/>
      <c r="O402" s="159"/>
      <c r="Q402" s="145"/>
      <c r="R402" s="145"/>
      <c r="S402" s="145"/>
    </row>
    <row r="403" spans="1:19">
      <c r="A403" s="159"/>
      <c r="B403" s="159"/>
      <c r="C403" s="159"/>
      <c r="D403" s="159"/>
      <c r="E403" s="159"/>
      <c r="F403" s="159"/>
      <c r="G403" s="145"/>
      <c r="H403" s="145"/>
      <c r="I403" s="145"/>
      <c r="L403" s="145"/>
      <c r="N403" s="159"/>
      <c r="O403" s="159"/>
      <c r="Q403" s="145"/>
      <c r="R403" s="145"/>
      <c r="S403" s="145"/>
    </row>
    <row r="404" spans="1:19">
      <c r="A404" s="159"/>
      <c r="B404" s="159"/>
      <c r="C404" s="159"/>
      <c r="D404" s="159"/>
      <c r="E404" s="159"/>
      <c r="F404" s="159"/>
      <c r="G404" s="145"/>
      <c r="H404" s="145"/>
      <c r="I404" s="145"/>
      <c r="L404" s="145"/>
      <c r="N404" s="159"/>
      <c r="O404" s="159"/>
      <c r="Q404" s="145"/>
      <c r="R404" s="145"/>
      <c r="S404" s="145"/>
    </row>
    <row r="405" spans="1:19">
      <c r="A405" s="159"/>
      <c r="B405" s="159"/>
      <c r="C405" s="159"/>
      <c r="D405" s="159"/>
      <c r="E405" s="159"/>
      <c r="F405" s="159"/>
      <c r="G405" s="145"/>
      <c r="H405" s="145"/>
      <c r="I405" s="145"/>
      <c r="L405" s="145"/>
      <c r="N405" s="159"/>
      <c r="O405" s="159"/>
      <c r="Q405" s="145"/>
      <c r="R405" s="145"/>
      <c r="S405" s="145"/>
    </row>
    <row r="406" spans="1:19">
      <c r="A406" s="159"/>
      <c r="B406" s="159"/>
      <c r="C406" s="159"/>
      <c r="D406" s="159"/>
      <c r="E406" s="159"/>
      <c r="F406" s="159"/>
      <c r="G406" s="145"/>
      <c r="H406" s="145"/>
      <c r="I406" s="145"/>
      <c r="L406" s="145"/>
      <c r="N406" s="159"/>
      <c r="O406" s="159"/>
      <c r="Q406" s="145"/>
      <c r="R406" s="145"/>
      <c r="S406" s="145"/>
    </row>
    <row r="407" spans="1:19">
      <c r="A407" s="159"/>
      <c r="B407" s="159"/>
      <c r="C407" s="159"/>
      <c r="D407" s="159"/>
      <c r="E407" s="159"/>
      <c r="F407" s="159"/>
      <c r="G407" s="145"/>
      <c r="H407" s="145"/>
      <c r="I407" s="145"/>
      <c r="L407" s="145"/>
      <c r="N407" s="159"/>
      <c r="O407" s="159"/>
      <c r="Q407" s="145"/>
      <c r="R407" s="145"/>
      <c r="S407" s="145"/>
    </row>
    <row r="408" spans="1:19">
      <c r="A408" s="159"/>
      <c r="B408" s="159"/>
      <c r="C408" s="159"/>
      <c r="D408" s="159"/>
      <c r="E408" s="159"/>
      <c r="F408" s="159"/>
      <c r="G408" s="145"/>
      <c r="H408" s="145"/>
      <c r="I408" s="145"/>
      <c r="L408" s="145"/>
      <c r="N408" s="159"/>
      <c r="O408" s="159"/>
      <c r="Q408" s="145"/>
      <c r="R408" s="145"/>
      <c r="S408" s="145"/>
    </row>
    <row r="409" spans="1:19">
      <c r="A409" s="159"/>
      <c r="B409" s="159"/>
      <c r="C409" s="159"/>
      <c r="D409" s="159"/>
      <c r="E409" s="159"/>
      <c r="F409" s="159"/>
      <c r="G409" s="145"/>
      <c r="H409" s="145"/>
      <c r="I409" s="145"/>
      <c r="L409" s="145"/>
      <c r="N409" s="159"/>
      <c r="O409" s="159"/>
      <c r="Q409" s="145"/>
      <c r="R409" s="145"/>
      <c r="S409" s="145"/>
    </row>
    <row r="410" spans="1:19">
      <c r="A410" s="159"/>
      <c r="B410" s="159"/>
      <c r="C410" s="159"/>
      <c r="D410" s="159"/>
      <c r="E410" s="159"/>
      <c r="F410" s="159"/>
      <c r="G410" s="145"/>
      <c r="H410" s="145"/>
      <c r="I410" s="145"/>
      <c r="L410" s="145"/>
      <c r="N410" s="159"/>
      <c r="O410" s="159"/>
      <c r="Q410" s="145"/>
      <c r="R410" s="145"/>
      <c r="S410" s="145"/>
    </row>
    <row r="411" spans="1:19">
      <c r="A411" s="159"/>
      <c r="B411" s="159"/>
      <c r="C411" s="159"/>
      <c r="D411" s="159"/>
      <c r="E411" s="159"/>
      <c r="F411" s="159"/>
      <c r="G411" s="145"/>
      <c r="H411" s="145"/>
      <c r="I411" s="145"/>
      <c r="L411" s="145"/>
      <c r="N411" s="159"/>
      <c r="O411" s="159"/>
      <c r="Q411" s="145"/>
      <c r="R411" s="145"/>
      <c r="S411" s="145"/>
    </row>
    <row r="412" spans="1:19">
      <c r="A412" s="159"/>
      <c r="B412" s="159"/>
      <c r="C412" s="159"/>
      <c r="D412" s="159"/>
      <c r="E412" s="159"/>
      <c r="F412" s="159"/>
      <c r="G412" s="145"/>
      <c r="H412" s="145"/>
      <c r="I412" s="145"/>
      <c r="L412" s="145"/>
      <c r="N412" s="159"/>
      <c r="O412" s="159"/>
      <c r="Q412" s="145"/>
      <c r="R412" s="145"/>
      <c r="S412" s="145"/>
    </row>
    <row r="413" spans="1:19">
      <c r="A413" s="159"/>
      <c r="B413" s="159"/>
      <c r="C413" s="159"/>
      <c r="D413" s="159"/>
      <c r="E413" s="159"/>
      <c r="F413" s="159"/>
      <c r="G413" s="145"/>
      <c r="H413" s="145"/>
      <c r="I413" s="145"/>
      <c r="L413" s="145"/>
      <c r="N413" s="159"/>
      <c r="O413" s="159"/>
      <c r="Q413" s="145"/>
      <c r="R413" s="145"/>
      <c r="S413" s="145"/>
    </row>
    <row r="414" spans="1:19">
      <c r="A414" s="159"/>
      <c r="B414" s="159"/>
      <c r="C414" s="159"/>
      <c r="D414" s="159"/>
      <c r="E414" s="159"/>
      <c r="F414" s="159"/>
      <c r="G414" s="145"/>
      <c r="H414" s="145"/>
      <c r="I414" s="145"/>
      <c r="L414" s="145"/>
      <c r="N414" s="159"/>
      <c r="O414" s="159"/>
      <c r="Q414" s="145"/>
      <c r="R414" s="145"/>
      <c r="S414" s="145"/>
    </row>
    <row r="415" spans="1:19">
      <c r="A415" s="159"/>
      <c r="B415" s="159"/>
      <c r="C415" s="159"/>
      <c r="D415" s="159"/>
      <c r="E415" s="159"/>
      <c r="F415" s="159"/>
      <c r="G415" s="145"/>
      <c r="H415" s="145"/>
      <c r="I415" s="145"/>
      <c r="L415" s="145"/>
      <c r="N415" s="159"/>
      <c r="O415" s="159"/>
      <c r="Q415" s="145"/>
      <c r="R415" s="145"/>
      <c r="S415" s="145"/>
    </row>
    <row r="416" spans="1:19">
      <c r="A416" s="159"/>
      <c r="B416" s="159"/>
      <c r="C416" s="159"/>
      <c r="D416" s="159"/>
      <c r="E416" s="159"/>
      <c r="F416" s="159"/>
      <c r="G416" s="145"/>
      <c r="H416" s="145"/>
      <c r="I416" s="145"/>
      <c r="L416" s="145"/>
      <c r="N416" s="159"/>
      <c r="O416" s="159"/>
      <c r="Q416" s="145"/>
      <c r="R416" s="145"/>
      <c r="S416" s="145"/>
    </row>
    <row r="417" spans="1:19">
      <c r="A417" s="159"/>
      <c r="B417" s="159"/>
      <c r="C417" s="159"/>
      <c r="D417" s="159"/>
      <c r="E417" s="159"/>
      <c r="F417" s="159"/>
      <c r="G417" s="145"/>
      <c r="H417" s="145"/>
      <c r="I417" s="145"/>
      <c r="L417" s="145"/>
      <c r="N417" s="159"/>
      <c r="O417" s="159"/>
      <c r="Q417" s="145"/>
      <c r="R417" s="145"/>
      <c r="S417" s="145"/>
    </row>
    <row r="418" spans="1:19">
      <c r="A418" s="159"/>
      <c r="B418" s="159"/>
      <c r="C418" s="159"/>
      <c r="D418" s="159"/>
      <c r="E418" s="159"/>
      <c r="F418" s="159"/>
      <c r="G418" s="145"/>
      <c r="H418" s="145"/>
      <c r="I418" s="145"/>
      <c r="L418" s="145"/>
      <c r="N418" s="159"/>
      <c r="O418" s="159"/>
      <c r="Q418" s="145"/>
      <c r="R418" s="145"/>
      <c r="S418" s="145"/>
    </row>
    <row r="419" spans="1:19">
      <c r="A419" s="159"/>
      <c r="B419" s="159"/>
      <c r="C419" s="159"/>
      <c r="D419" s="159"/>
      <c r="E419" s="159"/>
      <c r="F419" s="159"/>
      <c r="G419" s="145"/>
      <c r="H419" s="145"/>
      <c r="I419" s="145"/>
      <c r="L419" s="145"/>
      <c r="N419" s="159"/>
      <c r="O419" s="159"/>
      <c r="Q419" s="145"/>
      <c r="R419" s="145"/>
      <c r="S419" s="145"/>
    </row>
    <row r="420" spans="1:19">
      <c r="A420" s="159"/>
      <c r="B420" s="159"/>
      <c r="C420" s="159"/>
      <c r="D420" s="159"/>
      <c r="E420" s="159"/>
      <c r="F420" s="159"/>
      <c r="G420" s="145"/>
      <c r="H420" s="145"/>
      <c r="I420" s="145"/>
      <c r="L420" s="145"/>
      <c r="N420" s="159"/>
      <c r="O420" s="159"/>
      <c r="Q420" s="145"/>
      <c r="R420" s="145"/>
      <c r="S420" s="145"/>
    </row>
    <row r="421" spans="1:19">
      <c r="A421" s="159"/>
      <c r="B421" s="159"/>
      <c r="C421" s="159"/>
      <c r="D421" s="159"/>
      <c r="E421" s="159"/>
      <c r="F421" s="159"/>
      <c r="G421" s="145"/>
      <c r="H421" s="145"/>
      <c r="I421" s="145"/>
      <c r="L421" s="145"/>
      <c r="N421" s="159"/>
      <c r="O421" s="159"/>
      <c r="Q421" s="145"/>
      <c r="R421" s="145"/>
      <c r="S421" s="145"/>
    </row>
    <row r="422" spans="1:19">
      <c r="A422" s="159"/>
      <c r="B422" s="159"/>
      <c r="C422" s="159"/>
      <c r="D422" s="159"/>
      <c r="E422" s="159"/>
      <c r="F422" s="159"/>
      <c r="G422" s="145"/>
      <c r="H422" s="145"/>
      <c r="I422" s="145"/>
      <c r="L422" s="145"/>
      <c r="N422" s="159"/>
      <c r="O422" s="159"/>
      <c r="Q422" s="145"/>
      <c r="R422" s="145"/>
      <c r="S422" s="145"/>
    </row>
    <row r="423" spans="1:19">
      <c r="A423" s="159"/>
      <c r="B423" s="159"/>
      <c r="C423" s="159"/>
      <c r="D423" s="159"/>
      <c r="E423" s="159"/>
      <c r="F423" s="159"/>
      <c r="G423" s="145"/>
      <c r="H423" s="145"/>
      <c r="I423" s="145"/>
      <c r="L423" s="145"/>
      <c r="N423" s="159"/>
      <c r="O423" s="159"/>
      <c r="Q423" s="145"/>
      <c r="R423" s="145"/>
      <c r="S423" s="145"/>
    </row>
    <row r="424" spans="1:19">
      <c r="A424" s="159"/>
      <c r="B424" s="159"/>
      <c r="C424" s="159"/>
      <c r="D424" s="159"/>
      <c r="E424" s="159"/>
      <c r="F424" s="159"/>
      <c r="G424" s="145"/>
      <c r="H424" s="145"/>
      <c r="I424" s="145"/>
      <c r="L424" s="145"/>
      <c r="N424" s="159"/>
      <c r="O424" s="159"/>
      <c r="Q424" s="145"/>
      <c r="R424" s="145"/>
      <c r="S424" s="145"/>
    </row>
    <row r="425" spans="1:19">
      <c r="A425" s="159"/>
      <c r="B425" s="159"/>
      <c r="C425" s="159"/>
      <c r="D425" s="159"/>
      <c r="E425" s="159"/>
      <c r="F425" s="159"/>
      <c r="G425" s="145"/>
      <c r="H425" s="145"/>
      <c r="I425" s="145"/>
      <c r="L425" s="145"/>
      <c r="N425" s="159"/>
      <c r="O425" s="159"/>
      <c r="Q425" s="145"/>
      <c r="R425" s="145"/>
      <c r="S425" s="145"/>
    </row>
    <row r="426" spans="1:19">
      <c r="A426" s="159"/>
      <c r="B426" s="159"/>
      <c r="C426" s="159"/>
      <c r="D426" s="159"/>
      <c r="E426" s="159"/>
      <c r="F426" s="159"/>
      <c r="G426" s="145"/>
      <c r="H426" s="145"/>
      <c r="I426" s="145"/>
      <c r="L426" s="145"/>
      <c r="N426" s="159"/>
      <c r="O426" s="159"/>
      <c r="Q426" s="145"/>
      <c r="R426" s="145"/>
      <c r="S426" s="145"/>
    </row>
    <row r="427" spans="1:19">
      <c r="A427" s="159"/>
      <c r="B427" s="159"/>
      <c r="C427" s="159"/>
      <c r="D427" s="159"/>
      <c r="E427" s="159"/>
      <c r="F427" s="159"/>
      <c r="G427" s="145"/>
      <c r="H427" s="145"/>
      <c r="I427" s="145"/>
      <c r="L427" s="145"/>
      <c r="N427" s="159"/>
      <c r="O427" s="159"/>
      <c r="Q427" s="145"/>
      <c r="R427" s="145"/>
      <c r="S427" s="145"/>
    </row>
    <row r="428" spans="1:19">
      <c r="A428" s="159"/>
      <c r="B428" s="159"/>
      <c r="C428" s="159"/>
      <c r="D428" s="159"/>
      <c r="E428" s="159"/>
      <c r="F428" s="159"/>
      <c r="G428" s="145"/>
      <c r="H428" s="145"/>
      <c r="I428" s="145"/>
      <c r="L428" s="145"/>
      <c r="N428" s="159"/>
      <c r="O428" s="159"/>
      <c r="Q428" s="145"/>
      <c r="R428" s="145"/>
      <c r="S428" s="145"/>
    </row>
    <row r="429" spans="1:19">
      <c r="A429" s="159"/>
      <c r="B429" s="159"/>
      <c r="C429" s="159"/>
      <c r="D429" s="159"/>
      <c r="E429" s="159"/>
      <c r="F429" s="159"/>
      <c r="G429" s="145"/>
      <c r="H429" s="145"/>
      <c r="I429" s="145"/>
      <c r="L429" s="145"/>
      <c r="N429" s="159"/>
      <c r="O429" s="159"/>
      <c r="Q429" s="145"/>
      <c r="R429" s="145"/>
      <c r="S429" s="145"/>
    </row>
    <row r="430" spans="1:19">
      <c r="A430" s="159"/>
      <c r="B430" s="159"/>
      <c r="C430" s="159"/>
      <c r="D430" s="159"/>
      <c r="E430" s="159"/>
      <c r="F430" s="159"/>
      <c r="G430" s="145"/>
      <c r="H430" s="145"/>
      <c r="I430" s="145"/>
      <c r="L430" s="145"/>
      <c r="N430" s="159"/>
      <c r="O430" s="159"/>
      <c r="Q430" s="145"/>
      <c r="R430" s="145"/>
      <c r="S430" s="145"/>
    </row>
    <row r="431" spans="1:19">
      <c r="A431" s="159"/>
      <c r="B431" s="159"/>
      <c r="C431" s="159"/>
      <c r="D431" s="159"/>
      <c r="E431" s="159"/>
      <c r="F431" s="159"/>
      <c r="G431" s="145"/>
      <c r="H431" s="145"/>
      <c r="I431" s="145"/>
      <c r="L431" s="145"/>
      <c r="N431" s="159"/>
      <c r="O431" s="159"/>
      <c r="Q431" s="145"/>
      <c r="R431" s="145"/>
      <c r="S431" s="145"/>
    </row>
    <row r="432" spans="1:19">
      <c r="A432" s="159"/>
      <c r="B432" s="159"/>
      <c r="C432" s="159"/>
      <c r="D432" s="159"/>
      <c r="E432" s="159"/>
      <c r="F432" s="159"/>
      <c r="G432" s="145"/>
      <c r="H432" s="145"/>
      <c r="I432" s="145"/>
      <c r="L432" s="145"/>
      <c r="N432" s="159"/>
      <c r="O432" s="159"/>
      <c r="Q432" s="145"/>
      <c r="R432" s="145"/>
      <c r="S432" s="145"/>
    </row>
    <row r="433" spans="1:19">
      <c r="A433" s="159"/>
      <c r="B433" s="159"/>
      <c r="C433" s="159"/>
      <c r="D433" s="159"/>
      <c r="E433" s="159"/>
      <c r="F433" s="159"/>
      <c r="G433" s="145"/>
      <c r="H433" s="145"/>
      <c r="I433" s="145"/>
      <c r="L433" s="145"/>
      <c r="N433" s="159"/>
      <c r="O433" s="159"/>
      <c r="Q433" s="145"/>
      <c r="R433" s="145"/>
      <c r="S433" s="145"/>
    </row>
    <row r="434" spans="1:19">
      <c r="A434" s="159"/>
      <c r="B434" s="159"/>
      <c r="C434" s="159"/>
      <c r="D434" s="159"/>
      <c r="E434" s="159"/>
      <c r="F434" s="159"/>
      <c r="G434" s="145"/>
      <c r="H434" s="145"/>
      <c r="I434" s="145"/>
      <c r="L434" s="145"/>
      <c r="N434" s="159"/>
      <c r="O434" s="159"/>
      <c r="Q434" s="145"/>
      <c r="R434" s="145"/>
      <c r="S434" s="145"/>
    </row>
    <row r="435" spans="1:19">
      <c r="A435" s="159"/>
      <c r="B435" s="159"/>
      <c r="C435" s="159"/>
      <c r="D435" s="159"/>
      <c r="E435" s="159"/>
      <c r="F435" s="159"/>
      <c r="G435" s="145"/>
      <c r="H435" s="145"/>
      <c r="I435" s="145"/>
      <c r="L435" s="145"/>
      <c r="N435" s="159"/>
      <c r="O435" s="159"/>
      <c r="Q435" s="145"/>
      <c r="R435" s="145"/>
      <c r="S435" s="145"/>
    </row>
    <row r="436" spans="1:19">
      <c r="A436" s="159"/>
      <c r="B436" s="159"/>
      <c r="C436" s="159"/>
      <c r="D436" s="159"/>
      <c r="E436" s="159"/>
      <c r="F436" s="159"/>
      <c r="G436" s="145"/>
      <c r="H436" s="145"/>
      <c r="I436" s="145"/>
      <c r="L436" s="145"/>
      <c r="N436" s="159"/>
      <c r="O436" s="159"/>
      <c r="Q436" s="145"/>
      <c r="R436" s="145"/>
      <c r="S436" s="145"/>
    </row>
    <row r="437" spans="1:19">
      <c r="A437" s="159"/>
      <c r="B437" s="159"/>
      <c r="C437" s="159"/>
      <c r="D437" s="159"/>
      <c r="E437" s="159"/>
      <c r="F437" s="159"/>
      <c r="G437" s="145"/>
      <c r="H437" s="145"/>
      <c r="I437" s="145"/>
      <c r="L437" s="145"/>
      <c r="N437" s="159"/>
      <c r="O437" s="159"/>
      <c r="Q437" s="145"/>
      <c r="R437" s="145"/>
      <c r="S437" s="145"/>
    </row>
    <row r="438" spans="1:19">
      <c r="A438" s="159"/>
      <c r="B438" s="159"/>
      <c r="C438" s="159"/>
      <c r="D438" s="159"/>
      <c r="E438" s="159"/>
      <c r="F438" s="159"/>
      <c r="G438" s="145"/>
      <c r="H438" s="145"/>
      <c r="I438" s="145"/>
      <c r="L438" s="145"/>
      <c r="N438" s="159"/>
      <c r="O438" s="159"/>
      <c r="Q438" s="145"/>
      <c r="R438" s="145"/>
      <c r="S438" s="145"/>
    </row>
    <row r="439" spans="1:19">
      <c r="A439" s="159"/>
      <c r="B439" s="159"/>
      <c r="C439" s="159"/>
      <c r="D439" s="159"/>
      <c r="E439" s="159"/>
      <c r="F439" s="159"/>
      <c r="G439" s="145"/>
      <c r="H439" s="145"/>
      <c r="I439" s="145"/>
      <c r="L439" s="145"/>
      <c r="N439" s="159"/>
      <c r="O439" s="159"/>
      <c r="Q439" s="145"/>
      <c r="R439" s="145"/>
      <c r="S439" s="145"/>
    </row>
    <row r="440" spans="1:19">
      <c r="A440" s="159"/>
      <c r="B440" s="159"/>
      <c r="C440" s="159"/>
      <c r="D440" s="159"/>
      <c r="E440" s="159"/>
      <c r="F440" s="159"/>
      <c r="G440" s="145"/>
      <c r="H440" s="145"/>
      <c r="I440" s="145"/>
      <c r="L440" s="145"/>
      <c r="N440" s="159"/>
      <c r="O440" s="159"/>
      <c r="Q440" s="145"/>
      <c r="R440" s="145"/>
      <c r="S440" s="145"/>
    </row>
    <row r="441" spans="1:19">
      <c r="A441" s="159"/>
      <c r="B441" s="159"/>
      <c r="C441" s="159"/>
      <c r="D441" s="159"/>
      <c r="E441" s="159"/>
      <c r="F441" s="159"/>
      <c r="G441" s="145"/>
      <c r="H441" s="145"/>
      <c r="I441" s="145"/>
      <c r="L441" s="145"/>
      <c r="N441" s="159"/>
      <c r="O441" s="159"/>
      <c r="Q441" s="145"/>
      <c r="R441" s="145"/>
      <c r="S441" s="145"/>
    </row>
    <row r="442" spans="1:19">
      <c r="A442" s="159"/>
      <c r="B442" s="159"/>
      <c r="C442" s="159"/>
      <c r="D442" s="159"/>
      <c r="E442" s="159"/>
      <c r="F442" s="159"/>
      <c r="G442" s="145"/>
      <c r="H442" s="145"/>
      <c r="I442" s="145"/>
      <c r="L442" s="145"/>
      <c r="N442" s="159"/>
      <c r="O442" s="159"/>
      <c r="Q442" s="145"/>
      <c r="R442" s="145"/>
      <c r="S442" s="145"/>
    </row>
    <row r="443" spans="1:19">
      <c r="A443" s="159"/>
      <c r="B443" s="159"/>
      <c r="C443" s="159"/>
      <c r="D443" s="159"/>
      <c r="E443" s="159"/>
      <c r="F443" s="159"/>
      <c r="G443" s="145"/>
      <c r="H443" s="145"/>
      <c r="I443" s="145"/>
      <c r="L443" s="145"/>
      <c r="N443" s="159"/>
      <c r="O443" s="159"/>
      <c r="Q443" s="145"/>
      <c r="R443" s="145"/>
      <c r="S443" s="145"/>
    </row>
    <row r="444" spans="1:19">
      <c r="A444" s="159"/>
      <c r="B444" s="159"/>
      <c r="C444" s="159"/>
      <c r="D444" s="159"/>
      <c r="E444" s="159"/>
      <c r="F444" s="159"/>
      <c r="G444" s="145"/>
      <c r="H444" s="145"/>
      <c r="I444" s="145"/>
      <c r="L444" s="145"/>
      <c r="N444" s="159"/>
      <c r="O444" s="159"/>
      <c r="Q444" s="145"/>
      <c r="R444" s="145"/>
      <c r="S444" s="145"/>
    </row>
    <row r="445" spans="1:19">
      <c r="A445" s="159"/>
      <c r="B445" s="159"/>
      <c r="C445" s="159"/>
      <c r="D445" s="159"/>
      <c r="E445" s="159"/>
      <c r="F445" s="159"/>
      <c r="G445" s="145"/>
      <c r="H445" s="145"/>
      <c r="I445" s="145"/>
      <c r="L445" s="145"/>
      <c r="N445" s="159"/>
      <c r="O445" s="159"/>
      <c r="Q445" s="145"/>
      <c r="R445" s="145"/>
      <c r="S445" s="145"/>
    </row>
    <row r="446" spans="1:19">
      <c r="A446" s="159"/>
      <c r="B446" s="159"/>
      <c r="C446" s="159"/>
      <c r="D446" s="159"/>
      <c r="E446" s="159"/>
      <c r="F446" s="159"/>
      <c r="G446" s="145"/>
      <c r="H446" s="145"/>
      <c r="I446" s="145"/>
      <c r="L446" s="145"/>
      <c r="N446" s="159"/>
      <c r="O446" s="159"/>
      <c r="Q446" s="145"/>
      <c r="R446" s="145"/>
      <c r="S446" s="145"/>
    </row>
    <row r="447" spans="1:19">
      <c r="A447" s="159"/>
      <c r="B447" s="159"/>
      <c r="C447" s="159"/>
      <c r="D447" s="159"/>
      <c r="E447" s="159"/>
      <c r="F447" s="159"/>
      <c r="G447" s="145"/>
      <c r="H447" s="145"/>
      <c r="I447" s="145"/>
      <c r="L447" s="145"/>
      <c r="N447" s="159"/>
      <c r="O447" s="159"/>
      <c r="Q447" s="145"/>
      <c r="R447" s="145"/>
      <c r="S447" s="145"/>
    </row>
    <row r="448" spans="1:19">
      <c r="A448" s="159"/>
      <c r="B448" s="159"/>
      <c r="C448" s="159"/>
      <c r="D448" s="159"/>
      <c r="E448" s="159"/>
      <c r="F448" s="159"/>
      <c r="G448" s="145"/>
      <c r="H448" s="145"/>
      <c r="I448" s="145"/>
      <c r="L448" s="145"/>
      <c r="N448" s="159"/>
      <c r="O448" s="159"/>
      <c r="Q448" s="145"/>
      <c r="R448" s="145"/>
      <c r="S448" s="145"/>
    </row>
    <row r="449" spans="1:19">
      <c r="A449" s="159"/>
      <c r="B449" s="159"/>
      <c r="C449" s="159"/>
      <c r="D449" s="159"/>
      <c r="E449" s="159"/>
      <c r="F449" s="159"/>
      <c r="G449" s="145"/>
      <c r="H449" s="145"/>
      <c r="I449" s="145"/>
      <c r="L449" s="145"/>
      <c r="N449" s="159"/>
      <c r="O449" s="159"/>
      <c r="Q449" s="145"/>
      <c r="R449" s="145"/>
      <c r="S449" s="145"/>
    </row>
    <row r="450" spans="1:19">
      <c r="A450" s="159"/>
      <c r="B450" s="159"/>
      <c r="C450" s="159"/>
      <c r="D450" s="159"/>
      <c r="E450" s="159"/>
      <c r="F450" s="159"/>
      <c r="G450" s="145"/>
      <c r="H450" s="145"/>
      <c r="I450" s="145"/>
      <c r="L450" s="145"/>
      <c r="N450" s="159"/>
      <c r="O450" s="159"/>
      <c r="Q450" s="145"/>
      <c r="R450" s="145"/>
      <c r="S450" s="145"/>
    </row>
    <row r="451" spans="1:19">
      <c r="A451" s="159"/>
      <c r="B451" s="159"/>
      <c r="C451" s="159"/>
      <c r="D451" s="159"/>
      <c r="E451" s="159"/>
      <c r="F451" s="159"/>
      <c r="G451" s="145"/>
      <c r="H451" s="145"/>
      <c r="I451" s="145"/>
      <c r="L451" s="145"/>
      <c r="N451" s="159"/>
      <c r="O451" s="159"/>
      <c r="Q451" s="145"/>
      <c r="R451" s="145"/>
      <c r="S451" s="145"/>
    </row>
    <row r="452" spans="1:19">
      <c r="A452" s="159"/>
      <c r="B452" s="159"/>
      <c r="C452" s="159"/>
      <c r="D452" s="159"/>
      <c r="E452" s="159"/>
      <c r="F452" s="159"/>
      <c r="G452" s="145"/>
      <c r="H452" s="145"/>
      <c r="I452" s="145"/>
      <c r="L452" s="145"/>
      <c r="N452" s="159"/>
      <c r="O452" s="159"/>
      <c r="Q452" s="145"/>
      <c r="R452" s="145"/>
      <c r="S452" s="145"/>
    </row>
    <row r="453" spans="1:19">
      <c r="A453" s="159"/>
      <c r="B453" s="159"/>
      <c r="C453" s="159"/>
      <c r="D453" s="159"/>
      <c r="E453" s="159"/>
      <c r="F453" s="159"/>
      <c r="G453" s="145"/>
      <c r="H453" s="145"/>
      <c r="I453" s="145"/>
      <c r="L453" s="145"/>
      <c r="N453" s="159"/>
      <c r="O453" s="159"/>
      <c r="Q453" s="145"/>
      <c r="R453" s="145"/>
      <c r="S453" s="145"/>
    </row>
    <row r="454" spans="1:19">
      <c r="A454" s="159"/>
      <c r="B454" s="159"/>
      <c r="C454" s="159"/>
      <c r="D454" s="159"/>
      <c r="E454" s="159"/>
      <c r="F454" s="159"/>
      <c r="G454" s="145"/>
      <c r="H454" s="145"/>
      <c r="I454" s="145"/>
      <c r="L454" s="145"/>
      <c r="N454" s="159"/>
      <c r="O454" s="159"/>
      <c r="Q454" s="145"/>
      <c r="R454" s="145"/>
      <c r="S454" s="145"/>
    </row>
    <row r="455" spans="1:19">
      <c r="A455" s="159"/>
      <c r="B455" s="159"/>
      <c r="C455" s="159"/>
      <c r="D455" s="159"/>
      <c r="E455" s="159"/>
      <c r="F455" s="159"/>
      <c r="G455" s="145"/>
      <c r="H455" s="145"/>
      <c r="I455" s="145"/>
      <c r="L455" s="145"/>
      <c r="N455" s="159"/>
      <c r="O455" s="159"/>
      <c r="Q455" s="145"/>
      <c r="R455" s="145"/>
      <c r="S455" s="145"/>
    </row>
    <row r="456" spans="1:19">
      <c r="A456" s="159"/>
      <c r="B456" s="159"/>
      <c r="C456" s="159"/>
      <c r="D456" s="159"/>
      <c r="E456" s="159"/>
      <c r="F456" s="159"/>
      <c r="G456" s="145"/>
      <c r="H456" s="145"/>
      <c r="I456" s="145"/>
      <c r="L456" s="145"/>
      <c r="N456" s="159"/>
      <c r="O456" s="159"/>
      <c r="Q456" s="145"/>
      <c r="R456" s="145"/>
      <c r="S456" s="145"/>
    </row>
    <row r="457" spans="1:19">
      <c r="A457" s="159"/>
      <c r="B457" s="159"/>
      <c r="C457" s="159"/>
      <c r="D457" s="159"/>
      <c r="E457" s="159"/>
      <c r="F457" s="159"/>
      <c r="G457" s="145"/>
      <c r="H457" s="145"/>
      <c r="I457" s="145"/>
      <c r="L457" s="145"/>
      <c r="N457" s="159"/>
      <c r="O457" s="159"/>
      <c r="Q457" s="145"/>
      <c r="R457" s="145"/>
      <c r="S457" s="145"/>
    </row>
    <row r="458" spans="1:19">
      <c r="A458" s="159"/>
      <c r="B458" s="159"/>
      <c r="C458" s="159"/>
      <c r="D458" s="159"/>
      <c r="E458" s="159"/>
      <c r="F458" s="159"/>
      <c r="G458" s="145"/>
      <c r="H458" s="145"/>
      <c r="I458" s="145"/>
      <c r="L458" s="145"/>
      <c r="N458" s="159"/>
      <c r="O458" s="159"/>
      <c r="Q458" s="145"/>
      <c r="R458" s="145"/>
      <c r="S458" s="145"/>
    </row>
    <row r="459" spans="1:19">
      <c r="A459" s="159"/>
      <c r="B459" s="159"/>
      <c r="C459" s="159"/>
      <c r="D459" s="159"/>
      <c r="E459" s="159"/>
      <c r="F459" s="159"/>
      <c r="G459" s="145"/>
      <c r="H459" s="145"/>
      <c r="I459" s="145"/>
      <c r="L459" s="145"/>
      <c r="N459" s="159"/>
      <c r="O459" s="159"/>
      <c r="Q459" s="145"/>
      <c r="R459" s="145"/>
      <c r="S459" s="145"/>
    </row>
    <row r="460" spans="1:19">
      <c r="A460" s="159"/>
      <c r="B460" s="159"/>
      <c r="C460" s="159"/>
      <c r="D460" s="159"/>
      <c r="E460" s="159"/>
      <c r="F460" s="159"/>
      <c r="G460" s="145"/>
      <c r="H460" s="145"/>
      <c r="I460" s="145"/>
      <c r="L460" s="145"/>
      <c r="N460" s="159"/>
      <c r="O460" s="159"/>
      <c r="Q460" s="145"/>
      <c r="R460" s="145"/>
      <c r="S460" s="145"/>
    </row>
    <row r="461" spans="1:19">
      <c r="A461" s="159"/>
      <c r="B461" s="159"/>
      <c r="C461" s="159"/>
      <c r="D461" s="159"/>
      <c r="E461" s="159"/>
      <c r="F461" s="159"/>
      <c r="G461" s="145"/>
      <c r="H461" s="145"/>
      <c r="I461" s="145"/>
      <c r="L461" s="145"/>
      <c r="N461" s="159"/>
      <c r="O461" s="159"/>
      <c r="Q461" s="145"/>
      <c r="R461" s="145"/>
      <c r="S461" s="145"/>
    </row>
    <row r="462" spans="1:19">
      <c r="A462" s="159"/>
      <c r="B462" s="159"/>
      <c r="C462" s="159"/>
      <c r="D462" s="159"/>
      <c r="E462" s="159"/>
      <c r="F462" s="159"/>
      <c r="G462" s="145"/>
      <c r="H462" s="145"/>
      <c r="I462" s="145"/>
      <c r="L462" s="145"/>
      <c r="N462" s="159"/>
      <c r="O462" s="159"/>
      <c r="Q462" s="145"/>
      <c r="R462" s="145"/>
      <c r="S462" s="145"/>
    </row>
    <row r="463" spans="1:19">
      <c r="A463" s="159"/>
      <c r="B463" s="159"/>
      <c r="C463" s="159"/>
      <c r="D463" s="159"/>
      <c r="E463" s="159"/>
      <c r="F463" s="159"/>
      <c r="G463" s="145"/>
      <c r="H463" s="145"/>
      <c r="I463" s="145"/>
      <c r="L463" s="145"/>
      <c r="N463" s="159"/>
      <c r="O463" s="159"/>
      <c r="Q463" s="145"/>
      <c r="R463" s="145"/>
      <c r="S463" s="145"/>
    </row>
    <row r="464" spans="1:19">
      <c r="A464" s="159"/>
      <c r="B464" s="159"/>
      <c r="C464" s="159"/>
      <c r="D464" s="159"/>
      <c r="E464" s="159"/>
      <c r="F464" s="159"/>
      <c r="G464" s="145"/>
      <c r="H464" s="145"/>
      <c r="I464" s="145"/>
      <c r="L464" s="145"/>
      <c r="N464" s="159"/>
      <c r="O464" s="159"/>
      <c r="Q464" s="145"/>
      <c r="R464" s="145"/>
      <c r="S464" s="145"/>
    </row>
    <row r="465" spans="1:19">
      <c r="A465" s="159"/>
      <c r="B465" s="159"/>
      <c r="C465" s="159"/>
      <c r="D465" s="159"/>
      <c r="E465" s="159"/>
      <c r="F465" s="159"/>
      <c r="G465" s="145"/>
      <c r="H465" s="145"/>
      <c r="I465" s="145"/>
      <c r="L465" s="145"/>
      <c r="N465" s="159"/>
      <c r="O465" s="159"/>
      <c r="Q465" s="145"/>
      <c r="R465" s="145"/>
      <c r="S465" s="145"/>
    </row>
    <row r="466" spans="1:19">
      <c r="A466" s="159"/>
      <c r="B466" s="159"/>
      <c r="C466" s="159"/>
      <c r="D466" s="159"/>
      <c r="E466" s="159"/>
      <c r="F466" s="159"/>
      <c r="G466" s="145"/>
      <c r="H466" s="145"/>
      <c r="I466" s="145"/>
      <c r="L466" s="145"/>
      <c r="N466" s="159"/>
      <c r="O466" s="159"/>
      <c r="Q466" s="145"/>
      <c r="R466" s="145"/>
      <c r="S466" s="145"/>
    </row>
    <row r="467" spans="1:19">
      <c r="A467" s="159"/>
      <c r="B467" s="159"/>
      <c r="C467" s="159"/>
      <c r="D467" s="159"/>
      <c r="E467" s="159"/>
      <c r="F467" s="159"/>
      <c r="G467" s="145"/>
      <c r="H467" s="145"/>
      <c r="I467" s="145"/>
      <c r="L467" s="145"/>
      <c r="N467" s="159"/>
      <c r="O467" s="159"/>
      <c r="Q467" s="145"/>
      <c r="R467" s="145"/>
      <c r="S467" s="145"/>
    </row>
    <row r="468" spans="1:19">
      <c r="A468" s="159"/>
      <c r="B468" s="159"/>
      <c r="C468" s="159"/>
      <c r="D468" s="159"/>
      <c r="E468" s="159"/>
      <c r="F468" s="159"/>
      <c r="G468" s="145"/>
      <c r="H468" s="145"/>
      <c r="I468" s="145"/>
      <c r="L468" s="145"/>
      <c r="N468" s="159"/>
      <c r="O468" s="159"/>
      <c r="Q468" s="145"/>
      <c r="R468" s="145"/>
      <c r="S468" s="145"/>
    </row>
    <row r="469" spans="1:19">
      <c r="A469" s="159"/>
      <c r="B469" s="159"/>
      <c r="C469" s="159"/>
      <c r="D469" s="159"/>
      <c r="E469" s="159"/>
      <c r="F469" s="159"/>
      <c r="G469" s="145"/>
      <c r="H469" s="145"/>
      <c r="I469" s="145"/>
      <c r="L469" s="145"/>
      <c r="N469" s="159"/>
      <c r="O469" s="159"/>
      <c r="Q469" s="145"/>
      <c r="R469" s="145"/>
      <c r="S469" s="145"/>
    </row>
    <row r="470" spans="1:19">
      <c r="A470" s="159"/>
      <c r="B470" s="159"/>
      <c r="C470" s="159"/>
      <c r="D470" s="159"/>
      <c r="E470" s="159"/>
      <c r="F470" s="159"/>
      <c r="G470" s="145"/>
      <c r="H470" s="145"/>
      <c r="I470" s="145"/>
      <c r="L470" s="145"/>
      <c r="N470" s="159"/>
      <c r="O470" s="159"/>
      <c r="Q470" s="145"/>
      <c r="R470" s="145"/>
      <c r="S470" s="145"/>
    </row>
    <row r="471" spans="1:19">
      <c r="A471" s="159"/>
      <c r="B471" s="159"/>
      <c r="C471" s="159"/>
      <c r="D471" s="159"/>
      <c r="E471" s="159"/>
      <c r="F471" s="159"/>
      <c r="G471" s="145"/>
      <c r="H471" s="145"/>
      <c r="I471" s="145"/>
      <c r="L471" s="145"/>
      <c r="N471" s="159"/>
      <c r="O471" s="159"/>
      <c r="Q471" s="145"/>
      <c r="R471" s="145"/>
      <c r="S471" s="145"/>
    </row>
    <row r="472" spans="1:19">
      <c r="A472" s="159"/>
      <c r="B472" s="159"/>
      <c r="C472" s="159"/>
      <c r="D472" s="159"/>
      <c r="E472" s="159"/>
      <c r="F472" s="159"/>
      <c r="G472" s="145"/>
      <c r="H472" s="145"/>
      <c r="I472" s="145"/>
      <c r="L472" s="145"/>
      <c r="N472" s="159"/>
      <c r="O472" s="159"/>
      <c r="Q472" s="145"/>
      <c r="R472" s="145"/>
      <c r="S472" s="145"/>
    </row>
    <row r="473" spans="1:19">
      <c r="A473" s="159"/>
      <c r="B473" s="159"/>
      <c r="C473" s="159"/>
      <c r="D473" s="159"/>
      <c r="E473" s="159"/>
      <c r="F473" s="159"/>
      <c r="G473" s="145"/>
      <c r="H473" s="145"/>
      <c r="I473" s="145"/>
      <c r="L473" s="145"/>
      <c r="N473" s="159"/>
      <c r="O473" s="159"/>
      <c r="Q473" s="145"/>
      <c r="R473" s="145"/>
      <c r="S473" s="145"/>
    </row>
    <row r="474" spans="1:19">
      <c r="A474" s="159"/>
      <c r="B474" s="159"/>
      <c r="C474" s="159"/>
      <c r="D474" s="159"/>
      <c r="E474" s="159"/>
      <c r="F474" s="159"/>
      <c r="G474" s="145"/>
      <c r="H474" s="145"/>
      <c r="I474" s="145"/>
      <c r="L474" s="145"/>
      <c r="N474" s="159"/>
      <c r="O474" s="159"/>
      <c r="Q474" s="145"/>
      <c r="R474" s="145"/>
      <c r="S474" s="145"/>
    </row>
    <row r="475" spans="1:19">
      <c r="A475" s="159"/>
      <c r="B475" s="159"/>
      <c r="C475" s="159"/>
      <c r="D475" s="159"/>
      <c r="E475" s="159"/>
      <c r="F475" s="159"/>
      <c r="G475" s="145"/>
      <c r="H475" s="145"/>
      <c r="I475" s="145"/>
      <c r="L475" s="145"/>
      <c r="N475" s="159"/>
      <c r="O475" s="159"/>
      <c r="Q475" s="145"/>
      <c r="R475" s="145"/>
      <c r="S475" s="145"/>
    </row>
    <row r="476" spans="1:19">
      <c r="A476" s="159"/>
      <c r="B476" s="159"/>
      <c r="C476" s="159"/>
      <c r="D476" s="159"/>
      <c r="E476" s="159"/>
      <c r="F476" s="159"/>
      <c r="G476" s="145"/>
      <c r="H476" s="145"/>
      <c r="I476" s="145"/>
      <c r="L476" s="145"/>
      <c r="N476" s="159"/>
      <c r="O476" s="159"/>
      <c r="Q476" s="145"/>
      <c r="R476" s="145"/>
      <c r="S476" s="145"/>
    </row>
    <row r="477" spans="1:19">
      <c r="A477" s="159"/>
      <c r="B477" s="159"/>
      <c r="C477" s="159"/>
      <c r="D477" s="159"/>
      <c r="E477" s="159"/>
      <c r="F477" s="159"/>
      <c r="G477" s="145"/>
      <c r="H477" s="145"/>
      <c r="I477" s="145"/>
      <c r="L477" s="145"/>
      <c r="N477" s="159"/>
      <c r="O477" s="159"/>
      <c r="Q477" s="145"/>
      <c r="R477" s="145"/>
      <c r="S477" s="145"/>
    </row>
    <row r="478" spans="1:19">
      <c r="A478" s="159"/>
      <c r="B478" s="159"/>
      <c r="C478" s="159"/>
      <c r="D478" s="159"/>
      <c r="E478" s="159"/>
      <c r="F478" s="159"/>
      <c r="G478" s="145"/>
      <c r="H478" s="145"/>
      <c r="I478" s="145"/>
      <c r="L478" s="145"/>
      <c r="N478" s="159"/>
      <c r="O478" s="159"/>
      <c r="Q478" s="145"/>
      <c r="R478" s="145"/>
      <c r="S478" s="145"/>
    </row>
    <row r="479" spans="1:19">
      <c r="A479" s="159"/>
      <c r="B479" s="159"/>
      <c r="C479" s="159"/>
      <c r="D479" s="159"/>
      <c r="E479" s="159"/>
      <c r="F479" s="159"/>
      <c r="G479" s="145"/>
      <c r="H479" s="145"/>
      <c r="I479" s="145"/>
      <c r="L479" s="145"/>
      <c r="N479" s="159"/>
      <c r="O479" s="159"/>
      <c r="Q479" s="145"/>
      <c r="R479" s="145"/>
      <c r="S479" s="145"/>
    </row>
    <row r="480" spans="1:19">
      <c r="A480" s="159"/>
      <c r="B480" s="159"/>
      <c r="C480" s="159"/>
      <c r="D480" s="159"/>
      <c r="E480" s="159"/>
      <c r="F480" s="159"/>
      <c r="G480" s="145"/>
      <c r="H480" s="145"/>
      <c r="I480" s="145"/>
      <c r="L480" s="145"/>
      <c r="N480" s="159"/>
      <c r="O480" s="159"/>
      <c r="Q480" s="145"/>
      <c r="R480" s="145"/>
      <c r="S480" s="145"/>
    </row>
    <row r="481" spans="1:19">
      <c r="A481" s="159"/>
      <c r="B481" s="159"/>
      <c r="C481" s="159"/>
      <c r="D481" s="159"/>
      <c r="E481" s="159"/>
      <c r="F481" s="159"/>
      <c r="G481" s="145"/>
      <c r="H481" s="145"/>
      <c r="I481" s="145"/>
      <c r="L481" s="145"/>
      <c r="N481" s="159"/>
      <c r="O481" s="159"/>
      <c r="Q481" s="145"/>
      <c r="R481" s="145"/>
      <c r="S481" s="145"/>
    </row>
    <row r="482" spans="1:19">
      <c r="A482" s="159"/>
      <c r="B482" s="159"/>
      <c r="C482" s="159"/>
      <c r="D482" s="159"/>
      <c r="E482" s="159"/>
      <c r="F482" s="159"/>
      <c r="G482" s="145"/>
      <c r="H482" s="145"/>
      <c r="I482" s="145"/>
      <c r="L482" s="145"/>
      <c r="N482" s="159"/>
      <c r="O482" s="159"/>
      <c r="Q482" s="145"/>
      <c r="R482" s="145"/>
      <c r="S482" s="145"/>
    </row>
    <row r="483" spans="1:19">
      <c r="A483" s="159"/>
      <c r="B483" s="159"/>
      <c r="C483" s="159"/>
      <c r="D483" s="159"/>
      <c r="E483" s="159"/>
      <c r="F483" s="159"/>
      <c r="G483" s="145"/>
      <c r="H483" s="145"/>
      <c r="I483" s="145"/>
      <c r="L483" s="145"/>
      <c r="N483" s="159"/>
      <c r="O483" s="159"/>
      <c r="Q483" s="145"/>
      <c r="R483" s="145"/>
      <c r="S483" s="145"/>
    </row>
    <row r="484" spans="1:19">
      <c r="A484" s="159"/>
      <c r="B484" s="159"/>
      <c r="C484" s="159"/>
      <c r="D484" s="159"/>
      <c r="E484" s="159"/>
      <c r="F484" s="159"/>
      <c r="G484" s="145"/>
      <c r="H484" s="145"/>
      <c r="I484" s="145"/>
      <c r="L484" s="145"/>
      <c r="N484" s="159"/>
      <c r="O484" s="159"/>
      <c r="Q484" s="145"/>
      <c r="R484" s="145"/>
      <c r="S484" s="145"/>
    </row>
    <row r="485" spans="1:19">
      <c r="A485" s="159"/>
      <c r="B485" s="159"/>
      <c r="C485" s="159"/>
      <c r="D485" s="159"/>
      <c r="E485" s="159"/>
      <c r="F485" s="159"/>
      <c r="G485" s="145"/>
      <c r="H485" s="145"/>
      <c r="I485" s="145"/>
      <c r="L485" s="145"/>
      <c r="N485" s="159"/>
      <c r="O485" s="159"/>
      <c r="Q485" s="145"/>
      <c r="R485" s="145"/>
      <c r="S485" s="145"/>
    </row>
    <row r="486" spans="1:19">
      <c r="A486" s="159"/>
      <c r="B486" s="159"/>
      <c r="C486" s="159"/>
      <c r="D486" s="159"/>
      <c r="E486" s="159"/>
      <c r="F486" s="159"/>
      <c r="G486" s="145"/>
      <c r="H486" s="145"/>
      <c r="I486" s="145"/>
      <c r="L486" s="145"/>
      <c r="N486" s="159"/>
      <c r="O486" s="159"/>
      <c r="Q486" s="145"/>
      <c r="R486" s="145"/>
      <c r="S486" s="145"/>
    </row>
    <row r="487" spans="1:19">
      <c r="A487" s="159"/>
      <c r="B487" s="159"/>
      <c r="C487" s="159"/>
      <c r="D487" s="159"/>
      <c r="E487" s="159"/>
      <c r="F487" s="159"/>
      <c r="G487" s="145"/>
      <c r="H487" s="145"/>
      <c r="I487" s="145"/>
      <c r="L487" s="145"/>
      <c r="N487" s="159"/>
      <c r="O487" s="159"/>
      <c r="Q487" s="145"/>
      <c r="R487" s="145"/>
      <c r="S487" s="145"/>
    </row>
    <row r="488" spans="1:19">
      <c r="A488" s="159"/>
      <c r="B488" s="159"/>
      <c r="C488" s="159"/>
      <c r="D488" s="159"/>
      <c r="E488" s="159"/>
      <c r="F488" s="159"/>
      <c r="G488" s="145"/>
      <c r="H488" s="145"/>
      <c r="I488" s="145"/>
      <c r="L488" s="145"/>
      <c r="N488" s="159"/>
      <c r="O488" s="159"/>
      <c r="Q488" s="145"/>
      <c r="R488" s="145"/>
      <c r="S488" s="145"/>
    </row>
    <row r="489" spans="1:19">
      <c r="A489" s="159"/>
      <c r="B489" s="159"/>
      <c r="C489" s="159"/>
      <c r="D489" s="159"/>
      <c r="E489" s="159"/>
      <c r="F489" s="159"/>
      <c r="G489" s="145"/>
      <c r="H489" s="145"/>
      <c r="I489" s="145"/>
      <c r="L489" s="145"/>
      <c r="N489" s="159"/>
      <c r="O489" s="159"/>
      <c r="Q489" s="145"/>
      <c r="R489" s="145"/>
      <c r="S489" s="145"/>
    </row>
    <row r="490" spans="1:19">
      <c r="A490" s="159"/>
      <c r="B490" s="159"/>
      <c r="C490" s="159"/>
      <c r="D490" s="159"/>
      <c r="E490" s="159"/>
      <c r="F490" s="159"/>
      <c r="G490" s="145"/>
      <c r="H490" s="145"/>
      <c r="I490" s="145"/>
      <c r="L490" s="145"/>
      <c r="N490" s="159"/>
      <c r="O490" s="159"/>
      <c r="Q490" s="145"/>
      <c r="R490" s="145"/>
      <c r="S490" s="145"/>
    </row>
    <row r="491" spans="1:19">
      <c r="A491" s="159"/>
      <c r="B491" s="159"/>
      <c r="C491" s="159"/>
      <c r="D491" s="159"/>
      <c r="E491" s="159"/>
      <c r="F491" s="159"/>
      <c r="G491" s="145"/>
      <c r="H491" s="145"/>
      <c r="I491" s="145"/>
      <c r="L491" s="145"/>
      <c r="N491" s="159"/>
      <c r="O491" s="159"/>
      <c r="Q491" s="145"/>
      <c r="R491" s="145"/>
      <c r="S491" s="145"/>
    </row>
    <row r="492" spans="1:19">
      <c r="A492" s="159"/>
      <c r="B492" s="159"/>
      <c r="C492" s="159"/>
      <c r="D492" s="159"/>
      <c r="E492" s="159"/>
      <c r="F492" s="159"/>
      <c r="G492" s="145"/>
      <c r="H492" s="145"/>
      <c r="I492" s="145"/>
      <c r="L492" s="145"/>
      <c r="N492" s="159"/>
      <c r="O492" s="159"/>
      <c r="Q492" s="145"/>
      <c r="R492" s="145"/>
      <c r="S492" s="145"/>
    </row>
    <row r="493" spans="1:19">
      <c r="A493" s="159"/>
      <c r="B493" s="159"/>
      <c r="C493" s="159"/>
      <c r="D493" s="159"/>
      <c r="E493" s="159"/>
      <c r="F493" s="159"/>
      <c r="G493" s="145"/>
      <c r="H493" s="145"/>
      <c r="I493" s="145"/>
      <c r="L493" s="145"/>
      <c r="N493" s="159"/>
      <c r="O493" s="159"/>
      <c r="Q493" s="145"/>
      <c r="R493" s="145"/>
      <c r="S493" s="145"/>
    </row>
    <row r="494" spans="1:19">
      <c r="A494" s="159"/>
      <c r="B494" s="159"/>
      <c r="C494" s="159"/>
      <c r="D494" s="159"/>
      <c r="E494" s="159"/>
      <c r="F494" s="159"/>
      <c r="G494" s="145"/>
      <c r="H494" s="145"/>
      <c r="I494" s="145"/>
      <c r="L494" s="145"/>
      <c r="N494" s="159"/>
      <c r="O494" s="159"/>
      <c r="Q494" s="145"/>
      <c r="R494" s="145"/>
      <c r="S494" s="145"/>
    </row>
    <row r="495" spans="1:19">
      <c r="A495" s="159"/>
      <c r="B495" s="159"/>
      <c r="C495" s="159"/>
      <c r="D495" s="159"/>
      <c r="E495" s="159"/>
      <c r="F495" s="159"/>
      <c r="G495" s="145"/>
      <c r="H495" s="145"/>
      <c r="I495" s="145"/>
      <c r="L495" s="145"/>
      <c r="N495" s="159"/>
      <c r="O495" s="159"/>
      <c r="Q495" s="145"/>
      <c r="R495" s="145"/>
      <c r="S495" s="145"/>
    </row>
    <row r="496" spans="1:19">
      <c r="A496" s="159"/>
      <c r="B496" s="159"/>
      <c r="C496" s="159"/>
      <c r="D496" s="159"/>
      <c r="E496" s="159"/>
      <c r="F496" s="159"/>
      <c r="G496" s="145"/>
      <c r="H496" s="145"/>
      <c r="I496" s="145"/>
      <c r="L496" s="145"/>
      <c r="N496" s="159"/>
      <c r="O496" s="159"/>
      <c r="Q496" s="145"/>
      <c r="R496" s="145"/>
      <c r="S496" s="145"/>
    </row>
    <row r="497" spans="1:19">
      <c r="A497" s="159"/>
      <c r="B497" s="159"/>
      <c r="C497" s="159"/>
      <c r="D497" s="159"/>
      <c r="E497" s="159"/>
      <c r="F497" s="159"/>
      <c r="G497" s="145"/>
      <c r="H497" s="145"/>
      <c r="I497" s="145"/>
      <c r="L497" s="145"/>
      <c r="N497" s="159"/>
      <c r="O497" s="159"/>
      <c r="Q497" s="145"/>
      <c r="R497" s="145"/>
      <c r="S497" s="145"/>
    </row>
    <row r="498" spans="1:19">
      <c r="A498" s="159"/>
      <c r="B498" s="159"/>
      <c r="C498" s="159"/>
      <c r="D498" s="159"/>
      <c r="E498" s="159"/>
      <c r="F498" s="159"/>
      <c r="G498" s="145"/>
      <c r="H498" s="145"/>
      <c r="I498" s="145"/>
      <c r="L498" s="145"/>
      <c r="N498" s="159"/>
      <c r="O498" s="159"/>
      <c r="Q498" s="145"/>
      <c r="R498" s="145"/>
      <c r="S498" s="145"/>
    </row>
    <row r="499" spans="1:19">
      <c r="A499" s="159"/>
      <c r="B499" s="159"/>
      <c r="C499" s="159"/>
      <c r="D499" s="159"/>
      <c r="E499" s="159"/>
      <c r="F499" s="159"/>
      <c r="G499" s="145"/>
      <c r="H499" s="145"/>
      <c r="I499" s="145"/>
      <c r="L499" s="145"/>
      <c r="N499" s="159"/>
      <c r="O499" s="159"/>
      <c r="Q499" s="145"/>
      <c r="R499" s="145"/>
      <c r="S499" s="145"/>
    </row>
    <row r="500" spans="1:19">
      <c r="A500" s="159"/>
      <c r="B500" s="159"/>
      <c r="C500" s="159"/>
      <c r="D500" s="159"/>
      <c r="E500" s="159"/>
      <c r="F500" s="159"/>
      <c r="G500" s="145"/>
      <c r="H500" s="145"/>
      <c r="I500" s="145"/>
      <c r="L500" s="145"/>
      <c r="N500" s="159"/>
      <c r="O500" s="159"/>
      <c r="Q500" s="145"/>
      <c r="R500" s="145"/>
      <c r="S500" s="145"/>
    </row>
    <row r="501" spans="1:19">
      <c r="A501" s="159"/>
      <c r="B501" s="159"/>
      <c r="C501" s="159"/>
      <c r="D501" s="159"/>
      <c r="E501" s="159"/>
      <c r="F501" s="159"/>
      <c r="G501" s="145"/>
      <c r="H501" s="145"/>
      <c r="I501" s="145"/>
      <c r="L501" s="145"/>
      <c r="N501" s="159"/>
      <c r="O501" s="159"/>
      <c r="Q501" s="145"/>
      <c r="R501" s="145"/>
      <c r="S501" s="145"/>
    </row>
    <row r="502" spans="1:19">
      <c r="A502" s="159"/>
      <c r="B502" s="159"/>
      <c r="C502" s="159"/>
      <c r="D502" s="159"/>
      <c r="E502" s="159"/>
      <c r="F502" s="159"/>
      <c r="G502" s="145"/>
      <c r="H502" s="145"/>
      <c r="I502" s="145"/>
      <c r="L502" s="145"/>
      <c r="N502" s="159"/>
      <c r="O502" s="159"/>
      <c r="Q502" s="145"/>
      <c r="R502" s="145"/>
      <c r="S502" s="145"/>
    </row>
    <row r="503" spans="1:19">
      <c r="A503" s="159"/>
      <c r="B503" s="159"/>
      <c r="C503" s="159"/>
      <c r="D503" s="159"/>
      <c r="E503" s="159"/>
      <c r="F503" s="159"/>
      <c r="G503" s="145"/>
      <c r="H503" s="145"/>
      <c r="I503" s="145"/>
      <c r="L503" s="145"/>
      <c r="N503" s="159"/>
      <c r="O503" s="159"/>
      <c r="Q503" s="145"/>
      <c r="R503" s="145"/>
      <c r="S503" s="145"/>
    </row>
    <row r="504" spans="1:19">
      <c r="A504" s="159"/>
      <c r="B504" s="159"/>
      <c r="C504" s="159"/>
      <c r="D504" s="159"/>
      <c r="E504" s="159"/>
      <c r="F504" s="159"/>
      <c r="G504" s="145"/>
      <c r="H504" s="145"/>
      <c r="I504" s="145"/>
      <c r="L504" s="145"/>
      <c r="N504" s="159"/>
      <c r="O504" s="159"/>
      <c r="Q504" s="145"/>
      <c r="R504" s="145"/>
      <c r="S504" s="145"/>
    </row>
    <row r="505" spans="1:19">
      <c r="A505" s="159"/>
      <c r="B505" s="159"/>
      <c r="C505" s="159"/>
      <c r="D505" s="159"/>
      <c r="E505" s="159"/>
      <c r="F505" s="159"/>
      <c r="G505" s="145"/>
      <c r="H505" s="145"/>
      <c r="I505" s="145"/>
      <c r="L505" s="145"/>
      <c r="N505" s="159"/>
      <c r="O505" s="159"/>
      <c r="Q505" s="145"/>
      <c r="R505" s="145"/>
      <c r="S505" s="145"/>
    </row>
    <row r="506" spans="1:19">
      <c r="A506" s="159"/>
      <c r="B506" s="159"/>
      <c r="C506" s="159"/>
      <c r="D506" s="159"/>
      <c r="E506" s="159"/>
      <c r="F506" s="159"/>
      <c r="G506" s="145"/>
      <c r="H506" s="145"/>
      <c r="I506" s="145"/>
      <c r="L506" s="145"/>
      <c r="N506" s="159"/>
      <c r="O506" s="159"/>
      <c r="Q506" s="145"/>
      <c r="R506" s="145"/>
      <c r="S506" s="145"/>
    </row>
    <row r="507" spans="1:19">
      <c r="A507" s="159"/>
      <c r="B507" s="159"/>
      <c r="C507" s="159"/>
      <c r="D507" s="159"/>
      <c r="E507" s="159"/>
      <c r="F507" s="159"/>
      <c r="G507" s="145"/>
      <c r="H507" s="145"/>
      <c r="I507" s="145"/>
      <c r="L507" s="145"/>
      <c r="N507" s="159"/>
      <c r="O507" s="159"/>
      <c r="Q507" s="145"/>
      <c r="R507" s="145"/>
      <c r="S507" s="145"/>
    </row>
    <row r="508" spans="1:19">
      <c r="A508" s="159"/>
      <c r="B508" s="159"/>
      <c r="C508" s="159"/>
      <c r="D508" s="159"/>
      <c r="E508" s="159"/>
      <c r="F508" s="159"/>
      <c r="G508" s="145"/>
      <c r="H508" s="145"/>
      <c r="I508" s="145"/>
      <c r="L508" s="145"/>
      <c r="N508" s="159"/>
      <c r="O508" s="159"/>
      <c r="Q508" s="145"/>
      <c r="R508" s="145"/>
      <c r="S508" s="145"/>
    </row>
    <row r="509" spans="1:19">
      <c r="A509" s="159"/>
      <c r="B509" s="159"/>
      <c r="C509" s="159"/>
      <c r="D509" s="159"/>
      <c r="E509" s="159"/>
      <c r="F509" s="159"/>
      <c r="G509" s="145"/>
      <c r="H509" s="145"/>
      <c r="I509" s="145"/>
      <c r="L509" s="145"/>
      <c r="N509" s="159"/>
      <c r="O509" s="159"/>
      <c r="Q509" s="145"/>
      <c r="R509" s="145"/>
      <c r="S509" s="145"/>
    </row>
    <row r="510" spans="1:19">
      <c r="A510" s="159"/>
      <c r="B510" s="159"/>
      <c r="C510" s="159"/>
      <c r="D510" s="159"/>
      <c r="E510" s="159"/>
      <c r="F510" s="159"/>
      <c r="G510" s="145"/>
      <c r="H510" s="145"/>
      <c r="I510" s="145"/>
      <c r="L510" s="145"/>
      <c r="N510" s="159"/>
      <c r="O510" s="159"/>
      <c r="Q510" s="145"/>
      <c r="R510" s="145"/>
      <c r="S510" s="145"/>
    </row>
    <row r="511" spans="1:19">
      <c r="A511" s="159"/>
      <c r="B511" s="159"/>
      <c r="C511" s="159"/>
      <c r="D511" s="159"/>
      <c r="E511" s="159"/>
      <c r="F511" s="159"/>
      <c r="G511" s="145"/>
      <c r="H511" s="145"/>
      <c r="I511" s="145"/>
      <c r="L511" s="145"/>
      <c r="N511" s="159"/>
      <c r="O511" s="159"/>
      <c r="Q511" s="145"/>
      <c r="R511" s="145"/>
      <c r="S511" s="145"/>
    </row>
    <row r="512" spans="1:19">
      <c r="A512" s="159"/>
      <c r="B512" s="159"/>
      <c r="C512" s="159"/>
      <c r="D512" s="159"/>
      <c r="E512" s="159"/>
      <c r="F512" s="159"/>
      <c r="G512" s="145"/>
      <c r="H512" s="145"/>
      <c r="I512" s="145"/>
      <c r="L512" s="145"/>
      <c r="N512" s="159"/>
      <c r="O512" s="159"/>
      <c r="Q512" s="145"/>
      <c r="R512" s="145"/>
      <c r="S512" s="145"/>
    </row>
    <row r="513" spans="1:19">
      <c r="A513" s="159"/>
      <c r="B513" s="159"/>
      <c r="C513" s="159"/>
      <c r="D513" s="159"/>
      <c r="E513" s="159"/>
      <c r="F513" s="159"/>
      <c r="G513" s="145"/>
      <c r="H513" s="145"/>
      <c r="I513" s="145"/>
      <c r="L513" s="145"/>
      <c r="N513" s="159"/>
      <c r="O513" s="159"/>
      <c r="Q513" s="145"/>
      <c r="R513" s="145"/>
      <c r="S513" s="145"/>
    </row>
    <row r="514" spans="1:19">
      <c r="A514" s="159"/>
      <c r="B514" s="159"/>
      <c r="C514" s="159"/>
      <c r="D514" s="159"/>
      <c r="E514" s="159"/>
      <c r="F514" s="159"/>
      <c r="G514" s="145"/>
      <c r="H514" s="145"/>
      <c r="I514" s="145"/>
      <c r="L514" s="145"/>
      <c r="N514" s="159"/>
      <c r="O514" s="159"/>
      <c r="Q514" s="145"/>
      <c r="R514" s="145"/>
      <c r="S514" s="145"/>
    </row>
    <row r="515" spans="1:19">
      <c r="A515" s="159"/>
      <c r="B515" s="159"/>
      <c r="C515" s="159"/>
      <c r="D515" s="159"/>
      <c r="E515" s="159"/>
      <c r="F515" s="159"/>
      <c r="G515" s="145"/>
      <c r="H515" s="145"/>
      <c r="I515" s="145"/>
      <c r="L515" s="145"/>
      <c r="N515" s="159"/>
      <c r="O515" s="159"/>
      <c r="Q515" s="145"/>
      <c r="R515" s="145"/>
      <c r="S515" s="145"/>
    </row>
    <row r="516" spans="1:19">
      <c r="A516" s="159"/>
      <c r="B516" s="159"/>
      <c r="C516" s="159"/>
      <c r="D516" s="159"/>
      <c r="E516" s="159"/>
      <c r="F516" s="159"/>
      <c r="G516" s="145"/>
      <c r="H516" s="145"/>
      <c r="I516" s="145"/>
      <c r="L516" s="145"/>
      <c r="N516" s="159"/>
      <c r="O516" s="159"/>
      <c r="Q516" s="145"/>
      <c r="R516" s="145"/>
      <c r="S516" s="145"/>
    </row>
    <row r="517" spans="1:19">
      <c r="A517" s="159"/>
      <c r="B517" s="159"/>
      <c r="C517" s="159"/>
      <c r="D517" s="159"/>
      <c r="E517" s="159"/>
      <c r="F517" s="159"/>
      <c r="G517" s="145"/>
      <c r="H517" s="145"/>
      <c r="I517" s="145"/>
      <c r="L517" s="145"/>
      <c r="N517" s="159"/>
      <c r="O517" s="159"/>
      <c r="Q517" s="145"/>
      <c r="R517" s="145"/>
      <c r="S517" s="145"/>
    </row>
    <row r="518" spans="1:19">
      <c r="A518" s="159"/>
      <c r="B518" s="159"/>
      <c r="C518" s="159"/>
      <c r="D518" s="159"/>
      <c r="E518" s="159"/>
      <c r="F518" s="159"/>
      <c r="G518" s="145"/>
      <c r="H518" s="145"/>
      <c r="I518" s="145"/>
      <c r="L518" s="145"/>
      <c r="N518" s="159"/>
      <c r="O518" s="159"/>
      <c r="Q518" s="145"/>
      <c r="R518" s="145"/>
      <c r="S518" s="145"/>
    </row>
    <row r="519" spans="1:19">
      <c r="A519" s="159"/>
      <c r="B519" s="159"/>
      <c r="C519" s="159"/>
      <c r="D519" s="159"/>
      <c r="E519" s="159"/>
      <c r="F519" s="159"/>
      <c r="G519" s="145"/>
      <c r="H519" s="145"/>
      <c r="I519" s="145"/>
      <c r="L519" s="145"/>
      <c r="N519" s="159"/>
      <c r="O519" s="159"/>
      <c r="Q519" s="145"/>
      <c r="R519" s="145"/>
      <c r="S519" s="145"/>
    </row>
    <row r="520" spans="1:19">
      <c r="A520" s="159"/>
      <c r="B520" s="159"/>
      <c r="C520" s="159"/>
      <c r="D520" s="159"/>
      <c r="E520" s="159"/>
      <c r="F520" s="159"/>
      <c r="G520" s="145"/>
      <c r="H520" s="145"/>
      <c r="I520" s="145"/>
      <c r="L520" s="145"/>
      <c r="N520" s="159"/>
      <c r="O520" s="159"/>
      <c r="Q520" s="145"/>
      <c r="R520" s="145"/>
      <c r="S520" s="145"/>
    </row>
    <row r="521" spans="1:19">
      <c r="A521" s="159"/>
      <c r="B521" s="159"/>
      <c r="C521" s="159"/>
      <c r="D521" s="159"/>
      <c r="E521" s="159"/>
      <c r="F521" s="159"/>
      <c r="G521" s="145"/>
      <c r="H521" s="145"/>
      <c r="I521" s="145"/>
      <c r="L521" s="145"/>
      <c r="N521" s="159"/>
      <c r="O521" s="159"/>
      <c r="Q521" s="145"/>
      <c r="R521" s="145"/>
      <c r="S521" s="145"/>
    </row>
    <row r="522" spans="1:19">
      <c r="A522" s="159"/>
      <c r="B522" s="159"/>
      <c r="C522" s="159"/>
      <c r="D522" s="159"/>
      <c r="E522" s="159"/>
      <c r="F522" s="159"/>
      <c r="G522" s="145"/>
      <c r="H522" s="145"/>
      <c r="I522" s="145"/>
      <c r="L522" s="145"/>
      <c r="N522" s="159"/>
      <c r="O522" s="159"/>
      <c r="Q522" s="145"/>
      <c r="R522" s="145"/>
      <c r="S522" s="145"/>
    </row>
    <row r="523" spans="1:19">
      <c r="A523" s="159"/>
      <c r="B523" s="159"/>
      <c r="C523" s="159"/>
      <c r="D523" s="159"/>
      <c r="E523" s="159"/>
      <c r="F523" s="159"/>
      <c r="G523" s="145"/>
      <c r="H523" s="145"/>
      <c r="I523" s="145"/>
      <c r="L523" s="145"/>
      <c r="N523" s="159"/>
      <c r="O523" s="159"/>
      <c r="Q523" s="145"/>
      <c r="R523" s="145"/>
      <c r="S523" s="145"/>
    </row>
    <row r="524" spans="1:19">
      <c r="A524" s="159"/>
      <c r="B524" s="159"/>
      <c r="C524" s="159"/>
      <c r="D524" s="159"/>
      <c r="E524" s="159"/>
      <c r="F524" s="159"/>
      <c r="G524" s="145"/>
      <c r="H524" s="145"/>
      <c r="I524" s="145"/>
      <c r="L524" s="145"/>
      <c r="N524" s="159"/>
      <c r="O524" s="159"/>
      <c r="Q524" s="145"/>
      <c r="R524" s="145"/>
      <c r="S524" s="145"/>
    </row>
    <row r="525" spans="1:19">
      <c r="A525" s="159"/>
      <c r="B525" s="159"/>
      <c r="C525" s="159"/>
      <c r="D525" s="159"/>
      <c r="E525" s="159"/>
      <c r="F525" s="159"/>
      <c r="G525" s="145"/>
      <c r="H525" s="145"/>
      <c r="I525" s="145"/>
      <c r="L525" s="145"/>
      <c r="N525" s="159"/>
      <c r="O525" s="159"/>
      <c r="Q525" s="145"/>
      <c r="R525" s="145"/>
      <c r="S525" s="145"/>
    </row>
    <row r="526" spans="1:19">
      <c r="A526" s="159"/>
      <c r="B526" s="159"/>
      <c r="C526" s="159"/>
      <c r="D526" s="159"/>
      <c r="E526" s="159"/>
      <c r="F526" s="159"/>
      <c r="G526" s="145"/>
      <c r="H526" s="145"/>
      <c r="I526" s="145"/>
      <c r="L526" s="145"/>
      <c r="N526" s="159"/>
      <c r="O526" s="159"/>
      <c r="Q526" s="145"/>
      <c r="R526" s="145"/>
      <c r="S526" s="145"/>
    </row>
    <row r="527" spans="1:19">
      <c r="A527" s="159"/>
      <c r="B527" s="159"/>
      <c r="C527" s="159"/>
      <c r="D527" s="159"/>
      <c r="E527" s="159"/>
      <c r="F527" s="159"/>
      <c r="G527" s="145"/>
      <c r="H527" s="145"/>
      <c r="I527" s="145"/>
      <c r="L527" s="145"/>
      <c r="N527" s="159"/>
      <c r="O527" s="159"/>
      <c r="Q527" s="145"/>
      <c r="R527" s="145"/>
      <c r="S527" s="145"/>
    </row>
    <row r="528" spans="1:19">
      <c r="A528" s="159"/>
      <c r="B528" s="159"/>
      <c r="C528" s="159"/>
      <c r="D528" s="159"/>
      <c r="E528" s="159"/>
      <c r="F528" s="159"/>
      <c r="G528" s="145"/>
      <c r="H528" s="145"/>
      <c r="I528" s="145"/>
      <c r="L528" s="145"/>
      <c r="N528" s="159"/>
      <c r="O528" s="159"/>
      <c r="Q528" s="145"/>
      <c r="R528" s="145"/>
      <c r="S528" s="145"/>
    </row>
    <row r="529" spans="1:19">
      <c r="A529" s="159"/>
      <c r="B529" s="159"/>
      <c r="C529" s="159"/>
      <c r="D529" s="159"/>
      <c r="E529" s="159"/>
      <c r="F529" s="159"/>
      <c r="G529" s="145"/>
      <c r="H529" s="145"/>
      <c r="I529" s="145"/>
      <c r="L529" s="145"/>
      <c r="N529" s="159"/>
      <c r="O529" s="159"/>
      <c r="Q529" s="145"/>
      <c r="R529" s="145"/>
      <c r="S529" s="145"/>
    </row>
    <row r="530" spans="1:19">
      <c r="A530" s="159"/>
      <c r="B530" s="159"/>
      <c r="C530" s="159"/>
      <c r="D530" s="159"/>
      <c r="E530" s="159"/>
      <c r="F530" s="159"/>
      <c r="G530" s="145"/>
      <c r="H530" s="145"/>
      <c r="I530" s="145"/>
      <c r="L530" s="145"/>
      <c r="N530" s="159"/>
      <c r="O530" s="159"/>
      <c r="Q530" s="145"/>
      <c r="R530" s="145"/>
      <c r="S530" s="145"/>
    </row>
    <row r="531" spans="1:19">
      <c r="A531" s="159"/>
      <c r="B531" s="159"/>
      <c r="C531" s="159"/>
      <c r="D531" s="159"/>
      <c r="E531" s="159"/>
      <c r="F531" s="159"/>
      <c r="G531" s="145"/>
      <c r="H531" s="145"/>
      <c r="I531" s="145"/>
      <c r="L531" s="145"/>
      <c r="N531" s="159"/>
      <c r="O531" s="159"/>
      <c r="Q531" s="145"/>
      <c r="R531" s="145"/>
      <c r="S531" s="145"/>
    </row>
    <row r="532" spans="1:19">
      <c r="A532" s="159"/>
      <c r="B532" s="159"/>
      <c r="C532" s="159"/>
      <c r="D532" s="159"/>
      <c r="E532" s="159"/>
      <c r="F532" s="159"/>
      <c r="G532" s="145"/>
      <c r="H532" s="145"/>
      <c r="I532" s="145"/>
      <c r="L532" s="145"/>
      <c r="N532" s="159"/>
      <c r="O532" s="159"/>
      <c r="Q532" s="145"/>
      <c r="R532" s="145"/>
      <c r="S532" s="145"/>
    </row>
    <row r="533" spans="1:19">
      <c r="A533" s="159"/>
      <c r="B533" s="159"/>
      <c r="C533" s="159"/>
      <c r="D533" s="159"/>
      <c r="E533" s="159"/>
      <c r="F533" s="159"/>
      <c r="G533" s="145"/>
      <c r="H533" s="145"/>
      <c r="I533" s="145"/>
      <c r="L533" s="145"/>
      <c r="N533" s="159"/>
      <c r="O533" s="159"/>
      <c r="Q533" s="145"/>
      <c r="R533" s="145"/>
      <c r="S533" s="145"/>
    </row>
    <row r="534" spans="1:19">
      <c r="A534" s="159"/>
      <c r="B534" s="159"/>
      <c r="C534" s="159"/>
      <c r="D534" s="159"/>
      <c r="E534" s="159"/>
      <c r="F534" s="159"/>
      <c r="G534" s="145"/>
      <c r="H534" s="145"/>
      <c r="I534" s="145"/>
      <c r="L534" s="145"/>
      <c r="N534" s="159"/>
      <c r="O534" s="159"/>
      <c r="Q534" s="145"/>
      <c r="R534" s="145"/>
      <c r="S534" s="145"/>
    </row>
    <row r="535" spans="1:19">
      <c r="A535" s="159"/>
      <c r="B535" s="159"/>
      <c r="C535" s="159"/>
      <c r="D535" s="159"/>
      <c r="E535" s="159"/>
      <c r="F535" s="159"/>
      <c r="G535" s="145"/>
      <c r="H535" s="145"/>
      <c r="I535" s="145"/>
      <c r="L535" s="145"/>
      <c r="N535" s="159"/>
      <c r="O535" s="159"/>
      <c r="Q535" s="145"/>
      <c r="R535" s="145"/>
      <c r="S535" s="145"/>
    </row>
    <row r="536" spans="1:19">
      <c r="A536" s="159"/>
      <c r="B536" s="159"/>
      <c r="C536" s="159"/>
      <c r="D536" s="159"/>
      <c r="E536" s="159"/>
      <c r="F536" s="159"/>
      <c r="G536" s="145"/>
      <c r="H536" s="145"/>
      <c r="I536" s="145"/>
      <c r="L536" s="145"/>
      <c r="N536" s="159"/>
      <c r="O536" s="159"/>
      <c r="Q536" s="145"/>
      <c r="R536" s="145"/>
      <c r="S536" s="145"/>
    </row>
    <row r="537" spans="1:19">
      <c r="A537" s="159"/>
      <c r="B537" s="159"/>
      <c r="C537" s="159"/>
      <c r="D537" s="159"/>
      <c r="E537" s="159"/>
      <c r="F537" s="159"/>
      <c r="G537" s="145"/>
      <c r="H537" s="145"/>
      <c r="I537" s="145"/>
      <c r="L537" s="145"/>
      <c r="N537" s="159"/>
      <c r="O537" s="159"/>
      <c r="Q537" s="145"/>
      <c r="R537" s="145"/>
      <c r="S537" s="145"/>
    </row>
    <row r="538" spans="1:19">
      <c r="A538" s="159"/>
      <c r="B538" s="159"/>
      <c r="C538" s="159"/>
      <c r="D538" s="159"/>
      <c r="E538" s="159"/>
      <c r="F538" s="159"/>
      <c r="G538" s="145"/>
      <c r="H538" s="145"/>
      <c r="I538" s="145"/>
      <c r="L538" s="145"/>
      <c r="N538" s="159"/>
      <c r="O538" s="159"/>
      <c r="Q538" s="145"/>
      <c r="R538" s="145"/>
      <c r="S538" s="145"/>
    </row>
    <row r="539" spans="1:19">
      <c r="A539" s="159"/>
      <c r="B539" s="159"/>
      <c r="C539" s="159"/>
      <c r="D539" s="159"/>
      <c r="E539" s="159"/>
      <c r="F539" s="159"/>
      <c r="G539" s="145"/>
      <c r="H539" s="145"/>
      <c r="I539" s="145"/>
      <c r="L539" s="145"/>
      <c r="N539" s="159"/>
      <c r="O539" s="159"/>
      <c r="Q539" s="145"/>
      <c r="R539" s="145"/>
      <c r="S539" s="145"/>
    </row>
    <row r="540" spans="1:19">
      <c r="A540" s="159"/>
      <c r="B540" s="159"/>
      <c r="C540" s="159"/>
      <c r="D540" s="159"/>
      <c r="E540" s="159"/>
      <c r="F540" s="159"/>
      <c r="G540" s="145"/>
      <c r="H540" s="145"/>
      <c r="I540" s="145"/>
      <c r="L540" s="145"/>
      <c r="N540" s="159"/>
      <c r="O540" s="159"/>
      <c r="Q540" s="145"/>
      <c r="R540" s="145"/>
      <c r="S540" s="145"/>
    </row>
    <row r="541" spans="1:19">
      <c r="A541" s="159"/>
      <c r="B541" s="159"/>
      <c r="C541" s="159"/>
      <c r="D541" s="159"/>
      <c r="E541" s="159"/>
      <c r="F541" s="159"/>
      <c r="G541" s="145"/>
      <c r="H541" s="145"/>
      <c r="I541" s="145"/>
      <c r="L541" s="145"/>
      <c r="N541" s="159"/>
      <c r="O541" s="159"/>
      <c r="Q541" s="145"/>
      <c r="R541" s="145"/>
      <c r="S541" s="145"/>
    </row>
    <row r="542" spans="1:19">
      <c r="A542" s="159"/>
      <c r="B542" s="159"/>
      <c r="C542" s="159"/>
      <c r="D542" s="159"/>
      <c r="E542" s="159"/>
      <c r="F542" s="159"/>
      <c r="G542" s="145"/>
      <c r="H542" s="145"/>
      <c r="I542" s="145"/>
      <c r="L542" s="145"/>
      <c r="N542" s="159"/>
      <c r="O542" s="159"/>
      <c r="Q542" s="145"/>
      <c r="R542" s="145"/>
      <c r="S542" s="145"/>
    </row>
    <row r="543" spans="1:19">
      <c r="A543" s="159"/>
      <c r="B543" s="159"/>
      <c r="C543" s="159"/>
      <c r="D543" s="159"/>
      <c r="E543" s="159"/>
      <c r="F543" s="159"/>
      <c r="G543" s="145"/>
      <c r="H543" s="145"/>
      <c r="I543" s="145"/>
      <c r="L543" s="145"/>
      <c r="N543" s="159"/>
      <c r="O543" s="159"/>
      <c r="Q543" s="145"/>
      <c r="R543" s="145"/>
      <c r="S543" s="145"/>
    </row>
    <row r="544" spans="1:19">
      <c r="A544" s="159"/>
      <c r="B544" s="159"/>
      <c r="C544" s="159"/>
      <c r="D544" s="159"/>
      <c r="E544" s="159"/>
      <c r="F544" s="159"/>
      <c r="G544" s="145"/>
      <c r="H544" s="145"/>
      <c r="I544" s="145"/>
      <c r="L544" s="145"/>
      <c r="N544" s="159"/>
      <c r="O544" s="159"/>
      <c r="Q544" s="145"/>
      <c r="R544" s="145"/>
      <c r="S544" s="145"/>
    </row>
    <row r="545" spans="1:19">
      <c r="A545" s="159"/>
      <c r="B545" s="159"/>
      <c r="C545" s="159"/>
      <c r="D545" s="159"/>
      <c r="E545" s="159"/>
      <c r="F545" s="159"/>
      <c r="G545" s="145"/>
      <c r="H545" s="145"/>
      <c r="I545" s="145"/>
      <c r="L545" s="145"/>
      <c r="N545" s="159"/>
      <c r="O545" s="159"/>
      <c r="Q545" s="145"/>
      <c r="R545" s="145"/>
      <c r="S545" s="145"/>
    </row>
    <row r="546" spans="1:19">
      <c r="A546" s="159"/>
      <c r="B546" s="159"/>
      <c r="C546" s="159"/>
      <c r="D546" s="159"/>
      <c r="E546" s="159"/>
      <c r="F546" s="159"/>
      <c r="G546" s="145"/>
      <c r="H546" s="145"/>
      <c r="I546" s="145"/>
      <c r="L546" s="145"/>
      <c r="N546" s="159"/>
      <c r="O546" s="159"/>
      <c r="Q546" s="145"/>
      <c r="R546" s="145"/>
      <c r="S546" s="145"/>
    </row>
    <row r="547" spans="1:19">
      <c r="A547" s="159"/>
      <c r="B547" s="159"/>
      <c r="C547" s="159"/>
      <c r="D547" s="159"/>
      <c r="E547" s="159"/>
      <c r="F547" s="159"/>
      <c r="G547" s="145"/>
      <c r="H547" s="145"/>
      <c r="I547" s="145"/>
      <c r="L547" s="145"/>
      <c r="N547" s="159"/>
      <c r="O547" s="159"/>
      <c r="Q547" s="145"/>
      <c r="R547" s="145"/>
      <c r="S547" s="145"/>
    </row>
    <row r="548" spans="1:19">
      <c r="A548" s="159"/>
      <c r="B548" s="159"/>
      <c r="C548" s="159"/>
      <c r="D548" s="159"/>
      <c r="E548" s="159"/>
      <c r="F548" s="159"/>
      <c r="G548" s="145"/>
      <c r="H548" s="145"/>
      <c r="I548" s="145"/>
      <c r="L548" s="145"/>
      <c r="N548" s="159"/>
      <c r="O548" s="159"/>
      <c r="Q548" s="145"/>
      <c r="R548" s="145"/>
      <c r="S548" s="145"/>
    </row>
    <row r="549" spans="1:19">
      <c r="A549" s="159"/>
      <c r="B549" s="159"/>
      <c r="C549" s="159"/>
      <c r="D549" s="159"/>
      <c r="E549" s="159"/>
      <c r="F549" s="159"/>
      <c r="G549" s="145"/>
      <c r="H549" s="145"/>
      <c r="I549" s="145"/>
      <c r="L549" s="145"/>
      <c r="N549" s="159"/>
      <c r="O549" s="159"/>
      <c r="Q549" s="145"/>
      <c r="R549" s="145"/>
      <c r="S549" s="145"/>
    </row>
    <row r="550" spans="1:19">
      <c r="A550" s="159"/>
      <c r="B550" s="159"/>
      <c r="C550" s="159"/>
      <c r="D550" s="159"/>
      <c r="E550" s="159"/>
      <c r="F550" s="159"/>
      <c r="G550" s="145"/>
      <c r="H550" s="145"/>
      <c r="I550" s="145"/>
      <c r="L550" s="145"/>
      <c r="N550" s="159"/>
      <c r="O550" s="159"/>
      <c r="Q550" s="145"/>
      <c r="R550" s="145"/>
      <c r="S550" s="145"/>
    </row>
    <row r="551" spans="1:19">
      <c r="A551" s="159"/>
      <c r="B551" s="159"/>
      <c r="C551" s="159"/>
      <c r="D551" s="159"/>
      <c r="E551" s="159"/>
      <c r="F551" s="159"/>
      <c r="G551" s="145"/>
      <c r="H551" s="145"/>
      <c r="I551" s="145"/>
      <c r="L551" s="145"/>
      <c r="N551" s="159"/>
      <c r="O551" s="159"/>
      <c r="Q551" s="145"/>
      <c r="R551" s="145"/>
      <c r="S551" s="145"/>
    </row>
    <row r="552" spans="1:19">
      <c r="A552" s="159"/>
      <c r="B552" s="159"/>
      <c r="C552" s="159"/>
      <c r="D552" s="159"/>
      <c r="E552" s="159"/>
      <c r="F552" s="159"/>
      <c r="G552" s="145"/>
      <c r="H552" s="145"/>
      <c r="I552" s="145"/>
      <c r="L552" s="145"/>
      <c r="N552" s="159"/>
      <c r="O552" s="159"/>
      <c r="Q552" s="145"/>
      <c r="R552" s="145"/>
      <c r="S552" s="145"/>
    </row>
    <row r="553" spans="1:19">
      <c r="A553" s="159"/>
      <c r="B553" s="159"/>
      <c r="C553" s="159"/>
      <c r="D553" s="159"/>
      <c r="E553" s="159"/>
      <c r="F553" s="159"/>
      <c r="G553" s="145"/>
      <c r="H553" s="145"/>
      <c r="I553" s="145"/>
      <c r="L553" s="145"/>
      <c r="N553" s="159"/>
      <c r="O553" s="159"/>
      <c r="Q553" s="145"/>
      <c r="R553" s="145"/>
      <c r="S553" s="145"/>
    </row>
    <row r="554" spans="1:19">
      <c r="A554" s="159"/>
      <c r="B554" s="159"/>
      <c r="C554" s="159"/>
      <c r="D554" s="159"/>
      <c r="E554" s="159"/>
      <c r="F554" s="159"/>
      <c r="G554" s="145"/>
      <c r="H554" s="145"/>
      <c r="I554" s="145"/>
      <c r="L554" s="145"/>
      <c r="N554" s="159"/>
      <c r="O554" s="159"/>
      <c r="Q554" s="145"/>
      <c r="R554" s="145"/>
      <c r="S554" s="145"/>
    </row>
    <row r="555" spans="1:19">
      <c r="A555" s="159"/>
      <c r="B555" s="159"/>
      <c r="C555" s="159"/>
      <c r="D555" s="159"/>
      <c r="E555" s="159"/>
      <c r="F555" s="159"/>
      <c r="G555" s="145"/>
      <c r="H555" s="145"/>
      <c r="I555" s="145"/>
      <c r="L555" s="145"/>
      <c r="N555" s="159"/>
      <c r="O555" s="159"/>
      <c r="Q555" s="145"/>
      <c r="R555" s="145"/>
      <c r="S555" s="145"/>
    </row>
    <row r="556" spans="1:19">
      <c r="A556" s="159"/>
      <c r="B556" s="159"/>
      <c r="C556" s="159"/>
      <c r="D556" s="159"/>
      <c r="E556" s="159"/>
      <c r="F556" s="159"/>
      <c r="G556" s="145"/>
      <c r="H556" s="145"/>
      <c r="I556" s="145"/>
      <c r="L556" s="145"/>
      <c r="N556" s="159"/>
      <c r="O556" s="159"/>
      <c r="Q556" s="145"/>
      <c r="R556" s="145"/>
      <c r="S556" s="145"/>
    </row>
    <row r="557" spans="1:19">
      <c r="A557" s="159"/>
      <c r="B557" s="159"/>
      <c r="C557" s="159"/>
      <c r="D557" s="159"/>
      <c r="E557" s="159"/>
      <c r="F557" s="159"/>
      <c r="G557" s="145"/>
      <c r="H557" s="145"/>
      <c r="I557" s="145"/>
      <c r="L557" s="145"/>
      <c r="N557" s="159"/>
      <c r="O557" s="159"/>
      <c r="Q557" s="145"/>
      <c r="R557" s="145"/>
      <c r="S557" s="145"/>
    </row>
    <row r="558" spans="1:19">
      <c r="A558" s="159"/>
      <c r="B558" s="159"/>
      <c r="C558" s="159"/>
      <c r="D558" s="159"/>
      <c r="E558" s="159"/>
      <c r="F558" s="159"/>
      <c r="G558" s="145"/>
      <c r="H558" s="145"/>
      <c r="I558" s="145"/>
      <c r="L558" s="145"/>
      <c r="N558" s="159"/>
      <c r="O558" s="159"/>
      <c r="Q558" s="145"/>
      <c r="R558" s="145"/>
      <c r="S558" s="145"/>
    </row>
    <row r="559" spans="1:19">
      <c r="A559" s="159"/>
      <c r="B559" s="159"/>
      <c r="C559" s="159"/>
      <c r="D559" s="159"/>
      <c r="E559" s="159"/>
      <c r="F559" s="159"/>
      <c r="G559" s="145"/>
      <c r="H559" s="145"/>
      <c r="I559" s="145"/>
      <c r="L559" s="145"/>
      <c r="N559" s="159"/>
      <c r="O559" s="159"/>
      <c r="Q559" s="145"/>
      <c r="R559" s="145"/>
      <c r="S559" s="145"/>
    </row>
    <row r="560" spans="1:19">
      <c r="A560" s="159"/>
      <c r="B560" s="159"/>
      <c r="C560" s="159"/>
      <c r="D560" s="159"/>
      <c r="E560" s="159"/>
      <c r="F560" s="159"/>
      <c r="G560" s="145"/>
      <c r="H560" s="145"/>
      <c r="I560" s="145"/>
      <c r="L560" s="145"/>
      <c r="N560" s="159"/>
      <c r="O560" s="159"/>
      <c r="Q560" s="145"/>
      <c r="R560" s="145"/>
      <c r="S560" s="145"/>
    </row>
    <row r="561" spans="1:19">
      <c r="A561" s="159"/>
      <c r="B561" s="159"/>
      <c r="C561" s="159"/>
      <c r="D561" s="159"/>
      <c r="E561" s="159"/>
      <c r="F561" s="159"/>
      <c r="G561" s="145"/>
      <c r="H561" s="145"/>
      <c r="I561" s="145"/>
      <c r="L561" s="145"/>
      <c r="N561" s="159"/>
      <c r="O561" s="159"/>
      <c r="Q561" s="145"/>
      <c r="R561" s="145"/>
      <c r="S561" s="145"/>
    </row>
    <row r="562" spans="1:19">
      <c r="A562" s="159"/>
      <c r="B562" s="159"/>
      <c r="C562" s="159"/>
      <c r="D562" s="159"/>
      <c r="E562" s="159"/>
      <c r="F562" s="159"/>
      <c r="G562" s="145"/>
      <c r="H562" s="145"/>
      <c r="I562" s="145"/>
      <c r="L562" s="145"/>
      <c r="N562" s="159"/>
      <c r="O562" s="159"/>
      <c r="Q562" s="145"/>
      <c r="R562" s="145"/>
      <c r="S562" s="145"/>
    </row>
    <row r="563" spans="1:19">
      <c r="A563" s="159"/>
      <c r="B563" s="159"/>
      <c r="C563" s="159"/>
      <c r="D563" s="159"/>
      <c r="E563" s="159"/>
      <c r="F563" s="159"/>
      <c r="G563" s="145"/>
      <c r="H563" s="145"/>
      <c r="I563" s="145"/>
      <c r="L563" s="145"/>
      <c r="N563" s="159"/>
      <c r="O563" s="159"/>
      <c r="Q563" s="145"/>
      <c r="R563" s="145"/>
      <c r="S563" s="145"/>
    </row>
    <row r="564" spans="1:19">
      <c r="A564" s="159"/>
      <c r="B564" s="159"/>
      <c r="C564" s="159"/>
      <c r="D564" s="159"/>
      <c r="E564" s="159"/>
      <c r="F564" s="159"/>
      <c r="G564" s="145"/>
      <c r="H564" s="145"/>
      <c r="I564" s="145"/>
      <c r="L564" s="145"/>
      <c r="N564" s="159"/>
      <c r="O564" s="159"/>
      <c r="Q564" s="145"/>
      <c r="R564" s="145"/>
      <c r="S564" s="145"/>
    </row>
    <row r="565" spans="1:19">
      <c r="A565" s="159"/>
      <c r="B565" s="159"/>
      <c r="C565" s="159"/>
      <c r="D565" s="159"/>
      <c r="E565" s="159"/>
      <c r="F565" s="159"/>
      <c r="G565" s="145"/>
      <c r="H565" s="145"/>
      <c r="I565" s="145"/>
      <c r="L565" s="145"/>
      <c r="N565" s="159"/>
      <c r="O565" s="159"/>
      <c r="Q565" s="145"/>
      <c r="R565" s="145"/>
      <c r="S565" s="145"/>
    </row>
    <row r="566" spans="1:19">
      <c r="A566" s="159"/>
      <c r="B566" s="159"/>
      <c r="C566" s="159"/>
      <c r="D566" s="159"/>
      <c r="E566" s="159"/>
      <c r="F566" s="159"/>
      <c r="G566" s="145"/>
      <c r="H566" s="145"/>
      <c r="I566" s="145"/>
      <c r="L566" s="145"/>
      <c r="N566" s="159"/>
      <c r="O566" s="159"/>
      <c r="Q566" s="145"/>
      <c r="R566" s="145"/>
      <c r="S566" s="145"/>
    </row>
    <row r="567" spans="1:19">
      <c r="A567" s="159"/>
      <c r="B567" s="159"/>
      <c r="C567" s="159"/>
      <c r="D567" s="159"/>
      <c r="E567" s="159"/>
      <c r="F567" s="159"/>
      <c r="G567" s="145"/>
      <c r="H567" s="145"/>
      <c r="I567" s="145"/>
      <c r="L567" s="145"/>
      <c r="N567" s="159"/>
      <c r="O567" s="159"/>
      <c r="Q567" s="145"/>
      <c r="R567" s="145"/>
      <c r="S567" s="145"/>
    </row>
    <row r="568" spans="1:19">
      <c r="A568" s="159"/>
      <c r="B568" s="159"/>
      <c r="C568" s="159"/>
      <c r="D568" s="159"/>
      <c r="E568" s="159"/>
      <c r="F568" s="159"/>
      <c r="G568" s="145"/>
      <c r="H568" s="145"/>
      <c r="I568" s="145"/>
      <c r="L568" s="145"/>
      <c r="N568" s="159"/>
      <c r="O568" s="159"/>
      <c r="Q568" s="145"/>
      <c r="R568" s="145"/>
      <c r="S568" s="145"/>
    </row>
    <row r="569" spans="1:19">
      <c r="A569" s="159"/>
      <c r="B569" s="159"/>
      <c r="C569" s="159"/>
      <c r="D569" s="159"/>
      <c r="E569" s="159"/>
      <c r="F569" s="159"/>
      <c r="G569" s="145"/>
      <c r="H569" s="145"/>
      <c r="I569" s="145"/>
      <c r="L569" s="145"/>
      <c r="N569" s="159"/>
      <c r="O569" s="159"/>
      <c r="Q569" s="145"/>
      <c r="R569" s="145"/>
      <c r="S569" s="145"/>
    </row>
    <row r="570" spans="1:19">
      <c r="A570" s="159"/>
      <c r="B570" s="159"/>
      <c r="C570" s="159"/>
      <c r="D570" s="159"/>
      <c r="E570" s="159"/>
      <c r="F570" s="159"/>
      <c r="G570" s="145"/>
      <c r="H570" s="145"/>
      <c r="I570" s="145"/>
      <c r="L570" s="145"/>
      <c r="N570" s="159"/>
      <c r="O570" s="159"/>
      <c r="Q570" s="145"/>
      <c r="R570" s="145"/>
      <c r="S570" s="145"/>
    </row>
    <row r="571" spans="1:19">
      <c r="A571" s="159"/>
      <c r="B571" s="159"/>
      <c r="C571" s="159"/>
      <c r="D571" s="159"/>
      <c r="E571" s="159"/>
      <c r="F571" s="159"/>
      <c r="G571" s="145"/>
      <c r="H571" s="145"/>
      <c r="I571" s="145"/>
      <c r="L571" s="145"/>
      <c r="N571" s="159"/>
      <c r="O571" s="159"/>
      <c r="Q571" s="145"/>
      <c r="R571" s="145"/>
      <c r="S571" s="145"/>
    </row>
    <row r="572" spans="1:19">
      <c r="A572" s="159"/>
      <c r="B572" s="159"/>
      <c r="C572" s="159"/>
      <c r="D572" s="159"/>
      <c r="E572" s="159"/>
      <c r="F572" s="159"/>
      <c r="G572" s="145"/>
      <c r="H572" s="145"/>
      <c r="I572" s="145"/>
      <c r="L572" s="145"/>
      <c r="N572" s="159"/>
      <c r="O572" s="159"/>
      <c r="Q572" s="145"/>
      <c r="R572" s="145"/>
      <c r="S572" s="145"/>
    </row>
    <row r="573" spans="1:19">
      <c r="A573" s="159"/>
      <c r="B573" s="159"/>
      <c r="C573" s="159"/>
      <c r="D573" s="159"/>
      <c r="E573" s="159"/>
      <c r="F573" s="159"/>
      <c r="G573" s="145"/>
      <c r="H573" s="145"/>
      <c r="I573" s="145"/>
      <c r="L573" s="145"/>
      <c r="N573" s="159"/>
      <c r="O573" s="159"/>
      <c r="Q573" s="145"/>
      <c r="R573" s="145"/>
      <c r="S573" s="145"/>
    </row>
    <row r="574" spans="1:19">
      <c r="A574" s="159"/>
      <c r="B574" s="159"/>
      <c r="C574" s="159"/>
      <c r="D574" s="159"/>
      <c r="E574" s="159"/>
      <c r="F574" s="159"/>
      <c r="G574" s="145"/>
      <c r="H574" s="145"/>
      <c r="I574" s="145"/>
      <c r="L574" s="145"/>
      <c r="N574" s="159"/>
      <c r="O574" s="159"/>
      <c r="Q574" s="145"/>
      <c r="R574" s="145"/>
      <c r="S574" s="145"/>
    </row>
    <row r="575" spans="1:19">
      <c r="A575" s="159"/>
      <c r="B575" s="159"/>
      <c r="C575" s="159"/>
      <c r="D575" s="159"/>
      <c r="E575" s="159"/>
      <c r="F575" s="159"/>
      <c r="G575" s="145"/>
      <c r="H575" s="145"/>
      <c r="I575" s="145"/>
      <c r="L575" s="145"/>
      <c r="N575" s="159"/>
      <c r="O575" s="159"/>
      <c r="Q575" s="145"/>
      <c r="R575" s="145"/>
      <c r="S575" s="145"/>
    </row>
    <row r="576" spans="1:19">
      <c r="A576" s="159"/>
      <c r="B576" s="159"/>
      <c r="C576" s="159"/>
      <c r="D576" s="159"/>
      <c r="E576" s="159"/>
      <c r="F576" s="159"/>
      <c r="G576" s="145"/>
      <c r="H576" s="145"/>
      <c r="I576" s="145"/>
      <c r="L576" s="145"/>
      <c r="N576" s="159"/>
      <c r="O576" s="159"/>
      <c r="Q576" s="145"/>
      <c r="R576" s="145"/>
      <c r="S576" s="145"/>
    </row>
    <row r="577" spans="1:19">
      <c r="A577" s="159"/>
      <c r="B577" s="159"/>
      <c r="C577" s="159"/>
      <c r="D577" s="159"/>
      <c r="E577" s="159"/>
      <c r="F577" s="159"/>
      <c r="G577" s="145"/>
      <c r="H577" s="145"/>
      <c r="I577" s="145"/>
      <c r="L577" s="145"/>
      <c r="N577" s="159"/>
      <c r="O577" s="159"/>
      <c r="Q577" s="145"/>
      <c r="R577" s="145"/>
      <c r="S577" s="145"/>
    </row>
    <row r="578" spans="1:19">
      <c r="A578" s="159"/>
      <c r="B578" s="159"/>
      <c r="C578" s="159"/>
      <c r="D578" s="159"/>
      <c r="E578" s="159"/>
      <c r="F578" s="159"/>
      <c r="G578" s="145"/>
      <c r="H578" s="145"/>
      <c r="I578" s="145"/>
      <c r="L578" s="145"/>
      <c r="N578" s="159"/>
      <c r="O578" s="159"/>
      <c r="Q578" s="145"/>
      <c r="R578" s="145"/>
      <c r="S578" s="145"/>
    </row>
    <row r="579" spans="1:19">
      <c r="A579" s="159"/>
      <c r="B579" s="159"/>
      <c r="C579" s="159"/>
      <c r="D579" s="159"/>
      <c r="E579" s="159"/>
      <c r="F579" s="159"/>
      <c r="G579" s="145"/>
      <c r="H579" s="145"/>
      <c r="I579" s="145"/>
      <c r="L579" s="145"/>
      <c r="N579" s="159"/>
      <c r="O579" s="159"/>
      <c r="Q579" s="145"/>
      <c r="R579" s="145"/>
      <c r="S579" s="145"/>
    </row>
    <row r="580" spans="1:19">
      <c r="A580" s="159"/>
      <c r="B580" s="159"/>
      <c r="C580" s="159"/>
      <c r="D580" s="159"/>
      <c r="E580" s="159"/>
      <c r="F580" s="159"/>
      <c r="G580" s="145"/>
      <c r="H580" s="145"/>
      <c r="I580" s="145"/>
      <c r="L580" s="145"/>
      <c r="N580" s="159"/>
      <c r="O580" s="159"/>
      <c r="Q580" s="145"/>
      <c r="R580" s="145"/>
      <c r="S580" s="145"/>
    </row>
    <row r="581" spans="1:19">
      <c r="A581" s="159"/>
      <c r="B581" s="159"/>
      <c r="C581" s="159"/>
      <c r="D581" s="159"/>
      <c r="E581" s="159"/>
      <c r="F581" s="159"/>
      <c r="G581" s="145"/>
      <c r="H581" s="145"/>
      <c r="I581" s="145"/>
      <c r="L581" s="145"/>
      <c r="N581" s="159"/>
      <c r="O581" s="159"/>
      <c r="Q581" s="145"/>
      <c r="R581" s="145"/>
      <c r="S581" s="145"/>
    </row>
    <row r="582" spans="1:19">
      <c r="A582" s="159"/>
      <c r="B582" s="159"/>
      <c r="C582" s="159"/>
      <c r="D582" s="159"/>
      <c r="E582" s="159"/>
      <c r="F582" s="159"/>
      <c r="G582" s="145"/>
      <c r="H582" s="145"/>
      <c r="I582" s="145"/>
      <c r="L582" s="145"/>
      <c r="N582" s="159"/>
      <c r="O582" s="159"/>
      <c r="Q582" s="145"/>
      <c r="R582" s="145"/>
      <c r="S582" s="145"/>
    </row>
    <row r="583" spans="1:19">
      <c r="A583" s="159"/>
      <c r="B583" s="159"/>
      <c r="C583" s="159"/>
      <c r="D583" s="159"/>
      <c r="E583" s="159"/>
      <c r="F583" s="159"/>
      <c r="G583" s="145"/>
      <c r="H583" s="145"/>
      <c r="I583" s="145"/>
      <c r="L583" s="145"/>
      <c r="N583" s="159"/>
      <c r="O583" s="159"/>
      <c r="Q583" s="145"/>
      <c r="R583" s="145"/>
      <c r="S583" s="145"/>
    </row>
    <row r="584" spans="1:19">
      <c r="A584" s="159"/>
      <c r="B584" s="159"/>
      <c r="C584" s="159"/>
      <c r="D584" s="159"/>
      <c r="E584" s="159"/>
      <c r="F584" s="159"/>
      <c r="G584" s="145"/>
      <c r="H584" s="145"/>
      <c r="I584" s="145"/>
      <c r="L584" s="145"/>
      <c r="N584" s="159"/>
      <c r="O584" s="159"/>
      <c r="Q584" s="145"/>
      <c r="R584" s="145"/>
      <c r="S584" s="145"/>
    </row>
    <row r="585" spans="1:19">
      <c r="A585" s="159"/>
      <c r="B585" s="159"/>
      <c r="C585" s="159"/>
      <c r="D585" s="159"/>
      <c r="E585" s="159"/>
      <c r="F585" s="159"/>
      <c r="G585" s="145"/>
      <c r="H585" s="145"/>
      <c r="I585" s="145"/>
      <c r="L585" s="145"/>
      <c r="N585" s="159"/>
      <c r="O585" s="159"/>
      <c r="Q585" s="145"/>
      <c r="R585" s="145"/>
      <c r="S585" s="145"/>
    </row>
    <row r="586" spans="1:19">
      <c r="A586" s="159"/>
      <c r="B586" s="159"/>
      <c r="C586" s="159"/>
      <c r="D586" s="159"/>
      <c r="E586" s="159"/>
      <c r="F586" s="159"/>
      <c r="G586" s="145"/>
      <c r="H586" s="145"/>
      <c r="I586" s="145"/>
      <c r="L586" s="145"/>
      <c r="N586" s="159"/>
      <c r="O586" s="159"/>
      <c r="Q586" s="145"/>
      <c r="R586" s="145"/>
      <c r="S586" s="145"/>
    </row>
    <row r="587" spans="1:19">
      <c r="A587" s="159"/>
      <c r="B587" s="159"/>
      <c r="C587" s="159"/>
      <c r="D587" s="159"/>
      <c r="E587" s="159"/>
      <c r="F587" s="159"/>
      <c r="G587" s="145"/>
      <c r="H587" s="145"/>
      <c r="I587" s="145"/>
      <c r="L587" s="145"/>
      <c r="N587" s="159"/>
      <c r="O587" s="159"/>
      <c r="Q587" s="145"/>
      <c r="R587" s="145"/>
      <c r="S587" s="145"/>
    </row>
    <row r="588" spans="1:19">
      <c r="A588" s="159"/>
      <c r="B588" s="159"/>
      <c r="C588" s="159"/>
      <c r="D588" s="159"/>
      <c r="E588" s="159"/>
      <c r="F588" s="159"/>
      <c r="G588" s="145"/>
      <c r="H588" s="145"/>
      <c r="I588" s="145"/>
      <c r="L588" s="145"/>
      <c r="N588" s="159"/>
      <c r="O588" s="159"/>
      <c r="Q588" s="145"/>
      <c r="R588" s="145"/>
      <c r="S588" s="145"/>
    </row>
    <row r="589" spans="1:19">
      <c r="A589" s="159"/>
      <c r="B589" s="159"/>
      <c r="C589" s="159"/>
      <c r="D589" s="159"/>
      <c r="E589" s="159"/>
      <c r="F589" s="159"/>
      <c r="G589" s="145"/>
      <c r="H589" s="145"/>
      <c r="I589" s="145"/>
      <c r="L589" s="145"/>
      <c r="N589" s="159"/>
      <c r="O589" s="159"/>
      <c r="Q589" s="145"/>
      <c r="R589" s="145"/>
      <c r="S589" s="145"/>
    </row>
    <row r="590" spans="1:19">
      <c r="A590" s="159"/>
      <c r="B590" s="159"/>
      <c r="C590" s="159"/>
      <c r="D590" s="159"/>
      <c r="E590" s="159"/>
      <c r="F590" s="159"/>
      <c r="G590" s="145"/>
      <c r="H590" s="145"/>
      <c r="I590" s="145"/>
      <c r="L590" s="145"/>
      <c r="N590" s="159"/>
      <c r="O590" s="159"/>
      <c r="Q590" s="145"/>
      <c r="R590" s="145"/>
      <c r="S590" s="145"/>
    </row>
    <row r="591" spans="1:19">
      <c r="A591" s="159"/>
      <c r="B591" s="159"/>
      <c r="C591" s="159"/>
      <c r="D591" s="159"/>
      <c r="E591" s="159"/>
      <c r="F591" s="159"/>
      <c r="G591" s="145"/>
      <c r="H591" s="145"/>
      <c r="I591" s="145"/>
      <c r="L591" s="145"/>
      <c r="N591" s="159"/>
      <c r="O591" s="159"/>
      <c r="Q591" s="145"/>
      <c r="R591" s="145"/>
      <c r="S591" s="145"/>
    </row>
    <row r="592" spans="1:19">
      <c r="A592" s="159"/>
      <c r="B592" s="159"/>
      <c r="C592" s="159"/>
      <c r="D592" s="159"/>
      <c r="E592" s="159"/>
      <c r="F592" s="159"/>
      <c r="G592" s="145"/>
      <c r="H592" s="145"/>
      <c r="I592" s="145"/>
      <c r="L592" s="145"/>
      <c r="N592" s="159"/>
      <c r="O592" s="159"/>
      <c r="Q592" s="145"/>
      <c r="R592" s="145"/>
      <c r="S592" s="145"/>
    </row>
    <row r="593" spans="1:19">
      <c r="A593" s="159"/>
      <c r="B593" s="159"/>
      <c r="C593" s="159"/>
      <c r="D593" s="159"/>
      <c r="E593" s="159"/>
      <c r="F593" s="159"/>
      <c r="G593" s="145"/>
      <c r="H593" s="145"/>
      <c r="I593" s="145"/>
      <c r="L593" s="145"/>
      <c r="N593" s="159"/>
      <c r="O593" s="159"/>
      <c r="Q593" s="145"/>
      <c r="R593" s="145"/>
      <c r="S593" s="145"/>
    </row>
    <row r="594" spans="1:19">
      <c r="A594" s="159"/>
      <c r="B594" s="159"/>
      <c r="C594" s="159"/>
      <c r="D594" s="159"/>
      <c r="E594" s="159"/>
      <c r="F594" s="159"/>
      <c r="G594" s="145"/>
      <c r="H594" s="145"/>
      <c r="I594" s="145"/>
      <c r="L594" s="145"/>
      <c r="N594" s="159"/>
      <c r="O594" s="159"/>
      <c r="Q594" s="145"/>
      <c r="R594" s="145"/>
      <c r="S594" s="145"/>
    </row>
    <row r="595" spans="1:19">
      <c r="A595" s="159"/>
      <c r="B595" s="159"/>
      <c r="C595" s="159"/>
      <c r="D595" s="159"/>
      <c r="E595" s="159"/>
      <c r="F595" s="159"/>
      <c r="G595" s="145"/>
      <c r="H595" s="145"/>
      <c r="I595" s="145"/>
      <c r="L595" s="145"/>
      <c r="N595" s="159"/>
      <c r="O595" s="159"/>
      <c r="Q595" s="145"/>
      <c r="R595" s="145"/>
      <c r="S595" s="145"/>
    </row>
    <row r="596" spans="1:19">
      <c r="A596" s="159"/>
      <c r="B596" s="159"/>
      <c r="C596" s="159"/>
      <c r="D596" s="159"/>
      <c r="E596" s="159"/>
      <c r="F596" s="159"/>
      <c r="G596" s="145"/>
      <c r="H596" s="145"/>
      <c r="I596" s="145"/>
      <c r="L596" s="145"/>
      <c r="N596" s="159"/>
      <c r="O596" s="159"/>
      <c r="Q596" s="145"/>
      <c r="R596" s="145"/>
      <c r="S596" s="145"/>
    </row>
    <row r="597" spans="1:19">
      <c r="A597" s="159"/>
      <c r="B597" s="159"/>
      <c r="C597" s="159"/>
      <c r="D597" s="159"/>
      <c r="E597" s="159"/>
      <c r="F597" s="159"/>
      <c r="G597" s="145"/>
      <c r="H597" s="145"/>
      <c r="I597" s="145"/>
      <c r="L597" s="145"/>
      <c r="N597" s="159"/>
      <c r="O597" s="159"/>
      <c r="Q597" s="145"/>
      <c r="R597" s="145"/>
      <c r="S597" s="145"/>
    </row>
    <row r="598" spans="1:19">
      <c r="A598" s="159"/>
      <c r="B598" s="159"/>
      <c r="C598" s="159"/>
      <c r="D598" s="159"/>
      <c r="E598" s="159"/>
      <c r="F598" s="159"/>
      <c r="G598" s="145"/>
      <c r="H598" s="145"/>
      <c r="I598" s="145"/>
      <c r="L598" s="145"/>
      <c r="N598" s="159"/>
      <c r="O598" s="159"/>
      <c r="Q598" s="145"/>
      <c r="R598" s="145"/>
      <c r="S598" s="145"/>
    </row>
    <row r="599" spans="1:19">
      <c r="A599" s="159"/>
      <c r="B599" s="159"/>
      <c r="C599" s="159"/>
      <c r="D599" s="159"/>
      <c r="E599" s="159"/>
      <c r="F599" s="159"/>
      <c r="G599" s="145"/>
      <c r="H599" s="145"/>
      <c r="I599" s="145"/>
      <c r="L599" s="145"/>
      <c r="N599" s="159"/>
      <c r="O599" s="159"/>
      <c r="Q599" s="145"/>
      <c r="R599" s="145"/>
      <c r="S599" s="145"/>
    </row>
    <row r="600" spans="1:19">
      <c r="A600" s="159"/>
      <c r="B600" s="159"/>
      <c r="C600" s="159"/>
      <c r="D600" s="159"/>
      <c r="E600" s="159"/>
      <c r="F600" s="159"/>
      <c r="G600" s="145"/>
      <c r="H600" s="145"/>
      <c r="I600" s="145"/>
      <c r="L600" s="145"/>
      <c r="N600" s="159"/>
      <c r="O600" s="159"/>
      <c r="Q600" s="145"/>
      <c r="R600" s="145"/>
      <c r="S600" s="145"/>
    </row>
    <row r="601" spans="1:19">
      <c r="A601" s="159"/>
      <c r="B601" s="159"/>
      <c r="C601" s="159"/>
      <c r="D601" s="159"/>
      <c r="E601" s="159"/>
      <c r="F601" s="159"/>
      <c r="G601" s="145"/>
      <c r="H601" s="145"/>
      <c r="I601" s="145"/>
      <c r="L601" s="145"/>
      <c r="N601" s="159"/>
      <c r="O601" s="159"/>
      <c r="Q601" s="145"/>
      <c r="R601" s="145"/>
      <c r="S601" s="145"/>
    </row>
    <row r="602" spans="1:19">
      <c r="A602" s="159"/>
      <c r="B602" s="159"/>
      <c r="C602" s="159"/>
      <c r="D602" s="159"/>
      <c r="E602" s="159"/>
      <c r="F602" s="159"/>
      <c r="G602" s="145"/>
      <c r="H602" s="145"/>
      <c r="I602" s="145"/>
      <c r="L602" s="145"/>
      <c r="N602" s="159"/>
      <c r="O602" s="159"/>
      <c r="Q602" s="145"/>
      <c r="R602" s="145"/>
      <c r="S602" s="145"/>
    </row>
    <row r="603" spans="1:19">
      <c r="A603" s="159"/>
      <c r="B603" s="159"/>
      <c r="C603" s="159"/>
      <c r="D603" s="159"/>
      <c r="E603" s="159"/>
      <c r="F603" s="159"/>
      <c r="G603" s="145"/>
      <c r="H603" s="145"/>
      <c r="I603" s="145"/>
      <c r="L603" s="145"/>
      <c r="N603" s="159"/>
      <c r="O603" s="159"/>
      <c r="Q603" s="145"/>
      <c r="R603" s="145"/>
      <c r="S603" s="145"/>
    </row>
    <row r="604" spans="1:19">
      <c r="A604" s="159"/>
      <c r="B604" s="159"/>
      <c r="C604" s="159"/>
      <c r="D604" s="159"/>
      <c r="E604" s="159"/>
      <c r="F604" s="159"/>
      <c r="G604" s="145"/>
      <c r="H604" s="145"/>
      <c r="I604" s="145"/>
      <c r="L604" s="145"/>
      <c r="N604" s="159"/>
      <c r="O604" s="159"/>
      <c r="Q604" s="145"/>
      <c r="R604" s="145"/>
      <c r="S604" s="145"/>
    </row>
    <row r="605" spans="1:19">
      <c r="A605" s="159"/>
      <c r="B605" s="159"/>
      <c r="C605" s="159"/>
      <c r="D605" s="159"/>
      <c r="E605" s="159"/>
      <c r="F605" s="159"/>
      <c r="G605" s="145"/>
      <c r="H605" s="145"/>
      <c r="I605" s="145"/>
      <c r="L605" s="145"/>
      <c r="N605" s="159"/>
      <c r="O605" s="159"/>
      <c r="Q605" s="145"/>
      <c r="R605" s="145"/>
      <c r="S605" s="145"/>
    </row>
    <row r="606" spans="1:19">
      <c r="A606" s="159"/>
      <c r="B606" s="159"/>
      <c r="C606" s="159"/>
      <c r="D606" s="159"/>
      <c r="E606" s="159"/>
      <c r="F606" s="159"/>
      <c r="G606" s="145"/>
      <c r="H606" s="145"/>
      <c r="I606" s="145"/>
      <c r="L606" s="145"/>
      <c r="N606" s="159"/>
      <c r="O606" s="159"/>
      <c r="Q606" s="145"/>
      <c r="R606" s="145"/>
      <c r="S606" s="145"/>
    </row>
    <row r="607" spans="1:19">
      <c r="A607" s="159"/>
      <c r="B607" s="159"/>
      <c r="C607" s="159"/>
      <c r="D607" s="159"/>
      <c r="E607" s="159"/>
      <c r="F607" s="159"/>
      <c r="G607" s="145"/>
      <c r="H607" s="145"/>
      <c r="I607" s="145"/>
      <c r="L607" s="145"/>
      <c r="N607" s="159"/>
      <c r="O607" s="159"/>
      <c r="Q607" s="145"/>
      <c r="R607" s="145"/>
      <c r="S607" s="145"/>
    </row>
    <row r="608" spans="1:19">
      <c r="A608" s="159"/>
      <c r="B608" s="159"/>
      <c r="C608" s="159"/>
      <c r="D608" s="159"/>
      <c r="E608" s="159"/>
      <c r="F608" s="159"/>
      <c r="G608" s="145"/>
      <c r="H608" s="145"/>
      <c r="I608" s="145"/>
      <c r="L608" s="145"/>
      <c r="N608" s="159"/>
      <c r="O608" s="159"/>
      <c r="Q608" s="145"/>
      <c r="R608" s="145"/>
      <c r="S608" s="145"/>
    </row>
    <row r="609" spans="1:19">
      <c r="A609" s="159"/>
      <c r="B609" s="159"/>
      <c r="C609" s="159"/>
      <c r="D609" s="159"/>
      <c r="E609" s="159"/>
      <c r="F609" s="159"/>
      <c r="G609" s="145"/>
      <c r="H609" s="145"/>
      <c r="I609" s="145"/>
      <c r="L609" s="145"/>
      <c r="N609" s="159"/>
      <c r="O609" s="159"/>
      <c r="Q609" s="145"/>
      <c r="R609" s="145"/>
      <c r="S609" s="145"/>
    </row>
    <row r="610" spans="1:19">
      <c r="A610" s="159"/>
      <c r="B610" s="159"/>
      <c r="C610" s="159"/>
      <c r="D610" s="159"/>
      <c r="E610" s="159"/>
      <c r="F610" s="159"/>
      <c r="G610" s="145"/>
      <c r="H610" s="145"/>
      <c r="I610" s="145"/>
      <c r="L610" s="145"/>
      <c r="N610" s="159"/>
      <c r="O610" s="159"/>
      <c r="Q610" s="145"/>
      <c r="R610" s="145"/>
      <c r="S610" s="145"/>
    </row>
    <row r="611" spans="1:19">
      <c r="A611" s="159"/>
      <c r="B611" s="159"/>
      <c r="C611" s="159"/>
      <c r="D611" s="159"/>
      <c r="E611" s="159"/>
      <c r="F611" s="159"/>
      <c r="G611" s="145"/>
      <c r="H611" s="145"/>
      <c r="I611" s="145"/>
      <c r="L611" s="145"/>
      <c r="N611" s="159"/>
      <c r="O611" s="159"/>
      <c r="Q611" s="145"/>
      <c r="R611" s="145"/>
      <c r="S611" s="145"/>
    </row>
    <row r="612" spans="1:19">
      <c r="A612" s="159"/>
      <c r="B612" s="159"/>
      <c r="C612" s="159"/>
      <c r="D612" s="159"/>
      <c r="E612" s="159"/>
      <c r="F612" s="159"/>
      <c r="G612" s="145"/>
      <c r="H612" s="145"/>
      <c r="I612" s="145"/>
      <c r="L612" s="145"/>
      <c r="N612" s="159"/>
      <c r="O612" s="159"/>
      <c r="Q612" s="145"/>
      <c r="R612" s="145"/>
      <c r="S612" s="145"/>
    </row>
    <row r="613" spans="1:19">
      <c r="A613" s="159"/>
      <c r="B613" s="159"/>
      <c r="C613" s="159"/>
      <c r="D613" s="159"/>
      <c r="E613" s="159"/>
      <c r="F613" s="159"/>
      <c r="G613" s="145"/>
      <c r="H613" s="145"/>
      <c r="I613" s="145"/>
      <c r="L613" s="145"/>
      <c r="N613" s="159"/>
      <c r="O613" s="159"/>
      <c r="Q613" s="145"/>
      <c r="R613" s="145"/>
      <c r="S613" s="145"/>
    </row>
    <row r="614" spans="1:19">
      <c r="A614" s="159"/>
      <c r="B614" s="159"/>
      <c r="C614" s="159"/>
      <c r="D614" s="159"/>
      <c r="E614" s="159"/>
      <c r="F614" s="159"/>
      <c r="G614" s="145"/>
      <c r="H614" s="145"/>
      <c r="I614" s="145"/>
      <c r="L614" s="145"/>
      <c r="N614" s="159"/>
      <c r="O614" s="159"/>
      <c r="Q614" s="145"/>
      <c r="R614" s="145"/>
      <c r="S614" s="145"/>
    </row>
    <row r="615" spans="1:19">
      <c r="A615" s="159"/>
      <c r="B615" s="159"/>
      <c r="C615" s="159"/>
      <c r="D615" s="159"/>
      <c r="E615" s="159"/>
      <c r="F615" s="159"/>
      <c r="G615" s="145"/>
      <c r="H615" s="145"/>
      <c r="I615" s="145"/>
      <c r="L615" s="145"/>
      <c r="N615" s="159"/>
      <c r="O615" s="159"/>
      <c r="Q615" s="145"/>
      <c r="R615" s="145"/>
      <c r="S615" s="145"/>
    </row>
    <row r="616" spans="1:19">
      <c r="A616" s="159"/>
      <c r="B616" s="159"/>
      <c r="C616" s="159"/>
      <c r="D616" s="159"/>
      <c r="E616" s="159"/>
      <c r="F616" s="159"/>
      <c r="G616" s="145"/>
      <c r="H616" s="145"/>
      <c r="I616" s="145"/>
      <c r="L616" s="145"/>
      <c r="N616" s="159"/>
      <c r="O616" s="159"/>
      <c r="Q616" s="145"/>
      <c r="R616" s="145"/>
      <c r="S616" s="145"/>
    </row>
    <row r="617" spans="1:19">
      <c r="A617" s="159"/>
      <c r="B617" s="159"/>
      <c r="C617" s="159"/>
      <c r="D617" s="159"/>
      <c r="E617" s="159"/>
      <c r="F617" s="159"/>
      <c r="G617" s="145"/>
      <c r="H617" s="145"/>
      <c r="I617" s="145"/>
      <c r="L617" s="145"/>
      <c r="N617" s="159"/>
      <c r="O617" s="159"/>
      <c r="Q617" s="145"/>
      <c r="R617" s="145"/>
      <c r="S617" s="145"/>
    </row>
    <row r="618" spans="1:19">
      <c r="A618" s="159"/>
      <c r="B618" s="159"/>
      <c r="C618" s="159"/>
      <c r="D618" s="159"/>
      <c r="E618" s="159"/>
      <c r="F618" s="159"/>
      <c r="G618" s="145"/>
      <c r="H618" s="145"/>
      <c r="I618" s="145"/>
      <c r="L618" s="145"/>
      <c r="N618" s="159"/>
      <c r="O618" s="159"/>
      <c r="Q618" s="145"/>
      <c r="R618" s="145"/>
      <c r="S618" s="145"/>
    </row>
    <row r="619" spans="1:19">
      <c r="A619" s="159"/>
      <c r="B619" s="159"/>
      <c r="C619" s="159"/>
      <c r="D619" s="159"/>
      <c r="E619" s="159"/>
      <c r="F619" s="159"/>
      <c r="G619" s="145"/>
      <c r="H619" s="145"/>
      <c r="I619" s="145"/>
      <c r="L619" s="145"/>
      <c r="N619" s="159"/>
      <c r="O619" s="159"/>
      <c r="Q619" s="145"/>
      <c r="R619" s="145"/>
      <c r="S619" s="145"/>
    </row>
    <row r="620" spans="1:19">
      <c r="A620" s="159"/>
      <c r="B620" s="159"/>
      <c r="C620" s="159"/>
      <c r="D620" s="159"/>
      <c r="E620" s="159"/>
      <c r="F620" s="159"/>
      <c r="G620" s="145"/>
      <c r="H620" s="145"/>
      <c r="I620" s="145"/>
      <c r="L620" s="145"/>
      <c r="N620" s="159"/>
      <c r="O620" s="159"/>
      <c r="Q620" s="145"/>
      <c r="R620" s="145"/>
      <c r="S620" s="145"/>
    </row>
    <row r="621" spans="1:19">
      <c r="A621" s="159"/>
      <c r="B621" s="159"/>
      <c r="C621" s="159"/>
      <c r="D621" s="159"/>
      <c r="E621" s="159"/>
      <c r="F621" s="159"/>
      <c r="G621" s="145"/>
      <c r="H621" s="145"/>
      <c r="I621" s="145"/>
      <c r="L621" s="145"/>
      <c r="N621" s="159"/>
      <c r="O621" s="159"/>
      <c r="Q621" s="145"/>
      <c r="R621" s="145"/>
      <c r="S621" s="145"/>
    </row>
    <row r="622" spans="1:19">
      <c r="A622" s="159"/>
      <c r="B622" s="159"/>
      <c r="C622" s="159"/>
      <c r="D622" s="159"/>
      <c r="E622" s="159"/>
      <c r="F622" s="159"/>
      <c r="G622" s="145"/>
      <c r="H622" s="145"/>
      <c r="I622" s="145"/>
      <c r="L622" s="145"/>
      <c r="N622" s="159"/>
      <c r="O622" s="159"/>
      <c r="Q622" s="145"/>
      <c r="R622" s="145"/>
      <c r="S622" s="145"/>
    </row>
    <row r="623" spans="1:19">
      <c r="A623" s="159"/>
      <c r="B623" s="159"/>
      <c r="C623" s="159"/>
      <c r="D623" s="159"/>
      <c r="E623" s="159"/>
      <c r="F623" s="159"/>
      <c r="G623" s="145"/>
      <c r="H623" s="145"/>
      <c r="I623" s="145"/>
      <c r="L623" s="145"/>
      <c r="N623" s="159"/>
      <c r="O623" s="159"/>
      <c r="Q623" s="145"/>
      <c r="R623" s="145"/>
      <c r="S623" s="145"/>
    </row>
    <row r="624" spans="1:19">
      <c r="A624" s="159"/>
      <c r="B624" s="159"/>
      <c r="C624" s="159"/>
      <c r="D624" s="159"/>
      <c r="E624" s="159"/>
      <c r="F624" s="159"/>
      <c r="G624" s="145"/>
      <c r="H624" s="145"/>
      <c r="I624" s="145"/>
      <c r="L624" s="145"/>
      <c r="N624" s="159"/>
      <c r="O624" s="159"/>
      <c r="Q624" s="145"/>
      <c r="R624" s="145"/>
      <c r="S624" s="145"/>
    </row>
    <row r="625" spans="1:19">
      <c r="A625" s="159"/>
      <c r="B625" s="159"/>
      <c r="C625" s="159"/>
      <c r="D625" s="159"/>
      <c r="E625" s="159"/>
      <c r="F625" s="159"/>
      <c r="G625" s="145"/>
      <c r="H625" s="145"/>
      <c r="I625" s="145"/>
      <c r="L625" s="145"/>
      <c r="N625" s="159"/>
      <c r="O625" s="159"/>
      <c r="Q625" s="145"/>
      <c r="R625" s="145"/>
      <c r="S625" s="145"/>
    </row>
    <row r="626" spans="1:19">
      <c r="A626" s="159"/>
      <c r="B626" s="159"/>
      <c r="C626" s="159"/>
      <c r="D626" s="159"/>
      <c r="E626" s="159"/>
      <c r="F626" s="159"/>
      <c r="G626" s="145"/>
      <c r="H626" s="145"/>
      <c r="I626" s="145"/>
      <c r="L626" s="145"/>
      <c r="N626" s="159"/>
      <c r="O626" s="159"/>
      <c r="Q626" s="145"/>
      <c r="R626" s="145"/>
      <c r="S626" s="145"/>
    </row>
    <row r="627" spans="1:19">
      <c r="A627" s="159"/>
      <c r="B627" s="159"/>
      <c r="C627" s="159"/>
      <c r="D627" s="159"/>
      <c r="E627" s="159"/>
      <c r="F627" s="159"/>
      <c r="G627" s="145"/>
      <c r="H627" s="145"/>
      <c r="I627" s="145"/>
      <c r="L627" s="145"/>
      <c r="N627" s="159"/>
      <c r="O627" s="159"/>
      <c r="Q627" s="145"/>
      <c r="R627" s="145"/>
      <c r="S627" s="145"/>
    </row>
    <row r="628" spans="1:19">
      <c r="A628" s="159"/>
      <c r="B628" s="159"/>
      <c r="C628" s="159"/>
      <c r="D628" s="159"/>
      <c r="E628" s="159"/>
      <c r="F628" s="159"/>
      <c r="G628" s="145"/>
      <c r="H628" s="145"/>
      <c r="I628" s="145"/>
      <c r="L628" s="145"/>
      <c r="N628" s="159"/>
      <c r="O628" s="159"/>
      <c r="Q628" s="145"/>
      <c r="R628" s="145"/>
      <c r="S628" s="145"/>
    </row>
    <row r="629" spans="1:19">
      <c r="A629" s="159"/>
      <c r="B629" s="159"/>
      <c r="C629" s="159"/>
      <c r="D629" s="159"/>
      <c r="E629" s="159"/>
      <c r="F629" s="159"/>
      <c r="G629" s="145"/>
      <c r="H629" s="145"/>
      <c r="I629" s="145"/>
      <c r="L629" s="145"/>
      <c r="N629" s="159"/>
      <c r="O629" s="159"/>
      <c r="Q629" s="145"/>
      <c r="R629" s="145"/>
      <c r="S629" s="145"/>
    </row>
  </sheetData>
  <mergeCells count="23">
    <mergeCell ref="Y1:AE1"/>
    <mergeCell ref="AF1:AL1"/>
    <mergeCell ref="AM1:AM2"/>
    <mergeCell ref="M1:M2"/>
    <mergeCell ref="P1:P2"/>
    <mergeCell ref="T1:T2"/>
    <mergeCell ref="U1:U2"/>
    <mergeCell ref="V1:V2"/>
    <mergeCell ref="W1:W2"/>
    <mergeCell ref="X1:X2"/>
    <mergeCell ref="R1:R2"/>
    <mergeCell ref="S1:S2"/>
    <mergeCell ref="Q1:Q2"/>
    <mergeCell ref="K1:K2"/>
    <mergeCell ref="L1:L2"/>
    <mergeCell ref="C2:F2"/>
    <mergeCell ref="I1:I2"/>
    <mergeCell ref="N1:O1"/>
    <mergeCell ref="A1:A2"/>
    <mergeCell ref="B1:F1"/>
    <mergeCell ref="G1:G2"/>
    <mergeCell ref="H1:H2"/>
    <mergeCell ref="J1:J2"/>
  </mergeCells>
  <phoneticPr fontId="3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N15"/>
  <sheetViews>
    <sheetView workbookViewId="0"/>
  </sheetViews>
  <sheetFormatPr defaultColWidth="12.77734375" defaultRowHeight="15.75" customHeight="1"/>
  <cols>
    <col min="1" max="1" width="14.21875" customWidth="1"/>
    <col min="2" max="2" width="53.21875" customWidth="1"/>
    <col min="5" max="5" width="40" customWidth="1"/>
  </cols>
  <sheetData>
    <row r="1" spans="1:14" ht="17.399999999999999">
      <c r="A1" s="185" t="s">
        <v>1034</v>
      </c>
      <c r="B1" s="180"/>
      <c r="C1" s="16"/>
      <c r="D1" s="16"/>
      <c r="E1" s="16"/>
      <c r="F1" s="17"/>
      <c r="G1" s="17"/>
      <c r="H1" s="17"/>
      <c r="I1" s="17"/>
      <c r="J1" s="17"/>
      <c r="K1" s="17"/>
      <c r="L1" s="17"/>
      <c r="M1" s="17"/>
      <c r="N1" s="17"/>
    </row>
    <row r="2" spans="1:14" ht="15.75" customHeight="1">
      <c r="A2" s="186" t="s">
        <v>1035</v>
      </c>
      <c r="B2" s="187"/>
      <c r="C2" s="18"/>
      <c r="D2" s="186" t="s">
        <v>1036</v>
      </c>
      <c r="E2" s="187"/>
      <c r="F2" s="19"/>
      <c r="G2" s="19"/>
      <c r="H2" s="19"/>
      <c r="I2" s="19"/>
      <c r="J2" s="19"/>
      <c r="K2" s="19"/>
      <c r="L2" s="19"/>
      <c r="M2" s="19"/>
      <c r="N2" s="19"/>
    </row>
    <row r="3" spans="1:14" ht="15.75" customHeight="1">
      <c r="A3" s="20" t="s">
        <v>1037</v>
      </c>
      <c r="B3" s="21" t="s">
        <v>1038</v>
      </c>
      <c r="C3" s="18"/>
      <c r="D3" s="20" t="s">
        <v>1037</v>
      </c>
      <c r="E3" s="20" t="s">
        <v>1038</v>
      </c>
      <c r="F3" s="19"/>
      <c r="G3" s="19"/>
      <c r="H3" s="19"/>
      <c r="I3" s="19"/>
      <c r="J3" s="19"/>
      <c r="K3" s="19"/>
      <c r="L3" s="19"/>
      <c r="M3" s="19"/>
      <c r="N3" s="19"/>
    </row>
    <row r="4" spans="1:14" ht="15.75" customHeight="1">
      <c r="A4" s="22" t="s">
        <v>230</v>
      </c>
      <c r="B4" s="23" t="s">
        <v>1039</v>
      </c>
      <c r="C4" s="18"/>
      <c r="D4" s="22" t="s">
        <v>1040</v>
      </c>
      <c r="E4" s="23" t="s">
        <v>1041</v>
      </c>
      <c r="F4" s="19"/>
      <c r="G4" s="19"/>
      <c r="H4" s="19"/>
      <c r="I4" s="19"/>
      <c r="J4" s="19"/>
      <c r="K4" s="19"/>
      <c r="L4" s="19"/>
      <c r="M4" s="19"/>
      <c r="N4" s="19"/>
    </row>
    <row r="5" spans="1:14" ht="15.75" customHeight="1">
      <c r="A5" s="22" t="s">
        <v>1042</v>
      </c>
      <c r="B5" s="23" t="s">
        <v>1043</v>
      </c>
      <c r="C5" s="18"/>
      <c r="D5" s="22" t="s">
        <v>1044</v>
      </c>
      <c r="E5" s="23" t="s">
        <v>1045</v>
      </c>
      <c r="F5" s="19"/>
      <c r="G5" s="19"/>
      <c r="H5" s="19"/>
      <c r="I5" s="19"/>
      <c r="J5" s="19"/>
      <c r="K5" s="19"/>
      <c r="L5" s="19"/>
      <c r="M5" s="19"/>
      <c r="N5" s="19"/>
    </row>
    <row r="6" spans="1:14" ht="15.75" customHeight="1">
      <c r="A6" s="22" t="s">
        <v>229</v>
      </c>
      <c r="B6" s="23" t="s">
        <v>1046</v>
      </c>
      <c r="C6" s="18"/>
      <c r="D6" s="22" t="s">
        <v>1047</v>
      </c>
      <c r="E6" s="23" t="s">
        <v>1048</v>
      </c>
      <c r="F6" s="19"/>
      <c r="G6" s="19"/>
      <c r="H6" s="19"/>
      <c r="I6" s="19"/>
      <c r="J6" s="19"/>
      <c r="K6" s="19"/>
      <c r="L6" s="19"/>
      <c r="M6" s="19"/>
      <c r="N6" s="19"/>
    </row>
    <row r="7" spans="1:14" ht="15.75" customHeight="1">
      <c r="A7" s="22" t="s">
        <v>1049</v>
      </c>
      <c r="B7" s="23" t="s">
        <v>1050</v>
      </c>
      <c r="C7" s="18"/>
      <c r="D7" s="22" t="s">
        <v>1051</v>
      </c>
      <c r="E7" s="23" t="s">
        <v>1052</v>
      </c>
      <c r="F7" s="19"/>
      <c r="G7" s="19"/>
      <c r="H7" s="19"/>
      <c r="I7" s="19"/>
      <c r="J7" s="19"/>
      <c r="K7" s="19"/>
      <c r="L7" s="19"/>
      <c r="M7" s="19"/>
      <c r="N7" s="19"/>
    </row>
    <row r="8" spans="1:14" ht="15.75" customHeight="1">
      <c r="A8" s="22" t="s">
        <v>86</v>
      </c>
      <c r="B8" s="23" t="s">
        <v>1053</v>
      </c>
      <c r="C8" s="18"/>
      <c r="D8" s="22" t="s">
        <v>1054</v>
      </c>
      <c r="E8" s="23" t="s">
        <v>1055</v>
      </c>
      <c r="F8" s="19"/>
      <c r="G8" s="19"/>
      <c r="H8" s="19"/>
      <c r="I8" s="19"/>
      <c r="J8" s="19"/>
      <c r="K8" s="19"/>
      <c r="L8" s="19"/>
      <c r="M8" s="19"/>
      <c r="N8" s="19"/>
    </row>
    <row r="9" spans="1:14" ht="15.75" customHeight="1">
      <c r="A9" s="22" t="s">
        <v>511</v>
      </c>
      <c r="B9" s="23" t="s">
        <v>1056</v>
      </c>
      <c r="C9" s="18"/>
      <c r="D9" s="22" t="s">
        <v>1057</v>
      </c>
      <c r="E9" s="23" t="s">
        <v>1058</v>
      </c>
      <c r="F9" s="19"/>
      <c r="G9" s="19"/>
      <c r="H9" s="19"/>
      <c r="I9" s="19"/>
      <c r="J9" s="19"/>
      <c r="K9" s="19"/>
      <c r="L9" s="19"/>
      <c r="M9" s="19"/>
      <c r="N9" s="19"/>
    </row>
    <row r="10" spans="1:14" ht="15.75" customHeight="1">
      <c r="A10" s="22" t="s">
        <v>303</v>
      </c>
      <c r="B10" s="23" t="s">
        <v>1059</v>
      </c>
      <c r="C10" s="18"/>
      <c r="D10" s="22" t="s">
        <v>1060</v>
      </c>
      <c r="E10" s="23" t="s">
        <v>1061</v>
      </c>
      <c r="F10" s="19"/>
      <c r="G10" s="19"/>
      <c r="H10" s="19"/>
      <c r="I10" s="19"/>
      <c r="J10" s="19"/>
      <c r="K10" s="19"/>
      <c r="L10" s="19"/>
      <c r="M10" s="19"/>
      <c r="N10" s="19"/>
    </row>
    <row r="11" spans="1:14" ht="15.75" customHeight="1">
      <c r="A11" s="22" t="s">
        <v>382</v>
      </c>
      <c r="B11" s="23" t="s">
        <v>1062</v>
      </c>
      <c r="C11" s="18"/>
      <c r="D11" s="18"/>
      <c r="E11" s="18"/>
      <c r="F11" s="19"/>
      <c r="G11" s="19"/>
      <c r="H11" s="19"/>
      <c r="I11" s="19"/>
      <c r="J11" s="19"/>
      <c r="K11" s="19"/>
      <c r="L11" s="19"/>
      <c r="M11" s="19"/>
      <c r="N11" s="19"/>
    </row>
    <row r="12" spans="1:14" ht="15.75" customHeight="1">
      <c r="A12" s="22" t="s">
        <v>1063</v>
      </c>
      <c r="B12" s="23" t="s">
        <v>1064</v>
      </c>
      <c r="C12" s="18"/>
      <c r="D12" s="18"/>
      <c r="E12" s="18"/>
      <c r="F12" s="19"/>
      <c r="G12" s="19"/>
      <c r="H12" s="19"/>
      <c r="I12" s="19"/>
      <c r="J12" s="19"/>
      <c r="K12" s="19"/>
      <c r="L12" s="19"/>
      <c r="M12" s="19"/>
      <c r="N12" s="19"/>
    </row>
    <row r="13" spans="1:14" ht="15.75" customHeight="1">
      <c r="A13" s="22" t="s">
        <v>1065</v>
      </c>
      <c r="B13" s="23" t="s">
        <v>1066</v>
      </c>
      <c r="C13" s="18"/>
      <c r="D13" s="18"/>
      <c r="E13" s="18"/>
      <c r="F13" s="19"/>
      <c r="G13" s="19"/>
      <c r="H13" s="19"/>
      <c r="I13" s="19"/>
      <c r="J13" s="19"/>
      <c r="K13" s="19"/>
      <c r="L13" s="19"/>
      <c r="M13" s="19"/>
      <c r="N13" s="19"/>
    </row>
    <row r="14" spans="1:14" ht="15.75" customHeight="1">
      <c r="A14" s="22" t="s">
        <v>1067</v>
      </c>
      <c r="B14" s="23" t="s">
        <v>1068</v>
      </c>
      <c r="C14" s="18"/>
      <c r="D14" s="18"/>
      <c r="E14" s="18"/>
      <c r="F14" s="19"/>
      <c r="G14" s="19"/>
      <c r="H14" s="19"/>
      <c r="I14" s="19"/>
      <c r="J14" s="19"/>
      <c r="K14" s="19"/>
      <c r="L14" s="19"/>
      <c r="M14" s="19"/>
      <c r="N14" s="19"/>
    </row>
    <row r="15" spans="1:14" ht="15.75" customHeight="1">
      <c r="A15" s="22" t="s">
        <v>1069</v>
      </c>
      <c r="B15" s="23" t="s">
        <v>1070</v>
      </c>
      <c r="C15" s="18"/>
      <c r="D15" s="18"/>
      <c r="E15" s="18"/>
      <c r="F15" s="19"/>
      <c r="G15" s="19"/>
      <c r="H15" s="19"/>
      <c r="I15" s="19"/>
      <c r="J15" s="19"/>
      <c r="K15" s="19"/>
      <c r="L15" s="19"/>
      <c r="M15" s="19"/>
      <c r="N15" s="19"/>
    </row>
  </sheetData>
  <mergeCells count="3">
    <mergeCell ref="A1:B1"/>
    <mergeCell ref="A2:B2"/>
    <mergeCell ref="D2:E2"/>
  </mergeCells>
  <phoneticPr fontId="35" type="noConversion"/>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P18"/>
  <sheetViews>
    <sheetView workbookViewId="0"/>
  </sheetViews>
  <sheetFormatPr defaultColWidth="12.77734375" defaultRowHeight="15.75" customHeight="1"/>
  <cols>
    <col min="1" max="1" width="11.77734375" customWidth="1"/>
    <col min="2" max="2" width="15.21875" customWidth="1"/>
    <col min="3" max="3" width="17.21875" customWidth="1"/>
    <col min="4" max="4" width="25" customWidth="1"/>
    <col min="6" max="6" width="15.21875" customWidth="1"/>
    <col min="7" max="7" width="12.21875" customWidth="1"/>
    <col min="8" max="8" width="29.21875" customWidth="1"/>
    <col min="9" max="9" width="11.77734375" customWidth="1"/>
    <col min="10" max="10" width="22.44140625" customWidth="1"/>
    <col min="11" max="11" width="24.21875" customWidth="1"/>
    <col min="12" max="12" width="30.77734375" customWidth="1"/>
    <col min="14" max="14" width="15.21875" customWidth="1"/>
    <col min="15" max="15" width="31.44140625" customWidth="1"/>
    <col min="16" max="16" width="26.44140625" customWidth="1"/>
  </cols>
  <sheetData>
    <row r="1" spans="1:16" ht="15.75" customHeight="1">
      <c r="A1" s="188" t="s">
        <v>1071</v>
      </c>
      <c r="B1" s="190" t="s">
        <v>1072</v>
      </c>
      <c r="C1" s="187"/>
      <c r="D1" s="188" t="s">
        <v>1073</v>
      </c>
      <c r="E1" s="188" t="s">
        <v>1071</v>
      </c>
      <c r="F1" s="190" t="s">
        <v>1072</v>
      </c>
      <c r="G1" s="187"/>
      <c r="H1" s="188" t="s">
        <v>1073</v>
      </c>
      <c r="I1" s="188" t="s">
        <v>1071</v>
      </c>
      <c r="J1" s="190" t="s">
        <v>1072</v>
      </c>
      <c r="K1" s="187"/>
      <c r="L1" s="188" t="s">
        <v>1073</v>
      </c>
      <c r="M1" s="188" t="s">
        <v>1071</v>
      </c>
      <c r="N1" s="190" t="s">
        <v>1072</v>
      </c>
      <c r="O1" s="187"/>
      <c r="P1" s="188" t="s">
        <v>1073</v>
      </c>
    </row>
    <row r="2" spans="1:16" ht="15.75" customHeight="1">
      <c r="A2" s="189"/>
      <c r="B2" s="24" t="s">
        <v>1074</v>
      </c>
      <c r="C2" s="24" t="s">
        <v>1075</v>
      </c>
      <c r="D2" s="189"/>
      <c r="E2" s="189"/>
      <c r="F2" s="24" t="s">
        <v>1074</v>
      </c>
      <c r="G2" s="24" t="s">
        <v>1075</v>
      </c>
      <c r="H2" s="189"/>
      <c r="I2" s="189"/>
      <c r="J2" s="24" t="s">
        <v>1074</v>
      </c>
      <c r="K2" s="24" t="s">
        <v>1075</v>
      </c>
      <c r="L2" s="189"/>
      <c r="M2" s="189"/>
      <c r="N2" s="24" t="s">
        <v>1074</v>
      </c>
      <c r="O2" s="24" t="s">
        <v>1075</v>
      </c>
      <c r="P2" s="189"/>
    </row>
    <row r="3" spans="1:16" ht="15.75" customHeight="1">
      <c r="A3" s="25">
        <v>1</v>
      </c>
      <c r="B3" s="191" t="s">
        <v>1076</v>
      </c>
      <c r="C3" s="26" t="s">
        <v>1077</v>
      </c>
      <c r="D3" s="26" t="s">
        <v>1078</v>
      </c>
      <c r="E3" s="25">
        <v>16</v>
      </c>
      <c r="F3" s="191" t="s">
        <v>1079</v>
      </c>
      <c r="G3" s="191" t="s">
        <v>1080</v>
      </c>
      <c r="H3" s="26" t="s">
        <v>1081</v>
      </c>
      <c r="I3" s="25">
        <v>32</v>
      </c>
      <c r="J3" s="191" t="s">
        <v>1082</v>
      </c>
      <c r="K3" s="191" t="s">
        <v>1083</v>
      </c>
      <c r="L3" s="26" t="s">
        <v>1084</v>
      </c>
      <c r="M3" s="25">
        <v>48</v>
      </c>
      <c r="N3" s="191" t="s">
        <v>1085</v>
      </c>
      <c r="O3" s="191" t="s">
        <v>1086</v>
      </c>
      <c r="P3" s="26" t="s">
        <v>1087</v>
      </c>
    </row>
    <row r="4" spans="1:16" ht="15.75" customHeight="1">
      <c r="A4" s="25">
        <v>2</v>
      </c>
      <c r="B4" s="192"/>
      <c r="C4" s="26" t="s">
        <v>1088</v>
      </c>
      <c r="D4" s="26" t="s">
        <v>1088</v>
      </c>
      <c r="E4" s="25">
        <v>17</v>
      </c>
      <c r="F4" s="192"/>
      <c r="G4" s="189"/>
      <c r="H4" s="25" t="s">
        <v>1089</v>
      </c>
      <c r="I4" s="25">
        <v>33</v>
      </c>
      <c r="J4" s="192"/>
      <c r="K4" s="189"/>
      <c r="L4" s="26" t="s">
        <v>1090</v>
      </c>
      <c r="M4" s="25">
        <v>49</v>
      </c>
      <c r="N4" s="192"/>
      <c r="O4" s="192"/>
      <c r="P4" s="26" t="s">
        <v>1091</v>
      </c>
    </row>
    <row r="5" spans="1:16" ht="15.75" customHeight="1">
      <c r="A5" s="25">
        <v>3</v>
      </c>
      <c r="B5" s="192"/>
      <c r="C5" s="191" t="s">
        <v>1092</v>
      </c>
      <c r="D5" s="26" t="s">
        <v>1092</v>
      </c>
      <c r="E5" s="25">
        <v>18</v>
      </c>
      <c r="F5" s="192"/>
      <c r="G5" s="191" t="s">
        <v>1093</v>
      </c>
      <c r="H5" s="25" t="s">
        <v>1094</v>
      </c>
      <c r="I5" s="25">
        <v>34</v>
      </c>
      <c r="J5" s="192"/>
      <c r="K5" s="25" t="s">
        <v>1095</v>
      </c>
      <c r="L5" s="25" t="s">
        <v>1096</v>
      </c>
      <c r="M5" s="25">
        <v>50</v>
      </c>
      <c r="N5" s="192"/>
      <c r="O5" s="192"/>
      <c r="P5" s="26" t="s">
        <v>1097</v>
      </c>
    </row>
    <row r="6" spans="1:16" ht="15.75" customHeight="1">
      <c r="A6" s="25">
        <v>4</v>
      </c>
      <c r="B6" s="192"/>
      <c r="C6" s="189"/>
      <c r="D6" s="26" t="s">
        <v>1098</v>
      </c>
      <c r="E6" s="25">
        <v>19</v>
      </c>
      <c r="F6" s="192"/>
      <c r="G6" s="192"/>
      <c r="H6" s="25" t="s">
        <v>1099</v>
      </c>
      <c r="I6" s="25">
        <v>35</v>
      </c>
      <c r="J6" s="192"/>
      <c r="K6" s="191" t="s">
        <v>1100</v>
      </c>
      <c r="L6" s="26" t="s">
        <v>1101</v>
      </c>
      <c r="M6" s="25">
        <v>51</v>
      </c>
      <c r="N6" s="192"/>
      <c r="O6" s="192"/>
      <c r="P6" s="25" t="s">
        <v>1102</v>
      </c>
    </row>
    <row r="7" spans="1:16" ht="15.75" customHeight="1">
      <c r="A7" s="25">
        <v>5</v>
      </c>
      <c r="B7" s="192"/>
      <c r="C7" s="191" t="s">
        <v>1103</v>
      </c>
      <c r="D7" s="26" t="s">
        <v>1104</v>
      </c>
      <c r="E7" s="25">
        <v>20</v>
      </c>
      <c r="F7" s="192"/>
      <c r="G7" s="192"/>
      <c r="H7" s="26" t="s">
        <v>1105</v>
      </c>
      <c r="I7" s="25">
        <v>36</v>
      </c>
      <c r="J7" s="192"/>
      <c r="K7" s="189"/>
      <c r="L7" s="26" t="s">
        <v>1106</v>
      </c>
      <c r="M7" s="25">
        <v>52</v>
      </c>
      <c r="N7" s="192"/>
      <c r="O7" s="189"/>
      <c r="P7" s="26" t="s">
        <v>1107</v>
      </c>
    </row>
    <row r="8" spans="1:16" ht="15.75" customHeight="1">
      <c r="A8" s="25">
        <v>6</v>
      </c>
      <c r="B8" s="192"/>
      <c r="C8" s="192"/>
      <c r="D8" s="26" t="s">
        <v>1108</v>
      </c>
      <c r="E8" s="25">
        <v>21</v>
      </c>
      <c r="F8" s="192"/>
      <c r="G8" s="192"/>
      <c r="H8" s="26" t="s">
        <v>1109</v>
      </c>
      <c r="I8" s="25">
        <v>37</v>
      </c>
      <c r="J8" s="189"/>
      <c r="K8" s="26" t="s">
        <v>1110</v>
      </c>
      <c r="L8" s="26" t="s">
        <v>1111</v>
      </c>
      <c r="M8" s="25">
        <v>53</v>
      </c>
      <c r="N8" s="192"/>
      <c r="O8" s="26" t="s">
        <v>1112</v>
      </c>
      <c r="P8" s="26" t="s">
        <v>1113</v>
      </c>
    </row>
    <row r="9" spans="1:16" ht="15.75" customHeight="1">
      <c r="A9" s="25">
        <v>7</v>
      </c>
      <c r="B9" s="192"/>
      <c r="C9" s="192"/>
      <c r="D9" s="26" t="s">
        <v>1114</v>
      </c>
      <c r="E9" s="25">
        <v>22</v>
      </c>
      <c r="F9" s="192"/>
      <c r="G9" s="192"/>
      <c r="H9" s="26" t="s">
        <v>1115</v>
      </c>
      <c r="I9" s="25">
        <v>38</v>
      </c>
      <c r="J9" s="191" t="s">
        <v>1116</v>
      </c>
      <c r="K9" s="191" t="s">
        <v>1117</v>
      </c>
      <c r="L9" s="26" t="s">
        <v>1118</v>
      </c>
      <c r="M9" s="25">
        <v>54</v>
      </c>
      <c r="N9" s="192"/>
      <c r="O9" s="26" t="s">
        <v>1119</v>
      </c>
      <c r="P9" s="26" t="s">
        <v>1120</v>
      </c>
    </row>
    <row r="10" spans="1:16" ht="15.75" customHeight="1">
      <c r="A10" s="25">
        <v>8</v>
      </c>
      <c r="B10" s="192"/>
      <c r="C10" s="192"/>
      <c r="D10" s="26" t="s">
        <v>1121</v>
      </c>
      <c r="E10" s="25">
        <v>23</v>
      </c>
      <c r="F10" s="192"/>
      <c r="G10" s="192"/>
      <c r="H10" s="26" t="s">
        <v>1122</v>
      </c>
      <c r="I10" s="25">
        <v>39</v>
      </c>
      <c r="J10" s="192"/>
      <c r="K10" s="192"/>
      <c r="L10" s="26" t="s">
        <v>1123</v>
      </c>
      <c r="M10" s="25">
        <v>55</v>
      </c>
      <c r="N10" s="189"/>
      <c r="O10" s="26" t="s">
        <v>1124</v>
      </c>
      <c r="P10" s="26" t="s">
        <v>1125</v>
      </c>
    </row>
    <row r="11" spans="1:16" ht="15.75" customHeight="1">
      <c r="A11" s="25">
        <v>9</v>
      </c>
      <c r="B11" s="189"/>
      <c r="C11" s="189"/>
      <c r="D11" s="26" t="s">
        <v>1126</v>
      </c>
      <c r="E11" s="25">
        <v>24</v>
      </c>
      <c r="F11" s="192"/>
      <c r="G11" s="192"/>
      <c r="H11" s="26" t="s">
        <v>1127</v>
      </c>
      <c r="I11" s="25">
        <v>40</v>
      </c>
      <c r="J11" s="192"/>
      <c r="K11" s="192"/>
      <c r="L11" s="25" t="s">
        <v>1128</v>
      </c>
      <c r="M11" s="193" t="s">
        <v>1129</v>
      </c>
      <c r="N11" s="194"/>
      <c r="O11" s="194"/>
      <c r="P11" s="195"/>
    </row>
    <row r="12" spans="1:16" ht="15.75" customHeight="1">
      <c r="A12" s="25">
        <v>10</v>
      </c>
      <c r="B12" s="191" t="s">
        <v>1079</v>
      </c>
      <c r="C12" s="25" t="s">
        <v>1130</v>
      </c>
      <c r="D12" s="26" t="s">
        <v>1131</v>
      </c>
      <c r="E12" s="25">
        <v>25</v>
      </c>
      <c r="F12" s="192"/>
      <c r="G12" s="192"/>
      <c r="H12" s="26" t="s">
        <v>1132</v>
      </c>
      <c r="I12" s="25">
        <v>41</v>
      </c>
      <c r="J12" s="192"/>
      <c r="K12" s="192"/>
      <c r="L12" s="26" t="s">
        <v>1133</v>
      </c>
      <c r="M12" s="196"/>
      <c r="N12" s="180"/>
      <c r="O12" s="180"/>
      <c r="P12" s="197"/>
    </row>
    <row r="13" spans="1:16" ht="15.75" customHeight="1">
      <c r="A13" s="25">
        <v>11</v>
      </c>
      <c r="B13" s="192"/>
      <c r="C13" s="191" t="s">
        <v>1134</v>
      </c>
      <c r="D13" s="25" t="s">
        <v>1135</v>
      </c>
      <c r="E13" s="25">
        <v>26</v>
      </c>
      <c r="F13" s="192"/>
      <c r="G13" s="192"/>
      <c r="H13" s="26" t="s">
        <v>1136</v>
      </c>
      <c r="I13" s="25">
        <v>42</v>
      </c>
      <c r="J13" s="192"/>
      <c r="K13" s="192"/>
      <c r="L13" s="26" t="s">
        <v>1137</v>
      </c>
      <c r="M13" s="196"/>
      <c r="N13" s="180"/>
      <c r="O13" s="180"/>
      <c r="P13" s="197"/>
    </row>
    <row r="14" spans="1:16" ht="15.75" customHeight="1">
      <c r="A14" s="25">
        <v>12</v>
      </c>
      <c r="B14" s="192"/>
      <c r="C14" s="192"/>
      <c r="D14" s="26" t="s">
        <v>1138</v>
      </c>
      <c r="E14" s="25">
        <v>27</v>
      </c>
      <c r="F14" s="192"/>
      <c r="G14" s="192"/>
      <c r="H14" s="26" t="s">
        <v>1139</v>
      </c>
      <c r="I14" s="25">
        <v>43</v>
      </c>
      <c r="J14" s="192"/>
      <c r="K14" s="192"/>
      <c r="L14" s="25" t="s">
        <v>1140</v>
      </c>
      <c r="M14" s="196"/>
      <c r="N14" s="180"/>
      <c r="O14" s="180"/>
      <c r="P14" s="197"/>
    </row>
    <row r="15" spans="1:16" ht="15.75" customHeight="1">
      <c r="A15" s="25">
        <v>13</v>
      </c>
      <c r="B15" s="192"/>
      <c r="C15" s="189"/>
      <c r="D15" s="25" t="s">
        <v>1141</v>
      </c>
      <c r="E15" s="25">
        <v>28</v>
      </c>
      <c r="F15" s="192"/>
      <c r="G15" s="192"/>
      <c r="H15" s="26" t="s">
        <v>1142</v>
      </c>
      <c r="I15" s="25">
        <v>44</v>
      </c>
      <c r="J15" s="192"/>
      <c r="K15" s="192"/>
      <c r="L15" s="26" t="s">
        <v>1143</v>
      </c>
      <c r="M15" s="196"/>
      <c r="N15" s="180"/>
      <c r="O15" s="180"/>
      <c r="P15" s="197"/>
    </row>
    <row r="16" spans="1:16" ht="15.75" customHeight="1">
      <c r="A16" s="25">
        <v>14</v>
      </c>
      <c r="B16" s="192"/>
      <c r="C16" s="191" t="s">
        <v>1144</v>
      </c>
      <c r="D16" s="26" t="s">
        <v>1145</v>
      </c>
      <c r="E16" s="25">
        <v>29</v>
      </c>
      <c r="F16" s="192"/>
      <c r="G16" s="192"/>
      <c r="H16" s="26" t="s">
        <v>1146</v>
      </c>
      <c r="I16" s="25">
        <v>45</v>
      </c>
      <c r="J16" s="192"/>
      <c r="K16" s="189"/>
      <c r="L16" s="26" t="s">
        <v>1147</v>
      </c>
      <c r="M16" s="196"/>
      <c r="N16" s="180"/>
      <c r="O16" s="180"/>
      <c r="P16" s="197"/>
    </row>
    <row r="17" spans="1:16" ht="15.75" customHeight="1">
      <c r="A17" s="25">
        <v>15</v>
      </c>
      <c r="B17" s="189"/>
      <c r="C17" s="189"/>
      <c r="D17" s="26" t="s">
        <v>1148</v>
      </c>
      <c r="E17" s="25">
        <v>30</v>
      </c>
      <c r="F17" s="192"/>
      <c r="G17" s="192"/>
      <c r="H17" s="25" t="s">
        <v>1149</v>
      </c>
      <c r="I17" s="25">
        <v>46</v>
      </c>
      <c r="J17" s="192"/>
      <c r="K17" s="26" t="s">
        <v>1150</v>
      </c>
      <c r="L17" s="26" t="s">
        <v>1151</v>
      </c>
      <c r="M17" s="196"/>
      <c r="N17" s="180"/>
      <c r="O17" s="180"/>
      <c r="P17" s="197"/>
    </row>
    <row r="18" spans="1:16" ht="15.75" customHeight="1">
      <c r="A18" s="201" t="s">
        <v>1152</v>
      </c>
      <c r="B18" s="202"/>
      <c r="C18" s="202"/>
      <c r="D18" s="187"/>
      <c r="E18" s="25">
        <v>31</v>
      </c>
      <c r="F18" s="189"/>
      <c r="G18" s="189"/>
      <c r="H18" s="26" t="s">
        <v>1153</v>
      </c>
      <c r="I18" s="25">
        <v>47</v>
      </c>
      <c r="J18" s="189"/>
      <c r="K18" s="26" t="s">
        <v>1154</v>
      </c>
      <c r="L18" s="26" t="s">
        <v>1155</v>
      </c>
      <c r="M18" s="198"/>
      <c r="N18" s="199"/>
      <c r="O18" s="199"/>
      <c r="P18" s="200"/>
    </row>
  </sheetData>
  <mergeCells count="30">
    <mergeCell ref="A18:D18"/>
    <mergeCell ref="A1:A2"/>
    <mergeCell ref="B1:C1"/>
    <mergeCell ref="D1:D2"/>
    <mergeCell ref="E1:E2"/>
    <mergeCell ref="B3:B11"/>
    <mergeCell ref="C5:C6"/>
    <mergeCell ref="C7:C11"/>
    <mergeCell ref="B12:B17"/>
    <mergeCell ref="C13:C15"/>
    <mergeCell ref="C16:C17"/>
    <mergeCell ref="N3:N10"/>
    <mergeCell ref="O3:O7"/>
    <mergeCell ref="K6:K7"/>
    <mergeCell ref="J9:J18"/>
    <mergeCell ref="K9:K16"/>
    <mergeCell ref="M11:P18"/>
    <mergeCell ref="F3:F18"/>
    <mergeCell ref="G3:G4"/>
    <mergeCell ref="G5:G18"/>
    <mergeCell ref="J3:J8"/>
    <mergeCell ref="H1:H2"/>
    <mergeCell ref="I1:I2"/>
    <mergeCell ref="J1:K1"/>
    <mergeCell ref="K3:K4"/>
    <mergeCell ref="L1:L2"/>
    <mergeCell ref="M1:M2"/>
    <mergeCell ref="N1:O1"/>
    <mergeCell ref="P1:P2"/>
    <mergeCell ref="F1:G1"/>
  </mergeCells>
  <phoneticPr fontId="35" type="noConversion"/>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2"/>
  <sheetViews>
    <sheetView workbookViewId="0"/>
  </sheetViews>
  <sheetFormatPr defaultColWidth="12.77734375" defaultRowHeight="15.75" customHeight="1"/>
  <cols>
    <col min="1" max="1" width="39.21875" customWidth="1"/>
    <col min="2" max="2" width="25.77734375" customWidth="1"/>
    <col min="3" max="3" width="13.21875" customWidth="1"/>
    <col min="4" max="4" width="64.21875" customWidth="1"/>
    <col min="5" max="6" width="70" customWidth="1"/>
  </cols>
  <sheetData>
    <row r="1" spans="1:6" ht="15.6">
      <c r="A1" s="205" t="s">
        <v>1156</v>
      </c>
      <c r="B1" s="205" t="s">
        <v>46</v>
      </c>
      <c r="C1" s="206" t="s">
        <v>1157</v>
      </c>
      <c r="D1" s="207"/>
      <c r="E1" s="203" t="s">
        <v>1158</v>
      </c>
      <c r="F1" s="27"/>
    </row>
    <row r="2" spans="1:6" ht="15.6">
      <c r="A2" s="189"/>
      <c r="B2" s="189"/>
      <c r="C2" s="198"/>
      <c r="D2" s="200"/>
      <c r="E2" s="189"/>
      <c r="F2" s="27"/>
    </row>
    <row r="3" spans="1:6" ht="15">
      <c r="A3" s="5" t="s">
        <v>1159</v>
      </c>
      <c r="B3" s="5">
        <v>1</v>
      </c>
      <c r="C3" s="204" t="s">
        <v>1160</v>
      </c>
      <c r="D3" s="29" t="s">
        <v>1161</v>
      </c>
      <c r="E3" s="30" t="s">
        <v>1162</v>
      </c>
      <c r="F3" s="31"/>
    </row>
    <row r="4" spans="1:6" ht="15">
      <c r="A4" s="6" t="s">
        <v>1159</v>
      </c>
      <c r="B4" s="6">
        <v>2</v>
      </c>
      <c r="C4" s="192"/>
      <c r="D4" s="32" t="s">
        <v>1163</v>
      </c>
      <c r="E4" s="33" t="s">
        <v>1162</v>
      </c>
      <c r="F4" s="31"/>
    </row>
    <row r="5" spans="1:6" ht="15">
      <c r="A5" s="6" t="s">
        <v>1159</v>
      </c>
      <c r="B5" s="6">
        <v>3</v>
      </c>
      <c r="C5" s="192"/>
      <c r="D5" s="32" t="s">
        <v>1164</v>
      </c>
      <c r="E5" s="33" t="s">
        <v>1165</v>
      </c>
      <c r="F5" s="31"/>
    </row>
    <row r="6" spans="1:6" ht="15">
      <c r="A6" s="6" t="s">
        <v>1159</v>
      </c>
      <c r="B6" s="6">
        <v>4</v>
      </c>
      <c r="C6" s="192"/>
      <c r="D6" s="32" t="s">
        <v>1166</v>
      </c>
      <c r="E6" s="33" t="s">
        <v>1167</v>
      </c>
      <c r="F6" s="31"/>
    </row>
    <row r="7" spans="1:6" ht="15">
      <c r="A7" s="6" t="s">
        <v>1159</v>
      </c>
      <c r="B7" s="6">
        <v>5</v>
      </c>
      <c r="C7" s="192"/>
      <c r="D7" s="32" t="s">
        <v>1168</v>
      </c>
      <c r="E7" s="33" t="s">
        <v>1169</v>
      </c>
      <c r="F7" s="31"/>
    </row>
    <row r="8" spans="1:6" ht="15">
      <c r="A8" s="6" t="s">
        <v>1159</v>
      </c>
      <c r="B8" s="6">
        <v>6</v>
      </c>
      <c r="C8" s="192"/>
      <c r="D8" s="32" t="s">
        <v>1170</v>
      </c>
      <c r="E8" s="33" t="s">
        <v>1171</v>
      </c>
      <c r="F8" s="31"/>
    </row>
    <row r="9" spans="1:6" ht="15">
      <c r="A9" s="6" t="s">
        <v>1159</v>
      </c>
      <c r="B9" s="6">
        <v>7</v>
      </c>
      <c r="C9" s="192"/>
      <c r="D9" s="34" t="s">
        <v>1172</v>
      </c>
      <c r="E9" s="33" t="s">
        <v>1173</v>
      </c>
      <c r="F9" s="31"/>
    </row>
    <row r="10" spans="1:6" ht="15">
      <c r="A10" s="8" t="s">
        <v>1159</v>
      </c>
      <c r="B10" s="8">
        <v>8</v>
      </c>
      <c r="C10" s="189"/>
      <c r="D10" s="35" t="s">
        <v>1174</v>
      </c>
      <c r="E10" s="36" t="s">
        <v>1175</v>
      </c>
      <c r="F10" s="31"/>
    </row>
    <row r="11" spans="1:6" ht="15">
      <c r="A11" s="5" t="s">
        <v>1159</v>
      </c>
      <c r="B11" s="5">
        <v>9</v>
      </c>
      <c r="C11" s="204" t="s">
        <v>1176</v>
      </c>
      <c r="D11" s="29" t="s">
        <v>1177</v>
      </c>
      <c r="E11" s="37" t="s">
        <v>1178</v>
      </c>
      <c r="F11" s="38"/>
    </row>
    <row r="12" spans="1:6" ht="29.25" customHeight="1">
      <c r="A12" s="8" t="s">
        <v>1159</v>
      </c>
      <c r="B12" s="8">
        <v>10</v>
      </c>
      <c r="C12" s="189"/>
      <c r="D12" s="35" t="s">
        <v>1179</v>
      </c>
      <c r="E12" s="36" t="s">
        <v>1180</v>
      </c>
      <c r="F12" s="31"/>
    </row>
    <row r="13" spans="1:6" ht="15">
      <c r="A13" s="5" t="s">
        <v>1159</v>
      </c>
      <c r="B13" s="5">
        <v>11</v>
      </c>
      <c r="C13" s="204" t="s">
        <v>1181</v>
      </c>
      <c r="D13" s="29" t="s">
        <v>1182</v>
      </c>
      <c r="E13" s="30" t="s">
        <v>1183</v>
      </c>
      <c r="F13" s="31"/>
    </row>
    <row r="14" spans="1:6" ht="15">
      <c r="A14" s="6" t="s">
        <v>1159</v>
      </c>
      <c r="B14" s="6">
        <v>12</v>
      </c>
      <c r="C14" s="192"/>
      <c r="D14" s="32" t="s">
        <v>1184</v>
      </c>
      <c r="E14" s="33" t="s">
        <v>1185</v>
      </c>
      <c r="F14" s="31"/>
    </row>
    <row r="15" spans="1:6" ht="15">
      <c r="A15" s="6" t="s">
        <v>1159</v>
      </c>
      <c r="B15" s="6">
        <v>13</v>
      </c>
      <c r="C15" s="192"/>
      <c r="D15" s="32" t="s">
        <v>1186</v>
      </c>
      <c r="E15" s="33" t="s">
        <v>1187</v>
      </c>
      <c r="F15" s="31"/>
    </row>
    <row r="16" spans="1:6" ht="15">
      <c r="A16" s="6" t="s">
        <v>1159</v>
      </c>
      <c r="B16" s="6">
        <v>14</v>
      </c>
      <c r="C16" s="192"/>
      <c r="D16" s="32" t="s">
        <v>1188</v>
      </c>
      <c r="E16" s="33" t="s">
        <v>1189</v>
      </c>
      <c r="F16" s="31"/>
    </row>
    <row r="17" spans="1:6" ht="15">
      <c r="A17" s="6" t="s">
        <v>1159</v>
      </c>
      <c r="B17" s="6">
        <v>15</v>
      </c>
      <c r="C17" s="192"/>
      <c r="D17" s="32" t="s">
        <v>1190</v>
      </c>
      <c r="E17" s="39" t="s">
        <v>1191</v>
      </c>
      <c r="F17" s="38"/>
    </row>
    <row r="18" spans="1:6" ht="36" customHeight="1">
      <c r="A18" s="6" t="s">
        <v>1159</v>
      </c>
      <c r="B18" s="6">
        <v>16</v>
      </c>
      <c r="C18" s="192"/>
      <c r="D18" s="32" t="s">
        <v>1192</v>
      </c>
      <c r="E18" s="39" t="s">
        <v>1193</v>
      </c>
      <c r="F18" s="38"/>
    </row>
    <row r="19" spans="1:6" ht="15">
      <c r="A19" s="6" t="s">
        <v>1159</v>
      </c>
      <c r="B19" s="6">
        <v>17</v>
      </c>
      <c r="C19" s="192"/>
      <c r="D19" s="32" t="s">
        <v>1194</v>
      </c>
      <c r="E19" s="39" t="s">
        <v>1195</v>
      </c>
      <c r="F19" s="38"/>
    </row>
    <row r="20" spans="1:6" ht="38.25" customHeight="1">
      <c r="A20" s="6" t="s">
        <v>1159</v>
      </c>
      <c r="B20" s="6">
        <v>18</v>
      </c>
      <c r="C20" s="192"/>
      <c r="D20" s="6" t="s">
        <v>1196</v>
      </c>
      <c r="E20" s="39" t="s">
        <v>1197</v>
      </c>
      <c r="F20" s="38"/>
    </row>
    <row r="21" spans="1:6" ht="22.5" customHeight="1">
      <c r="A21" s="6" t="s">
        <v>1159</v>
      </c>
      <c r="B21" s="6">
        <v>19</v>
      </c>
      <c r="C21" s="192"/>
      <c r="D21" s="32" t="s">
        <v>1198</v>
      </c>
      <c r="E21" s="39" t="s">
        <v>1199</v>
      </c>
      <c r="F21" s="38"/>
    </row>
    <row r="22" spans="1:6" ht="15">
      <c r="A22" s="6" t="s">
        <v>1159</v>
      </c>
      <c r="B22" s="6">
        <v>20</v>
      </c>
      <c r="C22" s="192"/>
      <c r="D22" s="32" t="s">
        <v>1200</v>
      </c>
      <c r="E22" s="33" t="s">
        <v>1201</v>
      </c>
      <c r="F22" s="31"/>
    </row>
    <row r="23" spans="1:6" ht="30.75" customHeight="1">
      <c r="A23" s="6" t="s">
        <v>1159</v>
      </c>
      <c r="B23" s="6">
        <v>21</v>
      </c>
      <c r="C23" s="192"/>
      <c r="D23" s="32" t="s">
        <v>1202</v>
      </c>
      <c r="E23" s="39" t="s">
        <v>1203</v>
      </c>
      <c r="F23" s="38"/>
    </row>
    <row r="24" spans="1:6" ht="15">
      <c r="A24" s="8" t="s">
        <v>1159</v>
      </c>
      <c r="B24" s="8">
        <v>22</v>
      </c>
      <c r="C24" s="189"/>
      <c r="D24" s="8" t="s">
        <v>1204</v>
      </c>
      <c r="E24" s="40" t="s">
        <v>1205</v>
      </c>
      <c r="F24" s="38"/>
    </row>
    <row r="25" spans="1:6" ht="15">
      <c r="A25" s="41" t="s">
        <v>1159</v>
      </c>
      <c r="B25" s="41">
        <v>23</v>
      </c>
      <c r="C25" s="28" t="s">
        <v>1206</v>
      </c>
      <c r="D25" s="28" t="s">
        <v>1207</v>
      </c>
      <c r="E25" s="42" t="s">
        <v>1208</v>
      </c>
      <c r="F25" s="38"/>
    </row>
    <row r="26" spans="1:6" ht="13.2">
      <c r="A26" s="11"/>
      <c r="B26" s="11"/>
      <c r="C26" s="11"/>
      <c r="D26" s="11"/>
      <c r="E26" s="11"/>
      <c r="F26" s="43"/>
    </row>
    <row r="27" spans="1:6" ht="13.2">
      <c r="A27" s="11" t="s">
        <v>1209</v>
      </c>
      <c r="F27" s="43"/>
    </row>
    <row r="28" spans="1:6" ht="13.2">
      <c r="A28" s="44" t="s">
        <v>1210</v>
      </c>
      <c r="F28" s="43"/>
    </row>
    <row r="29" spans="1:6" ht="13.2">
      <c r="A29" s="11" t="s">
        <v>1211</v>
      </c>
      <c r="F29" s="43"/>
    </row>
    <row r="30" spans="1:6" ht="13.2">
      <c r="F30" s="43"/>
    </row>
    <row r="31" spans="1:6" ht="13.2">
      <c r="F31" s="43"/>
    </row>
    <row r="32" spans="1:6" ht="13.2">
      <c r="F32" s="43"/>
    </row>
    <row r="33" spans="6:6" ht="13.2">
      <c r="F33" s="43"/>
    </row>
    <row r="34" spans="6:6" ht="13.2">
      <c r="F34" s="43"/>
    </row>
    <row r="35" spans="6:6" ht="13.2">
      <c r="F35" s="43"/>
    </row>
    <row r="36" spans="6:6" ht="13.2">
      <c r="F36" s="43"/>
    </row>
    <row r="37" spans="6:6" ht="13.2">
      <c r="F37" s="43"/>
    </row>
    <row r="38" spans="6:6" ht="13.2">
      <c r="F38" s="43"/>
    </row>
    <row r="39" spans="6:6" ht="13.2">
      <c r="F39" s="43"/>
    </row>
    <row r="40" spans="6:6" ht="13.2">
      <c r="F40" s="43"/>
    </row>
    <row r="41" spans="6:6" ht="13.2">
      <c r="F41" s="43"/>
    </row>
    <row r="42" spans="6:6" ht="13.2">
      <c r="F42" s="43"/>
    </row>
    <row r="43" spans="6:6" ht="13.2">
      <c r="F43" s="43"/>
    </row>
    <row r="44" spans="6:6" ht="13.2">
      <c r="F44" s="43"/>
    </row>
    <row r="45" spans="6:6" ht="13.2">
      <c r="F45" s="43"/>
    </row>
    <row r="46" spans="6:6" ht="13.2">
      <c r="F46" s="43"/>
    </row>
    <row r="47" spans="6:6" ht="13.2">
      <c r="F47" s="43"/>
    </row>
    <row r="48" spans="6:6" ht="13.2">
      <c r="F48" s="43"/>
    </row>
    <row r="49" spans="6:6" ht="13.2">
      <c r="F49" s="43"/>
    </row>
    <row r="50" spans="6:6" ht="13.2">
      <c r="F50" s="43"/>
    </row>
    <row r="51" spans="6:6" ht="13.2">
      <c r="F51" s="43"/>
    </row>
    <row r="52" spans="6:6" ht="13.2">
      <c r="F52" s="43"/>
    </row>
    <row r="53" spans="6:6" ht="13.2">
      <c r="F53" s="43"/>
    </row>
    <row r="54" spans="6:6" ht="13.2">
      <c r="F54" s="43"/>
    </row>
    <row r="55" spans="6:6" ht="13.2">
      <c r="F55" s="43"/>
    </row>
    <row r="56" spans="6:6" ht="13.2">
      <c r="F56" s="43"/>
    </row>
    <row r="57" spans="6:6" ht="13.2">
      <c r="F57" s="43"/>
    </row>
    <row r="58" spans="6:6" ht="13.2">
      <c r="F58" s="43"/>
    </row>
    <row r="59" spans="6:6" ht="13.2">
      <c r="F59" s="43"/>
    </row>
    <row r="60" spans="6:6" ht="13.2">
      <c r="F60" s="43"/>
    </row>
    <row r="61" spans="6:6" ht="13.2">
      <c r="F61" s="43"/>
    </row>
    <row r="62" spans="6:6" ht="13.2">
      <c r="F62" s="43"/>
    </row>
    <row r="63" spans="6:6" ht="13.2">
      <c r="F63" s="43"/>
    </row>
    <row r="64" spans="6:6" ht="13.2">
      <c r="F64" s="43"/>
    </row>
    <row r="65" spans="6:6" ht="13.2">
      <c r="F65" s="43"/>
    </row>
    <row r="66" spans="6:6" ht="13.2">
      <c r="F66" s="43"/>
    </row>
    <row r="67" spans="6:6" ht="13.2">
      <c r="F67" s="43"/>
    </row>
    <row r="68" spans="6:6" ht="13.2">
      <c r="F68" s="43"/>
    </row>
    <row r="69" spans="6:6" ht="13.2">
      <c r="F69" s="43"/>
    </row>
    <row r="70" spans="6:6" ht="13.2">
      <c r="F70" s="43"/>
    </row>
    <row r="71" spans="6:6" ht="13.2">
      <c r="F71" s="43"/>
    </row>
    <row r="72" spans="6:6" ht="13.2">
      <c r="F72" s="43"/>
    </row>
    <row r="73" spans="6:6" ht="13.2">
      <c r="F73" s="43"/>
    </row>
    <row r="74" spans="6:6" ht="13.2">
      <c r="F74" s="43"/>
    </row>
    <row r="75" spans="6:6" ht="13.2">
      <c r="F75" s="43"/>
    </row>
    <row r="76" spans="6:6" ht="13.2">
      <c r="F76" s="43"/>
    </row>
    <row r="77" spans="6:6" ht="13.2">
      <c r="F77" s="43"/>
    </row>
    <row r="78" spans="6:6" ht="13.2">
      <c r="F78" s="43"/>
    </row>
    <row r="79" spans="6:6" ht="13.2">
      <c r="F79" s="43"/>
    </row>
    <row r="80" spans="6:6" ht="13.2">
      <c r="F80" s="43"/>
    </row>
    <row r="81" spans="6:6" ht="13.2">
      <c r="F81" s="43"/>
    </row>
    <row r="82" spans="6:6" ht="13.2">
      <c r="F82" s="43"/>
    </row>
    <row r="83" spans="6:6" ht="13.2">
      <c r="F83" s="43"/>
    </row>
    <row r="84" spans="6:6" ht="13.2">
      <c r="F84" s="43"/>
    </row>
    <row r="85" spans="6:6" ht="13.2">
      <c r="F85" s="43"/>
    </row>
    <row r="86" spans="6:6" ht="13.2">
      <c r="F86" s="43"/>
    </row>
    <row r="87" spans="6:6" ht="13.2">
      <c r="F87" s="43"/>
    </row>
    <row r="88" spans="6:6" ht="13.2">
      <c r="F88" s="43"/>
    </row>
    <row r="89" spans="6:6" ht="13.2">
      <c r="F89" s="43"/>
    </row>
    <row r="90" spans="6:6" ht="13.2">
      <c r="F90" s="43"/>
    </row>
    <row r="91" spans="6:6" ht="13.2">
      <c r="F91" s="43"/>
    </row>
    <row r="92" spans="6:6" ht="13.2">
      <c r="F92" s="43"/>
    </row>
    <row r="93" spans="6:6" ht="13.2">
      <c r="F93" s="43"/>
    </row>
    <row r="94" spans="6:6" ht="13.2">
      <c r="F94" s="43"/>
    </row>
    <row r="95" spans="6:6" ht="13.2">
      <c r="F95" s="43"/>
    </row>
    <row r="96" spans="6:6" ht="13.2">
      <c r="F96" s="43"/>
    </row>
    <row r="97" spans="6:6" ht="13.2">
      <c r="F97" s="43"/>
    </row>
    <row r="98" spans="6:6" ht="13.2">
      <c r="F98" s="43"/>
    </row>
    <row r="99" spans="6:6" ht="13.2">
      <c r="F99" s="43"/>
    </row>
    <row r="100" spans="6:6" ht="13.2">
      <c r="F100" s="43"/>
    </row>
    <row r="101" spans="6:6" ht="13.2">
      <c r="F101" s="43"/>
    </row>
    <row r="102" spans="6:6" ht="13.2">
      <c r="F102" s="43"/>
    </row>
    <row r="103" spans="6:6" ht="13.2">
      <c r="F103" s="43"/>
    </row>
    <row r="104" spans="6:6" ht="13.2">
      <c r="F104" s="43"/>
    </row>
    <row r="105" spans="6:6" ht="13.2">
      <c r="F105" s="43"/>
    </row>
    <row r="106" spans="6:6" ht="13.2">
      <c r="F106" s="43"/>
    </row>
    <row r="107" spans="6:6" ht="13.2">
      <c r="F107" s="43"/>
    </row>
    <row r="108" spans="6:6" ht="13.2">
      <c r="F108" s="43"/>
    </row>
    <row r="109" spans="6:6" ht="13.2">
      <c r="F109" s="43"/>
    </row>
    <row r="110" spans="6:6" ht="13.2">
      <c r="F110" s="43"/>
    </row>
    <row r="111" spans="6:6" ht="13.2">
      <c r="F111" s="43"/>
    </row>
    <row r="112" spans="6:6" ht="13.2">
      <c r="F112" s="43"/>
    </row>
    <row r="113" spans="6:6" ht="13.2">
      <c r="F113" s="43"/>
    </row>
    <row r="114" spans="6:6" ht="13.2">
      <c r="F114" s="43"/>
    </row>
    <row r="115" spans="6:6" ht="13.2">
      <c r="F115" s="43"/>
    </row>
    <row r="116" spans="6:6" ht="13.2">
      <c r="F116" s="43"/>
    </row>
    <row r="117" spans="6:6" ht="13.2">
      <c r="F117" s="43"/>
    </row>
    <row r="118" spans="6:6" ht="13.2">
      <c r="F118" s="43"/>
    </row>
    <row r="119" spans="6:6" ht="13.2">
      <c r="F119" s="43"/>
    </row>
    <row r="120" spans="6:6" ht="13.2">
      <c r="F120" s="43"/>
    </row>
    <row r="121" spans="6:6" ht="13.2">
      <c r="F121" s="43"/>
    </row>
    <row r="122" spans="6:6" ht="13.2">
      <c r="F122" s="43"/>
    </row>
    <row r="123" spans="6:6" ht="13.2">
      <c r="F123" s="43"/>
    </row>
    <row r="124" spans="6:6" ht="13.2">
      <c r="F124" s="43"/>
    </row>
    <row r="125" spans="6:6" ht="13.2">
      <c r="F125" s="43"/>
    </row>
    <row r="126" spans="6:6" ht="13.2">
      <c r="F126" s="43"/>
    </row>
    <row r="127" spans="6:6" ht="13.2">
      <c r="F127" s="43"/>
    </row>
    <row r="128" spans="6:6" ht="13.2">
      <c r="F128" s="43"/>
    </row>
    <row r="129" spans="6:6" ht="13.2">
      <c r="F129" s="43"/>
    </row>
    <row r="130" spans="6:6" ht="13.2">
      <c r="F130" s="43"/>
    </row>
    <row r="131" spans="6:6" ht="13.2">
      <c r="F131" s="43"/>
    </row>
    <row r="132" spans="6:6" ht="13.2">
      <c r="F132" s="43"/>
    </row>
    <row r="133" spans="6:6" ht="13.2">
      <c r="F133" s="43"/>
    </row>
    <row r="134" spans="6:6" ht="13.2">
      <c r="F134" s="43"/>
    </row>
    <row r="135" spans="6:6" ht="13.2">
      <c r="F135" s="43"/>
    </row>
    <row r="136" spans="6:6" ht="13.2">
      <c r="F136" s="43"/>
    </row>
    <row r="137" spans="6:6" ht="13.2">
      <c r="F137" s="43"/>
    </row>
    <row r="138" spans="6:6" ht="13.2">
      <c r="F138" s="43"/>
    </row>
    <row r="139" spans="6:6" ht="13.2">
      <c r="F139" s="43"/>
    </row>
    <row r="140" spans="6:6" ht="13.2">
      <c r="F140" s="43"/>
    </row>
    <row r="141" spans="6:6" ht="13.2">
      <c r="F141" s="43"/>
    </row>
    <row r="142" spans="6:6" ht="13.2">
      <c r="F142" s="43"/>
    </row>
    <row r="143" spans="6:6" ht="13.2">
      <c r="F143" s="43"/>
    </row>
    <row r="144" spans="6:6" ht="13.2">
      <c r="F144" s="43"/>
    </row>
    <row r="145" spans="6:6" ht="13.2">
      <c r="F145" s="43"/>
    </row>
    <row r="146" spans="6:6" ht="13.2">
      <c r="F146" s="43"/>
    </row>
    <row r="147" spans="6:6" ht="13.2">
      <c r="F147" s="43"/>
    </row>
    <row r="148" spans="6:6" ht="13.2">
      <c r="F148" s="43"/>
    </row>
    <row r="149" spans="6:6" ht="13.2">
      <c r="F149" s="43"/>
    </row>
    <row r="150" spans="6:6" ht="13.2">
      <c r="F150" s="43"/>
    </row>
    <row r="151" spans="6:6" ht="13.2">
      <c r="F151" s="43"/>
    </row>
    <row r="152" spans="6:6" ht="13.2">
      <c r="F152" s="43"/>
    </row>
    <row r="153" spans="6:6" ht="13.2">
      <c r="F153" s="43"/>
    </row>
    <row r="154" spans="6:6" ht="13.2">
      <c r="F154" s="43"/>
    </row>
    <row r="155" spans="6:6" ht="13.2">
      <c r="F155" s="43"/>
    </row>
    <row r="156" spans="6:6" ht="13.2">
      <c r="F156" s="43"/>
    </row>
    <row r="157" spans="6:6" ht="13.2">
      <c r="F157" s="43"/>
    </row>
    <row r="158" spans="6:6" ht="13.2">
      <c r="F158" s="43"/>
    </row>
    <row r="159" spans="6:6" ht="13.2">
      <c r="F159" s="43"/>
    </row>
    <row r="160" spans="6:6" ht="13.2">
      <c r="F160" s="43"/>
    </row>
    <row r="161" spans="6:6" ht="13.2">
      <c r="F161" s="43"/>
    </row>
    <row r="162" spans="6:6" ht="13.2">
      <c r="F162" s="43"/>
    </row>
    <row r="163" spans="6:6" ht="13.2">
      <c r="F163" s="43"/>
    </row>
    <row r="164" spans="6:6" ht="13.2">
      <c r="F164" s="43"/>
    </row>
    <row r="165" spans="6:6" ht="13.2">
      <c r="F165" s="43"/>
    </row>
    <row r="166" spans="6:6" ht="13.2">
      <c r="F166" s="43"/>
    </row>
    <row r="167" spans="6:6" ht="13.2">
      <c r="F167" s="43"/>
    </row>
    <row r="168" spans="6:6" ht="13.2">
      <c r="F168" s="43"/>
    </row>
    <row r="169" spans="6:6" ht="13.2">
      <c r="F169" s="43"/>
    </row>
    <row r="170" spans="6:6" ht="13.2">
      <c r="F170" s="43"/>
    </row>
    <row r="171" spans="6:6" ht="13.2">
      <c r="F171" s="43"/>
    </row>
    <row r="172" spans="6:6" ht="13.2">
      <c r="F172" s="43"/>
    </row>
    <row r="173" spans="6:6" ht="13.2">
      <c r="F173" s="43"/>
    </row>
    <row r="174" spans="6:6" ht="13.2">
      <c r="F174" s="43"/>
    </row>
    <row r="175" spans="6:6" ht="13.2">
      <c r="F175" s="43"/>
    </row>
    <row r="176" spans="6:6" ht="13.2">
      <c r="F176" s="43"/>
    </row>
    <row r="177" spans="6:6" ht="13.2">
      <c r="F177" s="43"/>
    </row>
    <row r="178" spans="6:6" ht="13.2">
      <c r="F178" s="43"/>
    </row>
    <row r="179" spans="6:6" ht="13.2">
      <c r="F179" s="43"/>
    </row>
    <row r="180" spans="6:6" ht="13.2">
      <c r="F180" s="43"/>
    </row>
    <row r="181" spans="6:6" ht="13.2">
      <c r="F181" s="43"/>
    </row>
    <row r="182" spans="6:6" ht="13.2">
      <c r="F182" s="43"/>
    </row>
    <row r="183" spans="6:6" ht="13.2">
      <c r="F183" s="43"/>
    </row>
    <row r="184" spans="6:6" ht="13.2">
      <c r="F184" s="43"/>
    </row>
    <row r="185" spans="6:6" ht="13.2">
      <c r="F185" s="43"/>
    </row>
    <row r="186" spans="6:6" ht="13.2">
      <c r="F186" s="43"/>
    </row>
    <row r="187" spans="6:6" ht="13.2">
      <c r="F187" s="43"/>
    </row>
    <row r="188" spans="6:6" ht="13.2">
      <c r="F188" s="43"/>
    </row>
    <row r="189" spans="6:6" ht="13.2">
      <c r="F189" s="43"/>
    </row>
    <row r="190" spans="6:6" ht="13.2">
      <c r="F190" s="43"/>
    </row>
    <row r="191" spans="6:6" ht="13.2">
      <c r="F191" s="43"/>
    </row>
    <row r="192" spans="6:6" ht="13.2">
      <c r="F192" s="43"/>
    </row>
    <row r="193" spans="6:6" ht="13.2">
      <c r="F193" s="43"/>
    </row>
    <row r="194" spans="6:6" ht="13.2">
      <c r="F194" s="43"/>
    </row>
    <row r="195" spans="6:6" ht="13.2">
      <c r="F195" s="43"/>
    </row>
    <row r="196" spans="6:6" ht="13.2">
      <c r="F196" s="43"/>
    </row>
    <row r="197" spans="6:6" ht="13.2">
      <c r="F197" s="43"/>
    </row>
    <row r="198" spans="6:6" ht="13.2">
      <c r="F198" s="43"/>
    </row>
    <row r="199" spans="6:6" ht="13.2">
      <c r="F199" s="43"/>
    </row>
    <row r="200" spans="6:6" ht="13.2">
      <c r="F200" s="43"/>
    </row>
    <row r="201" spans="6:6" ht="13.2">
      <c r="F201" s="43"/>
    </row>
    <row r="202" spans="6:6" ht="13.2">
      <c r="F202" s="43"/>
    </row>
    <row r="203" spans="6:6" ht="13.2">
      <c r="F203" s="43"/>
    </row>
    <row r="204" spans="6:6" ht="13.2">
      <c r="F204" s="43"/>
    </row>
    <row r="205" spans="6:6" ht="13.2">
      <c r="F205" s="43"/>
    </row>
    <row r="206" spans="6:6" ht="13.2">
      <c r="F206" s="43"/>
    </row>
    <row r="207" spans="6:6" ht="13.2">
      <c r="F207" s="43"/>
    </row>
    <row r="208" spans="6:6" ht="13.2">
      <c r="F208" s="43"/>
    </row>
    <row r="209" spans="6:6" ht="13.2">
      <c r="F209" s="43"/>
    </row>
    <row r="210" spans="6:6" ht="13.2">
      <c r="F210" s="43"/>
    </row>
    <row r="211" spans="6:6" ht="13.2">
      <c r="F211" s="43"/>
    </row>
    <row r="212" spans="6:6" ht="13.2">
      <c r="F212" s="43"/>
    </row>
    <row r="213" spans="6:6" ht="13.2">
      <c r="F213" s="43"/>
    </row>
    <row r="214" spans="6:6" ht="13.2">
      <c r="F214" s="43"/>
    </row>
    <row r="215" spans="6:6" ht="13.2">
      <c r="F215" s="43"/>
    </row>
    <row r="216" spans="6:6" ht="13.2">
      <c r="F216" s="43"/>
    </row>
    <row r="217" spans="6:6" ht="13.2">
      <c r="F217" s="43"/>
    </row>
    <row r="218" spans="6:6" ht="13.2">
      <c r="F218" s="43"/>
    </row>
    <row r="219" spans="6:6" ht="13.2">
      <c r="F219" s="43"/>
    </row>
    <row r="220" spans="6:6" ht="13.2">
      <c r="F220" s="43"/>
    </row>
    <row r="221" spans="6:6" ht="13.2">
      <c r="F221" s="43"/>
    </row>
    <row r="222" spans="6:6" ht="13.2">
      <c r="F222" s="43"/>
    </row>
    <row r="223" spans="6:6" ht="13.2">
      <c r="F223" s="43"/>
    </row>
    <row r="224" spans="6:6" ht="13.2">
      <c r="F224" s="43"/>
    </row>
    <row r="225" spans="6:6" ht="13.2">
      <c r="F225" s="43"/>
    </row>
    <row r="226" spans="6:6" ht="13.2">
      <c r="F226" s="43"/>
    </row>
    <row r="227" spans="6:6" ht="13.2">
      <c r="F227" s="43"/>
    </row>
    <row r="228" spans="6:6" ht="13.2">
      <c r="F228" s="43"/>
    </row>
    <row r="229" spans="6:6" ht="13.2">
      <c r="F229" s="43"/>
    </row>
    <row r="230" spans="6:6" ht="13.2">
      <c r="F230" s="43"/>
    </row>
    <row r="231" spans="6:6" ht="13.2">
      <c r="F231" s="43"/>
    </row>
    <row r="232" spans="6:6" ht="13.2">
      <c r="F232" s="43"/>
    </row>
    <row r="233" spans="6:6" ht="13.2">
      <c r="F233" s="43"/>
    </row>
    <row r="234" spans="6:6" ht="13.2">
      <c r="F234" s="43"/>
    </row>
    <row r="235" spans="6:6" ht="13.2">
      <c r="F235" s="43"/>
    </row>
    <row r="236" spans="6:6" ht="13.2">
      <c r="F236" s="43"/>
    </row>
    <row r="237" spans="6:6" ht="13.2">
      <c r="F237" s="43"/>
    </row>
    <row r="238" spans="6:6" ht="13.2">
      <c r="F238" s="43"/>
    </row>
    <row r="239" spans="6:6" ht="13.2">
      <c r="F239" s="43"/>
    </row>
    <row r="240" spans="6:6" ht="13.2">
      <c r="F240" s="43"/>
    </row>
    <row r="241" spans="6:6" ht="13.2">
      <c r="F241" s="43"/>
    </row>
    <row r="242" spans="6:6" ht="13.2">
      <c r="F242" s="43"/>
    </row>
    <row r="243" spans="6:6" ht="13.2">
      <c r="F243" s="43"/>
    </row>
    <row r="244" spans="6:6" ht="13.2">
      <c r="F244" s="43"/>
    </row>
    <row r="245" spans="6:6" ht="13.2">
      <c r="F245" s="43"/>
    </row>
    <row r="246" spans="6:6" ht="13.2">
      <c r="F246" s="43"/>
    </row>
    <row r="247" spans="6:6" ht="13.2">
      <c r="F247" s="43"/>
    </row>
    <row r="248" spans="6:6" ht="13.2">
      <c r="F248" s="43"/>
    </row>
    <row r="249" spans="6:6" ht="13.2">
      <c r="F249" s="43"/>
    </row>
    <row r="250" spans="6:6" ht="13.2">
      <c r="F250" s="43"/>
    </row>
    <row r="251" spans="6:6" ht="13.2">
      <c r="F251" s="43"/>
    </row>
    <row r="252" spans="6:6" ht="13.2">
      <c r="F252" s="43"/>
    </row>
    <row r="253" spans="6:6" ht="13.2">
      <c r="F253" s="43"/>
    </row>
    <row r="254" spans="6:6" ht="13.2">
      <c r="F254" s="43"/>
    </row>
    <row r="255" spans="6:6" ht="13.2">
      <c r="F255" s="43"/>
    </row>
    <row r="256" spans="6:6" ht="13.2">
      <c r="F256" s="43"/>
    </row>
    <row r="257" spans="6:6" ht="13.2">
      <c r="F257" s="43"/>
    </row>
    <row r="258" spans="6:6" ht="13.2">
      <c r="F258" s="43"/>
    </row>
    <row r="259" spans="6:6" ht="13.2">
      <c r="F259" s="43"/>
    </row>
    <row r="260" spans="6:6" ht="13.2">
      <c r="F260" s="43"/>
    </row>
    <row r="261" spans="6:6" ht="13.2">
      <c r="F261" s="43"/>
    </row>
    <row r="262" spans="6:6" ht="13.2">
      <c r="F262" s="43"/>
    </row>
    <row r="263" spans="6:6" ht="13.2">
      <c r="F263" s="43"/>
    </row>
    <row r="264" spans="6:6" ht="13.2">
      <c r="F264" s="43"/>
    </row>
    <row r="265" spans="6:6" ht="13.2">
      <c r="F265" s="43"/>
    </row>
    <row r="266" spans="6:6" ht="13.2">
      <c r="F266" s="43"/>
    </row>
    <row r="267" spans="6:6" ht="13.2">
      <c r="F267" s="43"/>
    </row>
    <row r="268" spans="6:6" ht="13.2">
      <c r="F268" s="43"/>
    </row>
    <row r="269" spans="6:6" ht="13.2">
      <c r="F269" s="43"/>
    </row>
    <row r="270" spans="6:6" ht="13.2">
      <c r="F270" s="43"/>
    </row>
    <row r="271" spans="6:6" ht="13.2">
      <c r="F271" s="43"/>
    </row>
    <row r="272" spans="6:6" ht="13.2">
      <c r="F272" s="43"/>
    </row>
    <row r="273" spans="6:6" ht="13.2">
      <c r="F273" s="43"/>
    </row>
    <row r="274" spans="6:6" ht="13.2">
      <c r="F274" s="43"/>
    </row>
    <row r="275" spans="6:6" ht="13.2">
      <c r="F275" s="43"/>
    </row>
    <row r="276" spans="6:6" ht="13.2">
      <c r="F276" s="43"/>
    </row>
    <row r="277" spans="6:6" ht="13.2">
      <c r="F277" s="43"/>
    </row>
    <row r="278" spans="6:6" ht="13.2">
      <c r="F278" s="43"/>
    </row>
    <row r="279" spans="6:6" ht="13.2">
      <c r="F279" s="43"/>
    </row>
    <row r="280" spans="6:6" ht="13.2">
      <c r="F280" s="43"/>
    </row>
    <row r="281" spans="6:6" ht="13.2">
      <c r="F281" s="43"/>
    </row>
    <row r="282" spans="6:6" ht="13.2">
      <c r="F282" s="43"/>
    </row>
    <row r="283" spans="6:6" ht="13.2">
      <c r="F283" s="43"/>
    </row>
    <row r="284" spans="6:6" ht="13.2">
      <c r="F284" s="43"/>
    </row>
    <row r="285" spans="6:6" ht="13.2">
      <c r="F285" s="43"/>
    </row>
    <row r="286" spans="6:6" ht="13.2">
      <c r="F286" s="43"/>
    </row>
    <row r="287" spans="6:6" ht="13.2">
      <c r="F287" s="43"/>
    </row>
    <row r="288" spans="6:6" ht="13.2">
      <c r="F288" s="43"/>
    </row>
    <row r="289" spans="6:6" ht="13.2">
      <c r="F289" s="43"/>
    </row>
    <row r="290" spans="6:6" ht="13.2">
      <c r="F290" s="43"/>
    </row>
    <row r="291" spans="6:6" ht="13.2">
      <c r="F291" s="43"/>
    </row>
    <row r="292" spans="6:6" ht="13.2">
      <c r="F292" s="43"/>
    </row>
    <row r="293" spans="6:6" ht="13.2">
      <c r="F293" s="43"/>
    </row>
    <row r="294" spans="6:6" ht="13.2">
      <c r="F294" s="43"/>
    </row>
    <row r="295" spans="6:6" ht="13.2">
      <c r="F295" s="43"/>
    </row>
    <row r="296" spans="6:6" ht="13.2">
      <c r="F296" s="43"/>
    </row>
    <row r="297" spans="6:6" ht="13.2">
      <c r="F297" s="43"/>
    </row>
    <row r="298" spans="6:6" ht="13.2">
      <c r="F298" s="43"/>
    </row>
    <row r="299" spans="6:6" ht="13.2">
      <c r="F299" s="43"/>
    </row>
    <row r="300" spans="6:6" ht="13.2">
      <c r="F300" s="43"/>
    </row>
    <row r="301" spans="6:6" ht="13.2">
      <c r="F301" s="43"/>
    </row>
    <row r="302" spans="6:6" ht="13.2">
      <c r="F302" s="43"/>
    </row>
    <row r="303" spans="6:6" ht="13.2">
      <c r="F303" s="43"/>
    </row>
    <row r="304" spans="6:6" ht="13.2">
      <c r="F304" s="43"/>
    </row>
    <row r="305" spans="6:6" ht="13.2">
      <c r="F305" s="43"/>
    </row>
    <row r="306" spans="6:6" ht="13.2">
      <c r="F306" s="43"/>
    </row>
    <row r="307" spans="6:6" ht="13.2">
      <c r="F307" s="43"/>
    </row>
    <row r="308" spans="6:6" ht="13.2">
      <c r="F308" s="43"/>
    </row>
    <row r="309" spans="6:6" ht="13.2">
      <c r="F309" s="43"/>
    </row>
    <row r="310" spans="6:6" ht="13.2">
      <c r="F310" s="43"/>
    </row>
    <row r="311" spans="6:6" ht="13.2">
      <c r="F311" s="43"/>
    </row>
    <row r="312" spans="6:6" ht="13.2">
      <c r="F312" s="43"/>
    </row>
    <row r="313" spans="6:6" ht="13.2">
      <c r="F313" s="43"/>
    </row>
    <row r="314" spans="6:6" ht="13.2">
      <c r="F314" s="43"/>
    </row>
    <row r="315" spans="6:6" ht="13.2">
      <c r="F315" s="43"/>
    </row>
    <row r="316" spans="6:6" ht="13.2">
      <c r="F316" s="43"/>
    </row>
    <row r="317" spans="6:6" ht="13.2">
      <c r="F317" s="43"/>
    </row>
    <row r="318" spans="6:6" ht="13.2">
      <c r="F318" s="43"/>
    </row>
    <row r="319" spans="6:6" ht="13.2">
      <c r="F319" s="43"/>
    </row>
    <row r="320" spans="6:6" ht="13.2">
      <c r="F320" s="43"/>
    </row>
    <row r="321" spans="6:6" ht="13.2">
      <c r="F321" s="43"/>
    </row>
    <row r="322" spans="6:6" ht="13.2">
      <c r="F322" s="43"/>
    </row>
    <row r="323" spans="6:6" ht="13.2">
      <c r="F323" s="43"/>
    </row>
    <row r="324" spans="6:6" ht="13.2">
      <c r="F324" s="43"/>
    </row>
    <row r="325" spans="6:6" ht="13.2">
      <c r="F325" s="43"/>
    </row>
    <row r="326" spans="6:6" ht="13.2">
      <c r="F326" s="43"/>
    </row>
    <row r="327" spans="6:6" ht="13.2">
      <c r="F327" s="43"/>
    </row>
    <row r="328" spans="6:6" ht="13.2">
      <c r="F328" s="43"/>
    </row>
    <row r="329" spans="6:6" ht="13.2">
      <c r="F329" s="43"/>
    </row>
    <row r="330" spans="6:6" ht="13.2">
      <c r="F330" s="43"/>
    </row>
    <row r="331" spans="6:6" ht="13.2">
      <c r="F331" s="43"/>
    </row>
    <row r="332" spans="6:6" ht="13.2">
      <c r="F332" s="43"/>
    </row>
    <row r="333" spans="6:6" ht="13.2">
      <c r="F333" s="43"/>
    </row>
    <row r="334" spans="6:6" ht="13.2">
      <c r="F334" s="43"/>
    </row>
    <row r="335" spans="6:6" ht="13.2">
      <c r="F335" s="43"/>
    </row>
    <row r="336" spans="6:6" ht="13.2">
      <c r="F336" s="43"/>
    </row>
    <row r="337" spans="6:6" ht="13.2">
      <c r="F337" s="43"/>
    </row>
    <row r="338" spans="6:6" ht="13.2">
      <c r="F338" s="43"/>
    </row>
    <row r="339" spans="6:6" ht="13.2">
      <c r="F339" s="43"/>
    </row>
    <row r="340" spans="6:6" ht="13.2">
      <c r="F340" s="43"/>
    </row>
    <row r="341" spans="6:6" ht="13.2">
      <c r="F341" s="43"/>
    </row>
    <row r="342" spans="6:6" ht="13.2">
      <c r="F342" s="43"/>
    </row>
    <row r="343" spans="6:6" ht="13.2">
      <c r="F343" s="43"/>
    </row>
    <row r="344" spans="6:6" ht="13.2">
      <c r="F344" s="43"/>
    </row>
    <row r="345" spans="6:6" ht="13.2">
      <c r="F345" s="43"/>
    </row>
    <row r="346" spans="6:6" ht="13.2">
      <c r="F346" s="43"/>
    </row>
    <row r="347" spans="6:6" ht="13.2">
      <c r="F347" s="43"/>
    </row>
    <row r="348" spans="6:6" ht="13.2">
      <c r="F348" s="43"/>
    </row>
    <row r="349" spans="6:6" ht="13.2">
      <c r="F349" s="43"/>
    </row>
    <row r="350" spans="6:6" ht="13.2">
      <c r="F350" s="43"/>
    </row>
    <row r="351" spans="6:6" ht="13.2">
      <c r="F351" s="43"/>
    </row>
    <row r="352" spans="6:6" ht="13.2">
      <c r="F352" s="43"/>
    </row>
    <row r="353" spans="6:6" ht="13.2">
      <c r="F353" s="43"/>
    </row>
    <row r="354" spans="6:6" ht="13.2">
      <c r="F354" s="43"/>
    </row>
    <row r="355" spans="6:6" ht="13.2">
      <c r="F355" s="43"/>
    </row>
    <row r="356" spans="6:6" ht="13.2">
      <c r="F356" s="43"/>
    </row>
    <row r="357" spans="6:6" ht="13.2">
      <c r="F357" s="43"/>
    </row>
    <row r="358" spans="6:6" ht="13.2">
      <c r="F358" s="43"/>
    </row>
    <row r="359" spans="6:6" ht="13.2">
      <c r="F359" s="43"/>
    </row>
    <row r="360" spans="6:6" ht="13.2">
      <c r="F360" s="43"/>
    </row>
    <row r="361" spans="6:6" ht="13.2">
      <c r="F361" s="43"/>
    </row>
    <row r="362" spans="6:6" ht="13.2">
      <c r="F362" s="43"/>
    </row>
    <row r="363" spans="6:6" ht="13.2">
      <c r="F363" s="43"/>
    </row>
    <row r="364" spans="6:6" ht="13.2">
      <c r="F364" s="43"/>
    </row>
    <row r="365" spans="6:6" ht="13.2">
      <c r="F365" s="43"/>
    </row>
    <row r="366" spans="6:6" ht="13.2">
      <c r="F366" s="43"/>
    </row>
    <row r="367" spans="6:6" ht="13.2">
      <c r="F367" s="43"/>
    </row>
    <row r="368" spans="6:6" ht="13.2">
      <c r="F368" s="43"/>
    </row>
    <row r="369" spans="6:6" ht="13.2">
      <c r="F369" s="43"/>
    </row>
    <row r="370" spans="6:6" ht="13.2">
      <c r="F370" s="43"/>
    </row>
    <row r="371" spans="6:6" ht="13.2">
      <c r="F371" s="43"/>
    </row>
    <row r="372" spans="6:6" ht="13.2">
      <c r="F372" s="43"/>
    </row>
    <row r="373" spans="6:6" ht="13.2">
      <c r="F373" s="43"/>
    </row>
    <row r="374" spans="6:6" ht="13.2">
      <c r="F374" s="43"/>
    </row>
    <row r="375" spans="6:6" ht="13.2">
      <c r="F375" s="43"/>
    </row>
    <row r="376" spans="6:6" ht="13.2">
      <c r="F376" s="43"/>
    </row>
    <row r="377" spans="6:6" ht="13.2">
      <c r="F377" s="43"/>
    </row>
    <row r="378" spans="6:6" ht="13.2">
      <c r="F378" s="43"/>
    </row>
    <row r="379" spans="6:6" ht="13.2">
      <c r="F379" s="43"/>
    </row>
    <row r="380" spans="6:6" ht="13.2">
      <c r="F380" s="43"/>
    </row>
    <row r="381" spans="6:6" ht="13.2">
      <c r="F381" s="43"/>
    </row>
    <row r="382" spans="6:6" ht="13.2">
      <c r="F382" s="43"/>
    </row>
    <row r="383" spans="6:6" ht="13.2">
      <c r="F383" s="43"/>
    </row>
    <row r="384" spans="6:6" ht="13.2">
      <c r="F384" s="43"/>
    </row>
    <row r="385" spans="6:6" ht="13.2">
      <c r="F385" s="43"/>
    </row>
    <row r="386" spans="6:6" ht="13.2">
      <c r="F386" s="43"/>
    </row>
    <row r="387" spans="6:6" ht="13.2">
      <c r="F387" s="43"/>
    </row>
    <row r="388" spans="6:6" ht="13.2">
      <c r="F388" s="43"/>
    </row>
    <row r="389" spans="6:6" ht="13.2">
      <c r="F389" s="43"/>
    </row>
    <row r="390" spans="6:6" ht="13.2">
      <c r="F390" s="43"/>
    </row>
    <row r="391" spans="6:6" ht="13.2">
      <c r="F391" s="43"/>
    </row>
    <row r="392" spans="6:6" ht="13.2">
      <c r="F392" s="43"/>
    </row>
    <row r="393" spans="6:6" ht="13.2">
      <c r="F393" s="43"/>
    </row>
    <row r="394" spans="6:6" ht="13.2">
      <c r="F394" s="43"/>
    </row>
    <row r="395" spans="6:6" ht="13.2">
      <c r="F395" s="43"/>
    </row>
    <row r="396" spans="6:6" ht="13.2">
      <c r="F396" s="43"/>
    </row>
    <row r="397" spans="6:6" ht="13.2">
      <c r="F397" s="43"/>
    </row>
    <row r="398" spans="6:6" ht="13.2">
      <c r="F398" s="43"/>
    </row>
    <row r="399" spans="6:6" ht="13.2">
      <c r="F399" s="43"/>
    </row>
    <row r="400" spans="6:6" ht="13.2">
      <c r="F400" s="43"/>
    </row>
    <row r="401" spans="6:6" ht="13.2">
      <c r="F401" s="43"/>
    </row>
    <row r="402" spans="6:6" ht="13.2">
      <c r="F402" s="43"/>
    </row>
    <row r="403" spans="6:6" ht="13.2">
      <c r="F403" s="43"/>
    </row>
    <row r="404" spans="6:6" ht="13.2">
      <c r="F404" s="43"/>
    </row>
    <row r="405" spans="6:6" ht="13.2">
      <c r="F405" s="43"/>
    </row>
    <row r="406" spans="6:6" ht="13.2">
      <c r="F406" s="43"/>
    </row>
    <row r="407" spans="6:6" ht="13.2">
      <c r="F407" s="43"/>
    </row>
    <row r="408" spans="6:6" ht="13.2">
      <c r="F408" s="43"/>
    </row>
    <row r="409" spans="6:6" ht="13.2">
      <c r="F409" s="43"/>
    </row>
    <row r="410" spans="6:6" ht="13.2">
      <c r="F410" s="43"/>
    </row>
    <row r="411" spans="6:6" ht="13.2">
      <c r="F411" s="43"/>
    </row>
    <row r="412" spans="6:6" ht="13.2">
      <c r="F412" s="43"/>
    </row>
    <row r="413" spans="6:6" ht="13.2">
      <c r="F413" s="43"/>
    </row>
    <row r="414" spans="6:6" ht="13.2">
      <c r="F414" s="43"/>
    </row>
    <row r="415" spans="6:6" ht="13.2">
      <c r="F415" s="43"/>
    </row>
    <row r="416" spans="6:6" ht="13.2">
      <c r="F416" s="43"/>
    </row>
    <row r="417" spans="6:6" ht="13.2">
      <c r="F417" s="43"/>
    </row>
    <row r="418" spans="6:6" ht="13.2">
      <c r="F418" s="43"/>
    </row>
    <row r="419" spans="6:6" ht="13.2">
      <c r="F419" s="43"/>
    </row>
    <row r="420" spans="6:6" ht="13.2">
      <c r="F420" s="43"/>
    </row>
    <row r="421" spans="6:6" ht="13.2">
      <c r="F421" s="43"/>
    </row>
    <row r="422" spans="6:6" ht="13.2">
      <c r="F422" s="43"/>
    </row>
    <row r="423" spans="6:6" ht="13.2">
      <c r="F423" s="43"/>
    </row>
    <row r="424" spans="6:6" ht="13.2">
      <c r="F424" s="43"/>
    </row>
    <row r="425" spans="6:6" ht="13.2">
      <c r="F425" s="43"/>
    </row>
    <row r="426" spans="6:6" ht="13.2">
      <c r="F426" s="43"/>
    </row>
    <row r="427" spans="6:6" ht="13.2">
      <c r="F427" s="43"/>
    </row>
    <row r="428" spans="6:6" ht="13.2">
      <c r="F428" s="43"/>
    </row>
    <row r="429" spans="6:6" ht="13.2">
      <c r="F429" s="43"/>
    </row>
    <row r="430" spans="6:6" ht="13.2">
      <c r="F430" s="43"/>
    </row>
    <row r="431" spans="6:6" ht="13.2">
      <c r="F431" s="43"/>
    </row>
    <row r="432" spans="6:6" ht="13.2">
      <c r="F432" s="43"/>
    </row>
    <row r="433" spans="6:6" ht="13.2">
      <c r="F433" s="43"/>
    </row>
    <row r="434" spans="6:6" ht="13.2">
      <c r="F434" s="43"/>
    </row>
    <row r="435" spans="6:6" ht="13.2">
      <c r="F435" s="43"/>
    </row>
    <row r="436" spans="6:6" ht="13.2">
      <c r="F436" s="43"/>
    </row>
    <row r="437" spans="6:6" ht="13.2">
      <c r="F437" s="43"/>
    </row>
    <row r="438" spans="6:6" ht="13.2">
      <c r="F438" s="43"/>
    </row>
    <row r="439" spans="6:6" ht="13.2">
      <c r="F439" s="43"/>
    </row>
    <row r="440" spans="6:6" ht="13.2">
      <c r="F440" s="43"/>
    </row>
    <row r="441" spans="6:6" ht="13.2">
      <c r="F441" s="43"/>
    </row>
    <row r="442" spans="6:6" ht="13.2">
      <c r="F442" s="43"/>
    </row>
    <row r="443" spans="6:6" ht="13.2">
      <c r="F443" s="43"/>
    </row>
    <row r="444" spans="6:6" ht="13.2">
      <c r="F444" s="43"/>
    </row>
    <row r="445" spans="6:6" ht="13.2">
      <c r="F445" s="43"/>
    </row>
    <row r="446" spans="6:6" ht="13.2">
      <c r="F446" s="43"/>
    </row>
    <row r="447" spans="6:6" ht="13.2">
      <c r="F447" s="43"/>
    </row>
    <row r="448" spans="6:6" ht="13.2">
      <c r="F448" s="43"/>
    </row>
    <row r="449" spans="6:6" ht="13.2">
      <c r="F449" s="43"/>
    </row>
    <row r="450" spans="6:6" ht="13.2">
      <c r="F450" s="43"/>
    </row>
    <row r="451" spans="6:6" ht="13.2">
      <c r="F451" s="43"/>
    </row>
    <row r="452" spans="6:6" ht="13.2">
      <c r="F452" s="43"/>
    </row>
    <row r="453" spans="6:6" ht="13.2">
      <c r="F453" s="43"/>
    </row>
    <row r="454" spans="6:6" ht="13.2">
      <c r="F454" s="43"/>
    </row>
    <row r="455" spans="6:6" ht="13.2">
      <c r="F455" s="43"/>
    </row>
    <row r="456" spans="6:6" ht="13.2">
      <c r="F456" s="43"/>
    </row>
    <row r="457" spans="6:6" ht="13.2">
      <c r="F457" s="43"/>
    </row>
    <row r="458" spans="6:6" ht="13.2">
      <c r="F458" s="43"/>
    </row>
    <row r="459" spans="6:6" ht="13.2">
      <c r="F459" s="43"/>
    </row>
    <row r="460" spans="6:6" ht="13.2">
      <c r="F460" s="43"/>
    </row>
    <row r="461" spans="6:6" ht="13.2">
      <c r="F461" s="43"/>
    </row>
    <row r="462" spans="6:6" ht="13.2">
      <c r="F462" s="43"/>
    </row>
    <row r="463" spans="6:6" ht="13.2">
      <c r="F463" s="43"/>
    </row>
    <row r="464" spans="6:6" ht="13.2">
      <c r="F464" s="43"/>
    </row>
    <row r="465" spans="6:6" ht="13.2">
      <c r="F465" s="43"/>
    </row>
    <row r="466" spans="6:6" ht="13.2">
      <c r="F466" s="43"/>
    </row>
    <row r="467" spans="6:6" ht="13.2">
      <c r="F467" s="43"/>
    </row>
    <row r="468" spans="6:6" ht="13.2">
      <c r="F468" s="43"/>
    </row>
    <row r="469" spans="6:6" ht="13.2">
      <c r="F469" s="43"/>
    </row>
    <row r="470" spans="6:6" ht="13.2">
      <c r="F470" s="43"/>
    </row>
    <row r="471" spans="6:6" ht="13.2">
      <c r="F471" s="43"/>
    </row>
    <row r="472" spans="6:6" ht="13.2">
      <c r="F472" s="43"/>
    </row>
    <row r="473" spans="6:6" ht="13.2">
      <c r="F473" s="43"/>
    </row>
    <row r="474" spans="6:6" ht="13.2">
      <c r="F474" s="43"/>
    </row>
    <row r="475" spans="6:6" ht="13.2">
      <c r="F475" s="43"/>
    </row>
    <row r="476" spans="6:6" ht="13.2">
      <c r="F476" s="43"/>
    </row>
    <row r="477" spans="6:6" ht="13.2">
      <c r="F477" s="43"/>
    </row>
    <row r="478" spans="6:6" ht="13.2">
      <c r="F478" s="43"/>
    </row>
    <row r="479" spans="6:6" ht="13.2">
      <c r="F479" s="43"/>
    </row>
    <row r="480" spans="6:6" ht="13.2">
      <c r="F480" s="43"/>
    </row>
    <row r="481" spans="6:6" ht="13.2">
      <c r="F481" s="43"/>
    </row>
    <row r="482" spans="6:6" ht="13.2">
      <c r="F482" s="43"/>
    </row>
    <row r="483" spans="6:6" ht="13.2">
      <c r="F483" s="43"/>
    </row>
    <row r="484" spans="6:6" ht="13.2">
      <c r="F484" s="43"/>
    </row>
    <row r="485" spans="6:6" ht="13.2">
      <c r="F485" s="43"/>
    </row>
    <row r="486" spans="6:6" ht="13.2">
      <c r="F486" s="43"/>
    </row>
    <row r="487" spans="6:6" ht="13.2">
      <c r="F487" s="43"/>
    </row>
    <row r="488" spans="6:6" ht="13.2">
      <c r="F488" s="43"/>
    </row>
    <row r="489" spans="6:6" ht="13.2">
      <c r="F489" s="43"/>
    </row>
    <row r="490" spans="6:6" ht="13.2">
      <c r="F490" s="43"/>
    </row>
    <row r="491" spans="6:6" ht="13.2">
      <c r="F491" s="43"/>
    </row>
    <row r="492" spans="6:6" ht="13.2">
      <c r="F492" s="43"/>
    </row>
    <row r="493" spans="6:6" ht="13.2">
      <c r="F493" s="43"/>
    </row>
    <row r="494" spans="6:6" ht="13.2">
      <c r="F494" s="43"/>
    </row>
    <row r="495" spans="6:6" ht="13.2">
      <c r="F495" s="43"/>
    </row>
    <row r="496" spans="6:6" ht="13.2">
      <c r="F496" s="43"/>
    </row>
    <row r="497" spans="6:6" ht="13.2">
      <c r="F497" s="43"/>
    </row>
    <row r="498" spans="6:6" ht="13.2">
      <c r="F498" s="43"/>
    </row>
    <row r="499" spans="6:6" ht="13.2">
      <c r="F499" s="43"/>
    </row>
    <row r="500" spans="6:6" ht="13.2">
      <c r="F500" s="43"/>
    </row>
    <row r="501" spans="6:6" ht="13.2">
      <c r="F501" s="43"/>
    </row>
    <row r="502" spans="6:6" ht="13.2">
      <c r="F502" s="43"/>
    </row>
    <row r="503" spans="6:6" ht="13.2">
      <c r="F503" s="43"/>
    </row>
    <row r="504" spans="6:6" ht="13.2">
      <c r="F504" s="43"/>
    </row>
    <row r="505" spans="6:6" ht="13.2">
      <c r="F505" s="43"/>
    </row>
    <row r="506" spans="6:6" ht="13.2">
      <c r="F506" s="43"/>
    </row>
    <row r="507" spans="6:6" ht="13.2">
      <c r="F507" s="43"/>
    </row>
    <row r="508" spans="6:6" ht="13.2">
      <c r="F508" s="43"/>
    </row>
    <row r="509" spans="6:6" ht="13.2">
      <c r="F509" s="43"/>
    </row>
    <row r="510" spans="6:6" ht="13.2">
      <c r="F510" s="43"/>
    </row>
    <row r="511" spans="6:6" ht="13.2">
      <c r="F511" s="43"/>
    </row>
    <row r="512" spans="6:6" ht="13.2">
      <c r="F512" s="43"/>
    </row>
    <row r="513" spans="6:6" ht="13.2">
      <c r="F513" s="43"/>
    </row>
    <row r="514" spans="6:6" ht="13.2">
      <c r="F514" s="43"/>
    </row>
    <row r="515" spans="6:6" ht="13.2">
      <c r="F515" s="43"/>
    </row>
    <row r="516" spans="6:6" ht="13.2">
      <c r="F516" s="43"/>
    </row>
    <row r="517" spans="6:6" ht="13.2">
      <c r="F517" s="43"/>
    </row>
    <row r="518" spans="6:6" ht="13.2">
      <c r="F518" s="43"/>
    </row>
    <row r="519" spans="6:6" ht="13.2">
      <c r="F519" s="43"/>
    </row>
    <row r="520" spans="6:6" ht="13.2">
      <c r="F520" s="43"/>
    </row>
    <row r="521" spans="6:6" ht="13.2">
      <c r="F521" s="43"/>
    </row>
    <row r="522" spans="6:6" ht="13.2">
      <c r="F522" s="43"/>
    </row>
    <row r="523" spans="6:6" ht="13.2">
      <c r="F523" s="43"/>
    </row>
    <row r="524" spans="6:6" ht="13.2">
      <c r="F524" s="43"/>
    </row>
    <row r="525" spans="6:6" ht="13.2">
      <c r="F525" s="43"/>
    </row>
    <row r="526" spans="6:6" ht="13.2">
      <c r="F526" s="43"/>
    </row>
    <row r="527" spans="6:6" ht="13.2">
      <c r="F527" s="43"/>
    </row>
    <row r="528" spans="6:6" ht="13.2">
      <c r="F528" s="43"/>
    </row>
    <row r="529" spans="6:6" ht="13.2">
      <c r="F529" s="43"/>
    </row>
    <row r="530" spans="6:6" ht="13.2">
      <c r="F530" s="43"/>
    </row>
    <row r="531" spans="6:6" ht="13.2">
      <c r="F531" s="43"/>
    </row>
    <row r="532" spans="6:6" ht="13.2">
      <c r="F532" s="43"/>
    </row>
    <row r="533" spans="6:6" ht="13.2">
      <c r="F533" s="43"/>
    </row>
    <row r="534" spans="6:6" ht="13.2">
      <c r="F534" s="43"/>
    </row>
    <row r="535" spans="6:6" ht="13.2">
      <c r="F535" s="43"/>
    </row>
    <row r="536" spans="6:6" ht="13.2">
      <c r="F536" s="43"/>
    </row>
    <row r="537" spans="6:6" ht="13.2">
      <c r="F537" s="43"/>
    </row>
    <row r="538" spans="6:6" ht="13.2">
      <c r="F538" s="43"/>
    </row>
    <row r="539" spans="6:6" ht="13.2">
      <c r="F539" s="43"/>
    </row>
    <row r="540" spans="6:6" ht="13.2">
      <c r="F540" s="43"/>
    </row>
    <row r="541" spans="6:6" ht="13.2">
      <c r="F541" s="43"/>
    </row>
    <row r="542" spans="6:6" ht="13.2">
      <c r="F542" s="43"/>
    </row>
    <row r="543" spans="6:6" ht="13.2">
      <c r="F543" s="43"/>
    </row>
    <row r="544" spans="6:6" ht="13.2">
      <c r="F544" s="43"/>
    </row>
    <row r="545" spans="6:6" ht="13.2">
      <c r="F545" s="43"/>
    </row>
    <row r="546" spans="6:6" ht="13.2">
      <c r="F546" s="43"/>
    </row>
    <row r="547" spans="6:6" ht="13.2">
      <c r="F547" s="43"/>
    </row>
    <row r="548" spans="6:6" ht="13.2">
      <c r="F548" s="43"/>
    </row>
    <row r="549" spans="6:6" ht="13.2">
      <c r="F549" s="43"/>
    </row>
    <row r="550" spans="6:6" ht="13.2">
      <c r="F550" s="43"/>
    </row>
    <row r="551" spans="6:6" ht="13.2">
      <c r="F551" s="43"/>
    </row>
    <row r="552" spans="6:6" ht="13.2">
      <c r="F552" s="43"/>
    </row>
    <row r="553" spans="6:6" ht="13.2">
      <c r="F553" s="43"/>
    </row>
    <row r="554" spans="6:6" ht="13.2">
      <c r="F554" s="43"/>
    </row>
    <row r="555" spans="6:6" ht="13.2">
      <c r="F555" s="43"/>
    </row>
    <row r="556" spans="6:6" ht="13.2">
      <c r="F556" s="43"/>
    </row>
    <row r="557" spans="6:6" ht="13.2">
      <c r="F557" s="43"/>
    </row>
    <row r="558" spans="6:6" ht="13.2">
      <c r="F558" s="43"/>
    </row>
    <row r="559" spans="6:6" ht="13.2">
      <c r="F559" s="43"/>
    </row>
    <row r="560" spans="6:6" ht="13.2">
      <c r="F560" s="43"/>
    </row>
    <row r="561" spans="6:6" ht="13.2">
      <c r="F561" s="43"/>
    </row>
    <row r="562" spans="6:6" ht="13.2">
      <c r="F562" s="43"/>
    </row>
    <row r="563" spans="6:6" ht="13.2">
      <c r="F563" s="43"/>
    </row>
    <row r="564" spans="6:6" ht="13.2">
      <c r="F564" s="43"/>
    </row>
    <row r="565" spans="6:6" ht="13.2">
      <c r="F565" s="43"/>
    </row>
    <row r="566" spans="6:6" ht="13.2">
      <c r="F566" s="43"/>
    </row>
    <row r="567" spans="6:6" ht="13.2">
      <c r="F567" s="43"/>
    </row>
    <row r="568" spans="6:6" ht="13.2">
      <c r="F568" s="43"/>
    </row>
    <row r="569" spans="6:6" ht="13.2">
      <c r="F569" s="43"/>
    </row>
    <row r="570" spans="6:6" ht="13.2">
      <c r="F570" s="43"/>
    </row>
    <row r="571" spans="6:6" ht="13.2">
      <c r="F571" s="43"/>
    </row>
    <row r="572" spans="6:6" ht="13.2">
      <c r="F572" s="43"/>
    </row>
    <row r="573" spans="6:6" ht="13.2">
      <c r="F573" s="43"/>
    </row>
    <row r="574" spans="6:6" ht="13.2">
      <c r="F574" s="43"/>
    </row>
    <row r="575" spans="6:6" ht="13.2">
      <c r="F575" s="43"/>
    </row>
    <row r="576" spans="6:6" ht="13.2">
      <c r="F576" s="43"/>
    </row>
    <row r="577" spans="6:6" ht="13.2">
      <c r="F577" s="43"/>
    </row>
    <row r="578" spans="6:6" ht="13.2">
      <c r="F578" s="43"/>
    </row>
    <row r="579" spans="6:6" ht="13.2">
      <c r="F579" s="43"/>
    </row>
    <row r="580" spans="6:6" ht="13.2">
      <c r="F580" s="43"/>
    </row>
    <row r="581" spans="6:6" ht="13.2">
      <c r="F581" s="43"/>
    </row>
    <row r="582" spans="6:6" ht="13.2">
      <c r="F582" s="43"/>
    </row>
    <row r="583" spans="6:6" ht="13.2">
      <c r="F583" s="43"/>
    </row>
    <row r="584" spans="6:6" ht="13.2">
      <c r="F584" s="43"/>
    </row>
    <row r="585" spans="6:6" ht="13.2">
      <c r="F585" s="43"/>
    </row>
    <row r="586" spans="6:6" ht="13.2">
      <c r="F586" s="43"/>
    </row>
    <row r="587" spans="6:6" ht="13.2">
      <c r="F587" s="43"/>
    </row>
    <row r="588" spans="6:6" ht="13.2">
      <c r="F588" s="43"/>
    </row>
    <row r="589" spans="6:6" ht="13.2">
      <c r="F589" s="43"/>
    </row>
    <row r="590" spans="6:6" ht="13.2">
      <c r="F590" s="43"/>
    </row>
    <row r="591" spans="6:6" ht="13.2">
      <c r="F591" s="43"/>
    </row>
    <row r="592" spans="6:6" ht="13.2">
      <c r="F592" s="43"/>
    </row>
    <row r="593" spans="6:6" ht="13.2">
      <c r="F593" s="43"/>
    </row>
    <row r="594" spans="6:6" ht="13.2">
      <c r="F594" s="43"/>
    </row>
    <row r="595" spans="6:6" ht="13.2">
      <c r="F595" s="43"/>
    </row>
    <row r="596" spans="6:6" ht="13.2">
      <c r="F596" s="43"/>
    </row>
    <row r="597" spans="6:6" ht="13.2">
      <c r="F597" s="43"/>
    </row>
    <row r="598" spans="6:6" ht="13.2">
      <c r="F598" s="43"/>
    </row>
    <row r="599" spans="6:6" ht="13.2">
      <c r="F599" s="43"/>
    </row>
    <row r="600" spans="6:6" ht="13.2">
      <c r="F600" s="43"/>
    </row>
    <row r="601" spans="6:6" ht="13.2">
      <c r="F601" s="43"/>
    </row>
    <row r="602" spans="6:6" ht="13.2">
      <c r="F602" s="43"/>
    </row>
    <row r="603" spans="6:6" ht="13.2">
      <c r="F603" s="43"/>
    </row>
    <row r="604" spans="6:6" ht="13.2">
      <c r="F604" s="43"/>
    </row>
    <row r="605" spans="6:6" ht="13.2">
      <c r="F605" s="43"/>
    </row>
    <row r="606" spans="6:6" ht="13.2">
      <c r="F606" s="43"/>
    </row>
    <row r="607" spans="6:6" ht="13.2">
      <c r="F607" s="43"/>
    </row>
    <row r="608" spans="6:6" ht="13.2">
      <c r="F608" s="43"/>
    </row>
    <row r="609" spans="6:6" ht="13.2">
      <c r="F609" s="43"/>
    </row>
    <row r="610" spans="6:6" ht="13.2">
      <c r="F610" s="43"/>
    </row>
    <row r="611" spans="6:6" ht="13.2">
      <c r="F611" s="43"/>
    </row>
    <row r="612" spans="6:6" ht="13.2">
      <c r="F612" s="43"/>
    </row>
    <row r="613" spans="6:6" ht="13.2">
      <c r="F613" s="43"/>
    </row>
    <row r="614" spans="6:6" ht="13.2">
      <c r="F614" s="43"/>
    </row>
    <row r="615" spans="6:6" ht="13.2">
      <c r="F615" s="43"/>
    </row>
    <row r="616" spans="6:6" ht="13.2">
      <c r="F616" s="43"/>
    </row>
    <row r="617" spans="6:6" ht="13.2">
      <c r="F617" s="43"/>
    </row>
    <row r="618" spans="6:6" ht="13.2">
      <c r="F618" s="43"/>
    </row>
    <row r="619" spans="6:6" ht="13.2">
      <c r="F619" s="43"/>
    </row>
    <row r="620" spans="6:6" ht="13.2">
      <c r="F620" s="43"/>
    </row>
    <row r="621" spans="6:6" ht="13.2">
      <c r="F621" s="43"/>
    </row>
    <row r="622" spans="6:6" ht="13.2">
      <c r="F622" s="43"/>
    </row>
    <row r="623" spans="6:6" ht="13.2">
      <c r="F623" s="43"/>
    </row>
    <row r="624" spans="6:6" ht="13.2">
      <c r="F624" s="43"/>
    </row>
    <row r="625" spans="6:6" ht="13.2">
      <c r="F625" s="43"/>
    </row>
    <row r="626" spans="6:6" ht="13.2">
      <c r="F626" s="43"/>
    </row>
    <row r="627" spans="6:6" ht="13.2">
      <c r="F627" s="43"/>
    </row>
    <row r="628" spans="6:6" ht="13.2">
      <c r="F628" s="43"/>
    </row>
    <row r="629" spans="6:6" ht="13.2">
      <c r="F629" s="43"/>
    </row>
    <row r="630" spans="6:6" ht="13.2">
      <c r="F630" s="43"/>
    </row>
    <row r="631" spans="6:6" ht="13.2">
      <c r="F631" s="43"/>
    </row>
    <row r="632" spans="6:6" ht="13.2">
      <c r="F632" s="43"/>
    </row>
    <row r="633" spans="6:6" ht="13.2">
      <c r="F633" s="43"/>
    </row>
    <row r="634" spans="6:6" ht="13.2">
      <c r="F634" s="43"/>
    </row>
    <row r="635" spans="6:6" ht="13.2">
      <c r="F635" s="43"/>
    </row>
    <row r="636" spans="6:6" ht="13.2">
      <c r="F636" s="43"/>
    </row>
    <row r="637" spans="6:6" ht="13.2">
      <c r="F637" s="43"/>
    </row>
    <row r="638" spans="6:6" ht="13.2">
      <c r="F638" s="43"/>
    </row>
    <row r="639" spans="6:6" ht="13.2">
      <c r="F639" s="43"/>
    </row>
    <row r="640" spans="6:6" ht="13.2">
      <c r="F640" s="43"/>
    </row>
    <row r="641" spans="6:6" ht="13.2">
      <c r="F641" s="43"/>
    </row>
    <row r="642" spans="6:6" ht="13.2">
      <c r="F642" s="43"/>
    </row>
    <row r="643" spans="6:6" ht="13.2">
      <c r="F643" s="43"/>
    </row>
    <row r="644" spans="6:6" ht="13.2">
      <c r="F644" s="43"/>
    </row>
    <row r="645" spans="6:6" ht="13.2">
      <c r="F645" s="43"/>
    </row>
    <row r="646" spans="6:6" ht="13.2">
      <c r="F646" s="43"/>
    </row>
    <row r="647" spans="6:6" ht="13.2">
      <c r="F647" s="43"/>
    </row>
    <row r="648" spans="6:6" ht="13.2">
      <c r="F648" s="43"/>
    </row>
    <row r="649" spans="6:6" ht="13.2">
      <c r="F649" s="43"/>
    </row>
    <row r="650" spans="6:6" ht="13.2">
      <c r="F650" s="43"/>
    </row>
    <row r="651" spans="6:6" ht="13.2">
      <c r="F651" s="43"/>
    </row>
    <row r="652" spans="6:6" ht="13.2">
      <c r="F652" s="43"/>
    </row>
    <row r="653" spans="6:6" ht="13.2">
      <c r="F653" s="43"/>
    </row>
    <row r="654" spans="6:6" ht="13.2">
      <c r="F654" s="43"/>
    </row>
    <row r="655" spans="6:6" ht="13.2">
      <c r="F655" s="43"/>
    </row>
    <row r="656" spans="6:6" ht="13.2">
      <c r="F656" s="43"/>
    </row>
    <row r="657" spans="6:6" ht="13.2">
      <c r="F657" s="43"/>
    </row>
    <row r="658" spans="6:6" ht="13.2">
      <c r="F658" s="43"/>
    </row>
    <row r="659" spans="6:6" ht="13.2">
      <c r="F659" s="43"/>
    </row>
    <row r="660" spans="6:6" ht="13.2">
      <c r="F660" s="43"/>
    </row>
    <row r="661" spans="6:6" ht="13.2">
      <c r="F661" s="43"/>
    </row>
    <row r="662" spans="6:6" ht="13.2">
      <c r="F662" s="43"/>
    </row>
    <row r="663" spans="6:6" ht="13.2">
      <c r="F663" s="43"/>
    </row>
    <row r="664" spans="6:6" ht="13.2">
      <c r="F664" s="43"/>
    </row>
    <row r="665" spans="6:6" ht="13.2">
      <c r="F665" s="43"/>
    </row>
    <row r="666" spans="6:6" ht="13.2">
      <c r="F666" s="43"/>
    </row>
    <row r="667" spans="6:6" ht="13.2">
      <c r="F667" s="43"/>
    </row>
    <row r="668" spans="6:6" ht="13.2">
      <c r="F668" s="43"/>
    </row>
    <row r="669" spans="6:6" ht="13.2">
      <c r="F669" s="43"/>
    </row>
    <row r="670" spans="6:6" ht="13.2">
      <c r="F670" s="43"/>
    </row>
    <row r="671" spans="6:6" ht="13.2">
      <c r="F671" s="43"/>
    </row>
    <row r="672" spans="6:6" ht="13.2">
      <c r="F672" s="43"/>
    </row>
    <row r="673" spans="6:6" ht="13.2">
      <c r="F673" s="43"/>
    </row>
    <row r="674" spans="6:6" ht="13.2">
      <c r="F674" s="43"/>
    </row>
    <row r="675" spans="6:6" ht="13.2">
      <c r="F675" s="43"/>
    </row>
    <row r="676" spans="6:6" ht="13.2">
      <c r="F676" s="43"/>
    </row>
    <row r="677" spans="6:6" ht="13.2">
      <c r="F677" s="43"/>
    </row>
    <row r="678" spans="6:6" ht="13.2">
      <c r="F678" s="43"/>
    </row>
    <row r="679" spans="6:6" ht="13.2">
      <c r="F679" s="43"/>
    </row>
    <row r="680" spans="6:6" ht="13.2">
      <c r="F680" s="43"/>
    </row>
    <row r="681" spans="6:6" ht="13.2">
      <c r="F681" s="43"/>
    </row>
    <row r="682" spans="6:6" ht="13.2">
      <c r="F682" s="43"/>
    </row>
    <row r="683" spans="6:6" ht="13.2">
      <c r="F683" s="43"/>
    </row>
    <row r="684" spans="6:6" ht="13.2">
      <c r="F684" s="43"/>
    </row>
    <row r="685" spans="6:6" ht="13.2">
      <c r="F685" s="43"/>
    </row>
    <row r="686" spans="6:6" ht="13.2">
      <c r="F686" s="43"/>
    </row>
    <row r="687" spans="6:6" ht="13.2">
      <c r="F687" s="43"/>
    </row>
    <row r="688" spans="6:6" ht="13.2">
      <c r="F688" s="43"/>
    </row>
    <row r="689" spans="6:6" ht="13.2">
      <c r="F689" s="43"/>
    </row>
    <row r="690" spans="6:6" ht="13.2">
      <c r="F690" s="43"/>
    </row>
    <row r="691" spans="6:6" ht="13.2">
      <c r="F691" s="43"/>
    </row>
    <row r="692" spans="6:6" ht="13.2">
      <c r="F692" s="43"/>
    </row>
    <row r="693" spans="6:6" ht="13.2">
      <c r="F693" s="43"/>
    </row>
    <row r="694" spans="6:6" ht="13.2">
      <c r="F694" s="43"/>
    </row>
    <row r="695" spans="6:6" ht="13.2">
      <c r="F695" s="43"/>
    </row>
    <row r="696" spans="6:6" ht="13.2">
      <c r="F696" s="43"/>
    </row>
    <row r="697" spans="6:6" ht="13.2">
      <c r="F697" s="43"/>
    </row>
    <row r="698" spans="6:6" ht="13.2">
      <c r="F698" s="43"/>
    </row>
    <row r="699" spans="6:6" ht="13.2">
      <c r="F699" s="43"/>
    </row>
    <row r="700" spans="6:6" ht="13.2">
      <c r="F700" s="43"/>
    </row>
    <row r="701" spans="6:6" ht="13.2">
      <c r="F701" s="43"/>
    </row>
    <row r="702" spans="6:6" ht="13.2">
      <c r="F702" s="43"/>
    </row>
    <row r="703" spans="6:6" ht="13.2">
      <c r="F703" s="43"/>
    </row>
    <row r="704" spans="6:6" ht="13.2">
      <c r="F704" s="43"/>
    </row>
    <row r="705" spans="6:6" ht="13.2">
      <c r="F705" s="43"/>
    </row>
    <row r="706" spans="6:6" ht="13.2">
      <c r="F706" s="43"/>
    </row>
    <row r="707" spans="6:6" ht="13.2">
      <c r="F707" s="43"/>
    </row>
    <row r="708" spans="6:6" ht="13.2">
      <c r="F708" s="43"/>
    </row>
    <row r="709" spans="6:6" ht="13.2">
      <c r="F709" s="43"/>
    </row>
    <row r="710" spans="6:6" ht="13.2">
      <c r="F710" s="43"/>
    </row>
    <row r="711" spans="6:6" ht="13.2">
      <c r="F711" s="43"/>
    </row>
    <row r="712" spans="6:6" ht="13.2">
      <c r="F712" s="43"/>
    </row>
    <row r="713" spans="6:6" ht="13.2">
      <c r="F713" s="43"/>
    </row>
    <row r="714" spans="6:6" ht="13.2">
      <c r="F714" s="43"/>
    </row>
    <row r="715" spans="6:6" ht="13.2">
      <c r="F715" s="43"/>
    </row>
    <row r="716" spans="6:6" ht="13.2">
      <c r="F716" s="43"/>
    </row>
    <row r="717" spans="6:6" ht="13.2">
      <c r="F717" s="43"/>
    </row>
    <row r="718" spans="6:6" ht="13.2">
      <c r="F718" s="43"/>
    </row>
    <row r="719" spans="6:6" ht="13.2">
      <c r="F719" s="43"/>
    </row>
    <row r="720" spans="6:6" ht="13.2">
      <c r="F720" s="43"/>
    </row>
    <row r="721" spans="6:6" ht="13.2">
      <c r="F721" s="43"/>
    </row>
    <row r="722" spans="6:6" ht="13.2">
      <c r="F722" s="43"/>
    </row>
    <row r="723" spans="6:6" ht="13.2">
      <c r="F723" s="43"/>
    </row>
    <row r="724" spans="6:6" ht="13.2">
      <c r="F724" s="43"/>
    </row>
    <row r="725" spans="6:6" ht="13.2">
      <c r="F725" s="43"/>
    </row>
    <row r="726" spans="6:6" ht="13.2">
      <c r="F726" s="43"/>
    </row>
    <row r="727" spans="6:6" ht="13.2">
      <c r="F727" s="43"/>
    </row>
    <row r="728" spans="6:6" ht="13.2">
      <c r="F728" s="43"/>
    </row>
    <row r="729" spans="6:6" ht="13.2">
      <c r="F729" s="43"/>
    </row>
    <row r="730" spans="6:6" ht="13.2">
      <c r="F730" s="43"/>
    </row>
    <row r="731" spans="6:6" ht="13.2">
      <c r="F731" s="43"/>
    </row>
    <row r="732" spans="6:6" ht="13.2">
      <c r="F732" s="43"/>
    </row>
    <row r="733" spans="6:6" ht="13.2">
      <c r="F733" s="43"/>
    </row>
    <row r="734" spans="6:6" ht="13.2">
      <c r="F734" s="43"/>
    </row>
    <row r="735" spans="6:6" ht="13.2">
      <c r="F735" s="43"/>
    </row>
    <row r="736" spans="6:6" ht="13.2">
      <c r="F736" s="43"/>
    </row>
    <row r="737" spans="6:6" ht="13.2">
      <c r="F737" s="43"/>
    </row>
    <row r="738" spans="6:6" ht="13.2">
      <c r="F738" s="43"/>
    </row>
    <row r="739" spans="6:6" ht="13.2">
      <c r="F739" s="43"/>
    </row>
    <row r="740" spans="6:6" ht="13.2">
      <c r="F740" s="43"/>
    </row>
    <row r="741" spans="6:6" ht="13.2">
      <c r="F741" s="43"/>
    </row>
    <row r="742" spans="6:6" ht="13.2">
      <c r="F742" s="43"/>
    </row>
    <row r="743" spans="6:6" ht="13.2">
      <c r="F743" s="43"/>
    </row>
    <row r="744" spans="6:6" ht="13.2">
      <c r="F744" s="43"/>
    </row>
    <row r="745" spans="6:6" ht="13.2">
      <c r="F745" s="43"/>
    </row>
    <row r="746" spans="6:6" ht="13.2">
      <c r="F746" s="43"/>
    </row>
    <row r="747" spans="6:6" ht="13.2">
      <c r="F747" s="43"/>
    </row>
    <row r="748" spans="6:6" ht="13.2">
      <c r="F748" s="43"/>
    </row>
    <row r="749" spans="6:6" ht="13.2">
      <c r="F749" s="43"/>
    </row>
    <row r="750" spans="6:6" ht="13.2">
      <c r="F750" s="43"/>
    </row>
    <row r="751" spans="6:6" ht="13.2">
      <c r="F751" s="43"/>
    </row>
    <row r="752" spans="6:6" ht="13.2">
      <c r="F752" s="43"/>
    </row>
    <row r="753" spans="6:6" ht="13.2">
      <c r="F753" s="43"/>
    </row>
    <row r="754" spans="6:6" ht="13.2">
      <c r="F754" s="43"/>
    </row>
    <row r="755" spans="6:6" ht="13.2">
      <c r="F755" s="43"/>
    </row>
    <row r="756" spans="6:6" ht="13.2">
      <c r="F756" s="43"/>
    </row>
    <row r="757" spans="6:6" ht="13.2">
      <c r="F757" s="43"/>
    </row>
    <row r="758" spans="6:6" ht="13.2">
      <c r="F758" s="43"/>
    </row>
    <row r="759" spans="6:6" ht="13.2">
      <c r="F759" s="43"/>
    </row>
    <row r="760" spans="6:6" ht="13.2">
      <c r="F760" s="43"/>
    </row>
    <row r="761" spans="6:6" ht="13.2">
      <c r="F761" s="43"/>
    </row>
    <row r="762" spans="6:6" ht="13.2">
      <c r="F762" s="43"/>
    </row>
    <row r="763" spans="6:6" ht="13.2">
      <c r="F763" s="43"/>
    </row>
    <row r="764" spans="6:6" ht="13.2">
      <c r="F764" s="43"/>
    </row>
    <row r="765" spans="6:6" ht="13.2">
      <c r="F765" s="43"/>
    </row>
    <row r="766" spans="6:6" ht="13.2">
      <c r="F766" s="43"/>
    </row>
    <row r="767" spans="6:6" ht="13.2">
      <c r="F767" s="43"/>
    </row>
    <row r="768" spans="6:6" ht="13.2">
      <c r="F768" s="43"/>
    </row>
    <row r="769" spans="6:6" ht="13.2">
      <c r="F769" s="43"/>
    </row>
    <row r="770" spans="6:6" ht="13.2">
      <c r="F770" s="43"/>
    </row>
    <row r="771" spans="6:6" ht="13.2">
      <c r="F771" s="43"/>
    </row>
    <row r="772" spans="6:6" ht="13.2">
      <c r="F772" s="43"/>
    </row>
    <row r="773" spans="6:6" ht="13.2">
      <c r="F773" s="43"/>
    </row>
    <row r="774" spans="6:6" ht="13.2">
      <c r="F774" s="43"/>
    </row>
    <row r="775" spans="6:6" ht="13.2">
      <c r="F775" s="43"/>
    </row>
    <row r="776" spans="6:6" ht="13.2">
      <c r="F776" s="43"/>
    </row>
    <row r="777" spans="6:6" ht="13.2">
      <c r="F777" s="43"/>
    </row>
    <row r="778" spans="6:6" ht="13.2">
      <c r="F778" s="43"/>
    </row>
    <row r="779" spans="6:6" ht="13.2">
      <c r="F779" s="43"/>
    </row>
    <row r="780" spans="6:6" ht="13.2">
      <c r="F780" s="43"/>
    </row>
    <row r="781" spans="6:6" ht="13.2">
      <c r="F781" s="43"/>
    </row>
    <row r="782" spans="6:6" ht="13.2">
      <c r="F782" s="43"/>
    </row>
    <row r="783" spans="6:6" ht="13.2">
      <c r="F783" s="43"/>
    </row>
    <row r="784" spans="6:6" ht="13.2">
      <c r="F784" s="43"/>
    </row>
    <row r="785" spans="6:6" ht="13.2">
      <c r="F785" s="43"/>
    </row>
    <row r="786" spans="6:6" ht="13.2">
      <c r="F786" s="43"/>
    </row>
    <row r="787" spans="6:6" ht="13.2">
      <c r="F787" s="43"/>
    </row>
    <row r="788" spans="6:6" ht="13.2">
      <c r="F788" s="43"/>
    </row>
    <row r="789" spans="6:6" ht="13.2">
      <c r="F789" s="43"/>
    </row>
    <row r="790" spans="6:6" ht="13.2">
      <c r="F790" s="43"/>
    </row>
    <row r="791" spans="6:6" ht="13.2">
      <c r="F791" s="43"/>
    </row>
    <row r="792" spans="6:6" ht="13.2">
      <c r="F792" s="43"/>
    </row>
    <row r="793" spans="6:6" ht="13.2">
      <c r="F793" s="43"/>
    </row>
    <row r="794" spans="6:6" ht="13.2">
      <c r="F794" s="43"/>
    </row>
    <row r="795" spans="6:6" ht="13.2">
      <c r="F795" s="43"/>
    </row>
    <row r="796" spans="6:6" ht="13.2">
      <c r="F796" s="43"/>
    </row>
    <row r="797" spans="6:6" ht="13.2">
      <c r="F797" s="43"/>
    </row>
    <row r="798" spans="6:6" ht="13.2">
      <c r="F798" s="43"/>
    </row>
    <row r="799" spans="6:6" ht="13.2">
      <c r="F799" s="43"/>
    </row>
    <row r="800" spans="6:6" ht="13.2">
      <c r="F800" s="43"/>
    </row>
    <row r="801" spans="6:6" ht="13.2">
      <c r="F801" s="43"/>
    </row>
    <row r="802" spans="6:6" ht="13.2">
      <c r="F802" s="43"/>
    </row>
    <row r="803" spans="6:6" ht="13.2">
      <c r="F803" s="43"/>
    </row>
    <row r="804" spans="6:6" ht="13.2">
      <c r="F804" s="43"/>
    </row>
    <row r="805" spans="6:6" ht="13.2">
      <c r="F805" s="43"/>
    </row>
    <row r="806" spans="6:6" ht="13.2">
      <c r="F806" s="43"/>
    </row>
    <row r="807" spans="6:6" ht="13.2">
      <c r="F807" s="43"/>
    </row>
    <row r="808" spans="6:6" ht="13.2">
      <c r="F808" s="43"/>
    </row>
    <row r="809" spans="6:6" ht="13.2">
      <c r="F809" s="43"/>
    </row>
    <row r="810" spans="6:6" ht="13.2">
      <c r="F810" s="43"/>
    </row>
    <row r="811" spans="6:6" ht="13.2">
      <c r="F811" s="43"/>
    </row>
    <row r="812" spans="6:6" ht="13.2">
      <c r="F812" s="43"/>
    </row>
    <row r="813" spans="6:6" ht="13.2">
      <c r="F813" s="43"/>
    </row>
    <row r="814" spans="6:6" ht="13.2">
      <c r="F814" s="43"/>
    </row>
    <row r="815" spans="6:6" ht="13.2">
      <c r="F815" s="43"/>
    </row>
    <row r="816" spans="6:6" ht="13.2">
      <c r="F816" s="43"/>
    </row>
    <row r="817" spans="6:6" ht="13.2">
      <c r="F817" s="43"/>
    </row>
    <row r="818" spans="6:6" ht="13.2">
      <c r="F818" s="43"/>
    </row>
    <row r="819" spans="6:6" ht="13.2">
      <c r="F819" s="43"/>
    </row>
    <row r="820" spans="6:6" ht="13.2">
      <c r="F820" s="43"/>
    </row>
    <row r="821" spans="6:6" ht="13.2">
      <c r="F821" s="43"/>
    </row>
    <row r="822" spans="6:6" ht="13.2">
      <c r="F822" s="43"/>
    </row>
    <row r="823" spans="6:6" ht="13.2">
      <c r="F823" s="43"/>
    </row>
    <row r="824" spans="6:6" ht="13.2">
      <c r="F824" s="43"/>
    </row>
    <row r="825" spans="6:6" ht="13.2">
      <c r="F825" s="43"/>
    </row>
    <row r="826" spans="6:6" ht="13.2">
      <c r="F826" s="43"/>
    </row>
    <row r="827" spans="6:6" ht="13.2">
      <c r="F827" s="43"/>
    </row>
    <row r="828" spans="6:6" ht="13.2">
      <c r="F828" s="43"/>
    </row>
    <row r="829" spans="6:6" ht="13.2">
      <c r="F829" s="43"/>
    </row>
    <row r="830" spans="6:6" ht="13.2">
      <c r="F830" s="43"/>
    </row>
    <row r="831" spans="6:6" ht="13.2">
      <c r="F831" s="43"/>
    </row>
    <row r="832" spans="6:6" ht="13.2">
      <c r="F832" s="43"/>
    </row>
    <row r="833" spans="6:6" ht="13.2">
      <c r="F833" s="43"/>
    </row>
    <row r="834" spans="6:6" ht="13.2">
      <c r="F834" s="43"/>
    </row>
    <row r="835" spans="6:6" ht="13.2">
      <c r="F835" s="43"/>
    </row>
    <row r="836" spans="6:6" ht="13.2">
      <c r="F836" s="43"/>
    </row>
    <row r="837" spans="6:6" ht="13.2">
      <c r="F837" s="43"/>
    </row>
    <row r="838" spans="6:6" ht="13.2">
      <c r="F838" s="43"/>
    </row>
    <row r="839" spans="6:6" ht="13.2">
      <c r="F839" s="43"/>
    </row>
    <row r="840" spans="6:6" ht="13.2">
      <c r="F840" s="43"/>
    </row>
    <row r="841" spans="6:6" ht="13.2">
      <c r="F841" s="43"/>
    </row>
    <row r="842" spans="6:6" ht="13.2">
      <c r="F842" s="43"/>
    </row>
    <row r="843" spans="6:6" ht="13.2">
      <c r="F843" s="43"/>
    </row>
    <row r="844" spans="6:6" ht="13.2">
      <c r="F844" s="43"/>
    </row>
    <row r="845" spans="6:6" ht="13.2">
      <c r="F845" s="43"/>
    </row>
    <row r="846" spans="6:6" ht="13.2">
      <c r="F846" s="43"/>
    </row>
    <row r="847" spans="6:6" ht="13.2">
      <c r="F847" s="43"/>
    </row>
    <row r="848" spans="6:6" ht="13.2">
      <c r="F848" s="43"/>
    </row>
    <row r="849" spans="6:6" ht="13.2">
      <c r="F849" s="43"/>
    </row>
    <row r="850" spans="6:6" ht="13.2">
      <c r="F850" s="43"/>
    </row>
    <row r="851" spans="6:6" ht="13.2">
      <c r="F851" s="43"/>
    </row>
    <row r="852" spans="6:6" ht="13.2">
      <c r="F852" s="43"/>
    </row>
    <row r="853" spans="6:6" ht="13.2">
      <c r="F853" s="43"/>
    </row>
    <row r="854" spans="6:6" ht="13.2">
      <c r="F854" s="43"/>
    </row>
    <row r="855" spans="6:6" ht="13.2">
      <c r="F855" s="43"/>
    </row>
    <row r="856" spans="6:6" ht="13.2">
      <c r="F856" s="43"/>
    </row>
    <row r="857" spans="6:6" ht="13.2">
      <c r="F857" s="43"/>
    </row>
    <row r="858" spans="6:6" ht="13.2">
      <c r="F858" s="43"/>
    </row>
    <row r="859" spans="6:6" ht="13.2">
      <c r="F859" s="43"/>
    </row>
    <row r="860" spans="6:6" ht="13.2">
      <c r="F860" s="43"/>
    </row>
    <row r="861" spans="6:6" ht="13.2">
      <c r="F861" s="43"/>
    </row>
    <row r="862" spans="6:6" ht="13.2">
      <c r="F862" s="43"/>
    </row>
    <row r="863" spans="6:6" ht="13.2">
      <c r="F863" s="43"/>
    </row>
    <row r="864" spans="6:6" ht="13.2">
      <c r="F864" s="43"/>
    </row>
    <row r="865" spans="6:6" ht="13.2">
      <c r="F865" s="43"/>
    </row>
    <row r="866" spans="6:6" ht="13.2">
      <c r="F866" s="43"/>
    </row>
    <row r="867" spans="6:6" ht="13.2">
      <c r="F867" s="43"/>
    </row>
    <row r="868" spans="6:6" ht="13.2">
      <c r="F868" s="43"/>
    </row>
    <row r="869" spans="6:6" ht="13.2">
      <c r="F869" s="43"/>
    </row>
    <row r="870" spans="6:6" ht="13.2">
      <c r="F870" s="43"/>
    </row>
    <row r="871" spans="6:6" ht="13.2">
      <c r="F871" s="43"/>
    </row>
    <row r="872" spans="6:6" ht="13.2">
      <c r="F872" s="43"/>
    </row>
    <row r="873" spans="6:6" ht="13.2">
      <c r="F873" s="43"/>
    </row>
    <row r="874" spans="6:6" ht="13.2">
      <c r="F874" s="43"/>
    </row>
    <row r="875" spans="6:6" ht="13.2">
      <c r="F875" s="43"/>
    </row>
    <row r="876" spans="6:6" ht="13.2">
      <c r="F876" s="43"/>
    </row>
    <row r="877" spans="6:6" ht="13.2">
      <c r="F877" s="43"/>
    </row>
    <row r="878" spans="6:6" ht="13.2">
      <c r="F878" s="43"/>
    </row>
    <row r="879" spans="6:6" ht="13.2">
      <c r="F879" s="43"/>
    </row>
    <row r="880" spans="6:6" ht="13.2">
      <c r="F880" s="43"/>
    </row>
    <row r="881" spans="6:6" ht="13.2">
      <c r="F881" s="43"/>
    </row>
    <row r="882" spans="6:6" ht="13.2">
      <c r="F882" s="43"/>
    </row>
    <row r="883" spans="6:6" ht="13.2">
      <c r="F883" s="43"/>
    </row>
    <row r="884" spans="6:6" ht="13.2">
      <c r="F884" s="43"/>
    </row>
    <row r="885" spans="6:6" ht="13.2">
      <c r="F885" s="43"/>
    </row>
    <row r="886" spans="6:6" ht="13.2">
      <c r="F886" s="43"/>
    </row>
    <row r="887" spans="6:6" ht="13.2">
      <c r="F887" s="43"/>
    </row>
    <row r="888" spans="6:6" ht="13.2">
      <c r="F888" s="43"/>
    </row>
    <row r="889" spans="6:6" ht="13.2">
      <c r="F889" s="43"/>
    </row>
    <row r="890" spans="6:6" ht="13.2">
      <c r="F890" s="43"/>
    </row>
    <row r="891" spans="6:6" ht="13.2">
      <c r="F891" s="43"/>
    </row>
    <row r="892" spans="6:6" ht="13.2">
      <c r="F892" s="43"/>
    </row>
    <row r="893" spans="6:6" ht="13.2">
      <c r="F893" s="43"/>
    </row>
    <row r="894" spans="6:6" ht="13.2">
      <c r="F894" s="43"/>
    </row>
    <row r="895" spans="6:6" ht="13.2">
      <c r="F895" s="43"/>
    </row>
    <row r="896" spans="6:6" ht="13.2">
      <c r="F896" s="43"/>
    </row>
    <row r="897" spans="6:6" ht="13.2">
      <c r="F897" s="43"/>
    </row>
    <row r="898" spans="6:6" ht="13.2">
      <c r="F898" s="43"/>
    </row>
    <row r="899" spans="6:6" ht="13.2">
      <c r="F899" s="43"/>
    </row>
    <row r="900" spans="6:6" ht="13.2">
      <c r="F900" s="43"/>
    </row>
    <row r="901" spans="6:6" ht="13.2">
      <c r="F901" s="43"/>
    </row>
    <row r="902" spans="6:6" ht="13.2">
      <c r="F902" s="43"/>
    </row>
    <row r="903" spans="6:6" ht="13.2">
      <c r="F903" s="43"/>
    </row>
    <row r="904" spans="6:6" ht="13.2">
      <c r="F904" s="43"/>
    </row>
    <row r="905" spans="6:6" ht="13.2">
      <c r="F905" s="43"/>
    </row>
    <row r="906" spans="6:6" ht="13.2">
      <c r="F906" s="43"/>
    </row>
    <row r="907" spans="6:6" ht="13.2">
      <c r="F907" s="43"/>
    </row>
    <row r="908" spans="6:6" ht="13.2">
      <c r="F908" s="43"/>
    </row>
    <row r="909" spans="6:6" ht="13.2">
      <c r="F909" s="43"/>
    </row>
    <row r="910" spans="6:6" ht="13.2">
      <c r="F910" s="43"/>
    </row>
    <row r="911" spans="6:6" ht="13.2">
      <c r="F911" s="43"/>
    </row>
    <row r="912" spans="6:6" ht="13.2">
      <c r="F912" s="43"/>
    </row>
    <row r="913" spans="6:6" ht="13.2">
      <c r="F913" s="43"/>
    </row>
    <row r="914" spans="6:6" ht="13.2">
      <c r="F914" s="43"/>
    </row>
    <row r="915" spans="6:6" ht="13.2">
      <c r="F915" s="43"/>
    </row>
    <row r="916" spans="6:6" ht="13.2">
      <c r="F916" s="43"/>
    </row>
    <row r="917" spans="6:6" ht="13.2">
      <c r="F917" s="43"/>
    </row>
    <row r="918" spans="6:6" ht="13.2">
      <c r="F918" s="43"/>
    </row>
    <row r="919" spans="6:6" ht="13.2">
      <c r="F919" s="43"/>
    </row>
    <row r="920" spans="6:6" ht="13.2">
      <c r="F920" s="43"/>
    </row>
    <row r="921" spans="6:6" ht="13.2">
      <c r="F921" s="43"/>
    </row>
    <row r="922" spans="6:6" ht="13.2">
      <c r="F922" s="43"/>
    </row>
    <row r="923" spans="6:6" ht="13.2">
      <c r="F923" s="43"/>
    </row>
    <row r="924" spans="6:6" ht="13.2">
      <c r="F924" s="43"/>
    </row>
    <row r="925" spans="6:6" ht="13.2">
      <c r="F925" s="43"/>
    </row>
    <row r="926" spans="6:6" ht="13.2">
      <c r="F926" s="43"/>
    </row>
    <row r="927" spans="6:6" ht="13.2">
      <c r="F927" s="43"/>
    </row>
    <row r="928" spans="6:6" ht="13.2">
      <c r="F928" s="43"/>
    </row>
    <row r="929" spans="6:6" ht="13.2">
      <c r="F929" s="43"/>
    </row>
    <row r="930" spans="6:6" ht="13.2">
      <c r="F930" s="43"/>
    </row>
    <row r="931" spans="6:6" ht="13.2">
      <c r="F931" s="43"/>
    </row>
    <row r="932" spans="6:6" ht="13.2">
      <c r="F932" s="43"/>
    </row>
    <row r="933" spans="6:6" ht="13.2">
      <c r="F933" s="43"/>
    </row>
    <row r="934" spans="6:6" ht="13.2">
      <c r="F934" s="43"/>
    </row>
    <row r="935" spans="6:6" ht="13.2">
      <c r="F935" s="43"/>
    </row>
    <row r="936" spans="6:6" ht="13.2">
      <c r="F936" s="43"/>
    </row>
    <row r="937" spans="6:6" ht="13.2">
      <c r="F937" s="43"/>
    </row>
    <row r="938" spans="6:6" ht="13.2">
      <c r="F938" s="43"/>
    </row>
    <row r="939" spans="6:6" ht="13.2">
      <c r="F939" s="43"/>
    </row>
    <row r="940" spans="6:6" ht="13.2">
      <c r="F940" s="43"/>
    </row>
    <row r="941" spans="6:6" ht="13.2">
      <c r="F941" s="43"/>
    </row>
    <row r="942" spans="6:6" ht="13.2">
      <c r="F942" s="43"/>
    </row>
    <row r="943" spans="6:6" ht="13.2">
      <c r="F943" s="43"/>
    </row>
    <row r="944" spans="6:6" ht="13.2">
      <c r="F944" s="43"/>
    </row>
    <row r="945" spans="6:6" ht="13.2">
      <c r="F945" s="43"/>
    </row>
    <row r="946" spans="6:6" ht="13.2">
      <c r="F946" s="43"/>
    </row>
    <row r="947" spans="6:6" ht="13.2">
      <c r="F947" s="43"/>
    </row>
    <row r="948" spans="6:6" ht="13.2">
      <c r="F948" s="43"/>
    </row>
    <row r="949" spans="6:6" ht="13.2">
      <c r="F949" s="43"/>
    </row>
    <row r="950" spans="6:6" ht="13.2">
      <c r="F950" s="43"/>
    </row>
    <row r="951" spans="6:6" ht="13.2">
      <c r="F951" s="43"/>
    </row>
    <row r="952" spans="6:6" ht="13.2">
      <c r="F952" s="43"/>
    </row>
    <row r="953" spans="6:6" ht="13.2">
      <c r="F953" s="43"/>
    </row>
    <row r="954" spans="6:6" ht="13.2">
      <c r="F954" s="43"/>
    </row>
    <row r="955" spans="6:6" ht="13.2">
      <c r="F955" s="43"/>
    </row>
    <row r="956" spans="6:6" ht="13.2">
      <c r="F956" s="43"/>
    </row>
    <row r="957" spans="6:6" ht="13.2">
      <c r="F957" s="43"/>
    </row>
    <row r="958" spans="6:6" ht="13.2">
      <c r="F958" s="43"/>
    </row>
    <row r="959" spans="6:6" ht="13.2">
      <c r="F959" s="43"/>
    </row>
    <row r="960" spans="6:6" ht="13.2">
      <c r="F960" s="43"/>
    </row>
    <row r="961" spans="6:6" ht="13.2">
      <c r="F961" s="43"/>
    </row>
    <row r="962" spans="6:6" ht="13.2">
      <c r="F962" s="43"/>
    </row>
    <row r="963" spans="6:6" ht="13.2">
      <c r="F963" s="43"/>
    </row>
    <row r="964" spans="6:6" ht="13.2">
      <c r="F964" s="43"/>
    </row>
    <row r="965" spans="6:6" ht="13.2">
      <c r="F965" s="43"/>
    </row>
    <row r="966" spans="6:6" ht="13.2">
      <c r="F966" s="43"/>
    </row>
    <row r="967" spans="6:6" ht="13.2">
      <c r="F967" s="43"/>
    </row>
    <row r="968" spans="6:6" ht="13.2">
      <c r="F968" s="43"/>
    </row>
    <row r="969" spans="6:6" ht="13.2">
      <c r="F969" s="43"/>
    </row>
    <row r="970" spans="6:6" ht="13.2">
      <c r="F970" s="43"/>
    </row>
    <row r="971" spans="6:6" ht="13.2">
      <c r="F971" s="43"/>
    </row>
    <row r="972" spans="6:6" ht="13.2">
      <c r="F972" s="43"/>
    </row>
    <row r="973" spans="6:6" ht="13.2">
      <c r="F973" s="43"/>
    </row>
    <row r="974" spans="6:6" ht="13.2">
      <c r="F974" s="43"/>
    </row>
    <row r="975" spans="6:6" ht="13.2">
      <c r="F975" s="43"/>
    </row>
    <row r="976" spans="6:6" ht="13.2">
      <c r="F976" s="43"/>
    </row>
    <row r="977" spans="6:6" ht="13.2">
      <c r="F977" s="43"/>
    </row>
    <row r="978" spans="6:6" ht="13.2">
      <c r="F978" s="43"/>
    </row>
    <row r="979" spans="6:6" ht="13.2">
      <c r="F979" s="43"/>
    </row>
    <row r="980" spans="6:6" ht="13.2">
      <c r="F980" s="43"/>
    </row>
    <row r="981" spans="6:6" ht="13.2">
      <c r="F981" s="43"/>
    </row>
    <row r="982" spans="6:6" ht="13.2">
      <c r="F982" s="43"/>
    </row>
    <row r="983" spans="6:6" ht="13.2">
      <c r="F983" s="43"/>
    </row>
    <row r="984" spans="6:6" ht="13.2">
      <c r="F984" s="43"/>
    </row>
    <row r="985" spans="6:6" ht="13.2">
      <c r="F985" s="43"/>
    </row>
    <row r="986" spans="6:6" ht="13.2">
      <c r="F986" s="43"/>
    </row>
    <row r="987" spans="6:6" ht="13.2">
      <c r="F987" s="43"/>
    </row>
    <row r="988" spans="6:6" ht="13.2">
      <c r="F988" s="43"/>
    </row>
    <row r="989" spans="6:6" ht="13.2">
      <c r="F989" s="43"/>
    </row>
    <row r="990" spans="6:6" ht="13.2">
      <c r="F990" s="43"/>
    </row>
    <row r="991" spans="6:6" ht="13.2">
      <c r="F991" s="43"/>
    </row>
    <row r="992" spans="6:6" ht="13.2">
      <c r="F992" s="43"/>
    </row>
    <row r="993" spans="6:6" ht="13.2">
      <c r="F993" s="43"/>
    </row>
    <row r="994" spans="6:6" ht="13.2">
      <c r="F994" s="43"/>
    </row>
    <row r="995" spans="6:6" ht="13.2">
      <c r="F995" s="43"/>
    </row>
    <row r="996" spans="6:6" ht="13.2">
      <c r="F996" s="43"/>
    </row>
    <row r="997" spans="6:6" ht="13.2">
      <c r="F997" s="43"/>
    </row>
    <row r="998" spans="6:6" ht="13.2">
      <c r="F998" s="43"/>
    </row>
    <row r="999" spans="6:6" ht="13.2">
      <c r="F999" s="43"/>
    </row>
    <row r="1000" spans="6:6" ht="13.2">
      <c r="F1000" s="43"/>
    </row>
    <row r="1001" spans="6:6" ht="13.2">
      <c r="F1001" s="43"/>
    </row>
    <row r="1002" spans="6:6" ht="13.2">
      <c r="F1002" s="43"/>
    </row>
  </sheetData>
  <mergeCells count="7">
    <mergeCell ref="E1:E2"/>
    <mergeCell ref="C3:C10"/>
    <mergeCell ref="C11:C12"/>
    <mergeCell ref="C13:C24"/>
    <mergeCell ref="A1:A2"/>
    <mergeCell ref="B1:B2"/>
    <mergeCell ref="C1:D2"/>
  </mergeCells>
  <phoneticPr fontId="3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workbookViewId="0"/>
  </sheetViews>
  <sheetFormatPr defaultColWidth="12.77734375" defaultRowHeight="15.75" customHeight="1"/>
  <cols>
    <col min="1" max="1" width="43.44140625" customWidth="1"/>
    <col min="4" max="4" width="21.21875" customWidth="1"/>
    <col min="5" max="5" width="27.21875" customWidth="1"/>
    <col min="6" max="6" width="28.21875" customWidth="1"/>
    <col min="7" max="7" width="27" customWidth="1"/>
    <col min="8" max="8" width="36.77734375" customWidth="1"/>
    <col min="9" max="9" width="59.77734375" customWidth="1"/>
    <col min="10" max="11" width="32.21875" customWidth="1"/>
  </cols>
  <sheetData>
    <row r="1" spans="1:11" ht="15.75" customHeight="1">
      <c r="A1" s="208" t="s">
        <v>1212</v>
      </c>
      <c r="B1" s="211" t="s">
        <v>1213</v>
      </c>
      <c r="C1" s="208" t="s">
        <v>46</v>
      </c>
      <c r="D1" s="208" t="s">
        <v>1074</v>
      </c>
      <c r="E1" s="208" t="s">
        <v>1075</v>
      </c>
      <c r="F1" s="208" t="s">
        <v>1073</v>
      </c>
      <c r="G1" s="209" t="s">
        <v>1214</v>
      </c>
      <c r="H1" s="210"/>
      <c r="I1" s="210"/>
      <c r="J1" s="207"/>
      <c r="K1" s="45"/>
    </row>
    <row r="2" spans="1:11" ht="15.75" customHeight="1">
      <c r="A2" s="189"/>
      <c r="B2" s="189"/>
      <c r="C2" s="189"/>
      <c r="D2" s="189"/>
      <c r="E2" s="189"/>
      <c r="F2" s="189"/>
      <c r="G2" s="198"/>
      <c r="H2" s="199"/>
      <c r="I2" s="199"/>
      <c r="J2" s="200"/>
      <c r="K2" s="45"/>
    </row>
    <row r="3" spans="1:11" ht="15.75" customHeight="1">
      <c r="A3" s="46" t="s">
        <v>1215</v>
      </c>
      <c r="B3" s="47" t="s">
        <v>1216</v>
      </c>
      <c r="C3" s="46">
        <v>10100</v>
      </c>
      <c r="D3" s="48" t="s">
        <v>1217</v>
      </c>
      <c r="E3" s="49" t="s">
        <v>1078</v>
      </c>
      <c r="F3" s="49" t="s">
        <v>1078</v>
      </c>
      <c r="G3" s="50" t="s">
        <v>1218</v>
      </c>
      <c r="H3" s="51" t="s">
        <v>1219</v>
      </c>
      <c r="I3" s="51" t="s">
        <v>1220</v>
      </c>
      <c r="J3" s="50" t="s">
        <v>1221</v>
      </c>
      <c r="K3" s="52"/>
    </row>
    <row r="4" spans="1:11" ht="15.75" customHeight="1">
      <c r="A4" s="53" t="s">
        <v>1215</v>
      </c>
      <c r="B4" s="54" t="s">
        <v>1216</v>
      </c>
      <c r="C4" s="53">
        <v>10200</v>
      </c>
      <c r="D4" s="55" t="s">
        <v>1217</v>
      </c>
      <c r="E4" s="56" t="s">
        <v>1088</v>
      </c>
      <c r="F4" s="56" t="s">
        <v>1088</v>
      </c>
      <c r="G4" s="57" t="s">
        <v>1218</v>
      </c>
      <c r="H4" s="58" t="s">
        <v>1219</v>
      </c>
      <c r="I4" s="58" t="s">
        <v>1222</v>
      </c>
      <c r="J4" s="57" t="s">
        <v>1221</v>
      </c>
      <c r="K4" s="52"/>
    </row>
    <row r="5" spans="1:11" ht="15.75" customHeight="1">
      <c r="A5" s="53" t="s">
        <v>1215</v>
      </c>
      <c r="B5" s="54" t="s">
        <v>1216</v>
      </c>
      <c r="C5" s="53">
        <v>10300</v>
      </c>
      <c r="D5" s="55" t="s">
        <v>1217</v>
      </c>
      <c r="E5" s="55" t="s">
        <v>1092</v>
      </c>
      <c r="F5" s="56" t="s">
        <v>1092</v>
      </c>
      <c r="G5" s="57" t="s">
        <v>1218</v>
      </c>
      <c r="H5" s="58" t="s">
        <v>1219</v>
      </c>
      <c r="I5" s="58" t="s">
        <v>1223</v>
      </c>
      <c r="J5" s="57" t="s">
        <v>1221</v>
      </c>
      <c r="K5" s="52"/>
    </row>
    <row r="6" spans="1:11" ht="15.75" customHeight="1">
      <c r="A6" s="53" t="s">
        <v>1215</v>
      </c>
      <c r="B6" s="59" t="s">
        <v>1216</v>
      </c>
      <c r="C6" s="60">
        <v>10301</v>
      </c>
      <c r="D6" s="55" t="s">
        <v>1217</v>
      </c>
      <c r="E6" s="55" t="s">
        <v>1092</v>
      </c>
      <c r="F6" s="55" t="s">
        <v>1098</v>
      </c>
      <c r="G6" s="61" t="s">
        <v>1224</v>
      </c>
      <c r="H6" s="62" t="s">
        <v>1225</v>
      </c>
      <c r="I6" s="62" t="s">
        <v>1226</v>
      </c>
      <c r="J6" s="61" t="s">
        <v>1227</v>
      </c>
      <c r="K6" s="52"/>
    </row>
    <row r="7" spans="1:11" ht="15.75" customHeight="1">
      <c r="A7" s="46" t="s">
        <v>1215</v>
      </c>
      <c r="B7" s="47" t="s">
        <v>1228</v>
      </c>
      <c r="C7" s="46">
        <v>20100</v>
      </c>
      <c r="D7" s="48" t="s">
        <v>1217</v>
      </c>
      <c r="E7" s="48" t="s">
        <v>1103</v>
      </c>
      <c r="F7" s="49" t="s">
        <v>1104</v>
      </c>
      <c r="G7" s="50" t="s">
        <v>1229</v>
      </c>
      <c r="H7" s="51" t="s">
        <v>1230</v>
      </c>
      <c r="I7" s="51" t="s">
        <v>1231</v>
      </c>
      <c r="J7" s="50" t="s">
        <v>1232</v>
      </c>
      <c r="K7" s="52"/>
    </row>
    <row r="8" spans="1:11" ht="15.75" customHeight="1">
      <c r="A8" s="53" t="s">
        <v>1215</v>
      </c>
      <c r="B8" s="54" t="s">
        <v>1228</v>
      </c>
      <c r="C8" s="53">
        <v>20200</v>
      </c>
      <c r="D8" s="55" t="s">
        <v>1217</v>
      </c>
      <c r="E8" s="55" t="s">
        <v>1103</v>
      </c>
      <c r="F8" s="56" t="s">
        <v>1108</v>
      </c>
      <c r="G8" s="57" t="s">
        <v>1233</v>
      </c>
      <c r="H8" s="58" t="s">
        <v>1234</v>
      </c>
      <c r="I8" s="58" t="s">
        <v>1235</v>
      </c>
      <c r="J8" s="57" t="s">
        <v>1232</v>
      </c>
      <c r="K8" s="52"/>
    </row>
    <row r="9" spans="1:11" ht="15.75" customHeight="1">
      <c r="A9" s="53" t="s">
        <v>1215</v>
      </c>
      <c r="B9" s="54" t="s">
        <v>1228</v>
      </c>
      <c r="C9" s="53">
        <v>20300</v>
      </c>
      <c r="D9" s="55" t="s">
        <v>1217</v>
      </c>
      <c r="E9" s="55" t="s">
        <v>1103</v>
      </c>
      <c r="F9" s="56" t="s">
        <v>1114</v>
      </c>
      <c r="G9" s="57" t="s">
        <v>1236</v>
      </c>
      <c r="H9" s="58" t="s">
        <v>1237</v>
      </c>
      <c r="I9" s="58" t="s">
        <v>1238</v>
      </c>
      <c r="J9" s="57" t="s">
        <v>1239</v>
      </c>
      <c r="K9" s="52"/>
    </row>
    <row r="10" spans="1:11" ht="15.75" customHeight="1">
      <c r="A10" s="53" t="s">
        <v>1215</v>
      </c>
      <c r="B10" s="54" t="s">
        <v>1228</v>
      </c>
      <c r="C10" s="53">
        <v>20400</v>
      </c>
      <c r="D10" s="55" t="s">
        <v>1217</v>
      </c>
      <c r="E10" s="55" t="s">
        <v>1103</v>
      </c>
      <c r="F10" s="56" t="s">
        <v>1121</v>
      </c>
      <c r="G10" s="57" t="s">
        <v>1240</v>
      </c>
      <c r="H10" s="58" t="s">
        <v>1241</v>
      </c>
      <c r="I10" s="58" t="s">
        <v>1242</v>
      </c>
      <c r="J10" s="57" t="s">
        <v>1232</v>
      </c>
      <c r="K10" s="52"/>
    </row>
    <row r="11" spans="1:11" ht="15.75" customHeight="1">
      <c r="A11" s="53" t="s">
        <v>1215</v>
      </c>
      <c r="B11" s="59" t="s">
        <v>1228</v>
      </c>
      <c r="C11" s="60">
        <v>20500</v>
      </c>
      <c r="D11" s="55" t="s">
        <v>1217</v>
      </c>
      <c r="E11" s="55" t="s">
        <v>1103</v>
      </c>
      <c r="F11" s="55" t="s">
        <v>1126</v>
      </c>
      <c r="G11" s="61" t="s">
        <v>1243</v>
      </c>
      <c r="H11" s="62" t="s">
        <v>1244</v>
      </c>
      <c r="I11" s="62" t="s">
        <v>1245</v>
      </c>
      <c r="J11" s="61" t="s">
        <v>1227</v>
      </c>
      <c r="K11" s="52"/>
    </row>
    <row r="12" spans="1:11" ht="15.75" customHeight="1">
      <c r="A12" s="46" t="s">
        <v>1215</v>
      </c>
      <c r="B12" s="47" t="s">
        <v>1246</v>
      </c>
      <c r="C12" s="46">
        <v>30100</v>
      </c>
      <c r="D12" s="48" t="s">
        <v>1079</v>
      </c>
      <c r="E12" s="50" t="s">
        <v>1130</v>
      </c>
      <c r="F12" s="49" t="s">
        <v>1131</v>
      </c>
      <c r="G12" s="50" t="s">
        <v>1247</v>
      </c>
      <c r="H12" s="51" t="s">
        <v>1248</v>
      </c>
      <c r="I12" s="51" t="s">
        <v>1249</v>
      </c>
      <c r="J12" s="50" t="s">
        <v>1232</v>
      </c>
      <c r="K12" s="52"/>
    </row>
    <row r="13" spans="1:11" ht="15.75" customHeight="1">
      <c r="A13" s="53" t="s">
        <v>1215</v>
      </c>
      <c r="B13" s="54" t="s">
        <v>1246</v>
      </c>
      <c r="C13" s="53">
        <v>30200</v>
      </c>
      <c r="D13" s="55" t="s">
        <v>1079</v>
      </c>
      <c r="E13" s="55" t="s">
        <v>1134</v>
      </c>
      <c r="F13" s="57" t="s">
        <v>1135</v>
      </c>
      <c r="G13" s="57" t="s">
        <v>1250</v>
      </c>
      <c r="H13" s="58" t="s">
        <v>1251</v>
      </c>
      <c r="I13" s="58" t="s">
        <v>1252</v>
      </c>
      <c r="J13" s="57" t="s">
        <v>1239</v>
      </c>
      <c r="K13" s="52"/>
    </row>
    <row r="14" spans="1:11" ht="15.75" customHeight="1">
      <c r="A14" s="53" t="s">
        <v>1215</v>
      </c>
      <c r="B14" s="54" t="s">
        <v>1246</v>
      </c>
      <c r="C14" s="53">
        <v>30201</v>
      </c>
      <c r="D14" s="55" t="s">
        <v>1079</v>
      </c>
      <c r="E14" s="55" t="s">
        <v>1134</v>
      </c>
      <c r="F14" s="56" t="s">
        <v>1138</v>
      </c>
      <c r="G14" s="57" t="s">
        <v>1253</v>
      </c>
      <c r="H14" s="58" t="s">
        <v>1254</v>
      </c>
      <c r="I14" s="58" t="s">
        <v>1255</v>
      </c>
      <c r="J14" s="57" t="s">
        <v>1232</v>
      </c>
      <c r="K14" s="52"/>
    </row>
    <row r="15" spans="1:11" ht="15.75" customHeight="1">
      <c r="A15" s="53" t="s">
        <v>1215</v>
      </c>
      <c r="B15" s="54" t="s">
        <v>1246</v>
      </c>
      <c r="C15" s="53">
        <v>30202</v>
      </c>
      <c r="D15" s="55" t="s">
        <v>1079</v>
      </c>
      <c r="E15" s="55" t="s">
        <v>1134</v>
      </c>
      <c r="F15" s="57" t="s">
        <v>1141</v>
      </c>
      <c r="G15" s="57" t="s">
        <v>1256</v>
      </c>
      <c r="H15" s="58" t="s">
        <v>1257</v>
      </c>
      <c r="I15" s="58" t="s">
        <v>1258</v>
      </c>
      <c r="J15" s="57" t="s">
        <v>1239</v>
      </c>
      <c r="K15" s="52"/>
    </row>
    <row r="16" spans="1:11" ht="15.75" customHeight="1">
      <c r="A16" s="53" t="s">
        <v>1215</v>
      </c>
      <c r="B16" s="54" t="s">
        <v>1246</v>
      </c>
      <c r="C16" s="53">
        <v>30300</v>
      </c>
      <c r="D16" s="55" t="s">
        <v>1079</v>
      </c>
      <c r="E16" s="55" t="s">
        <v>1144</v>
      </c>
      <c r="F16" s="56" t="s">
        <v>1145</v>
      </c>
      <c r="G16" s="57" t="s">
        <v>1259</v>
      </c>
      <c r="H16" s="58" t="s">
        <v>1260</v>
      </c>
      <c r="I16" s="58" t="s">
        <v>1261</v>
      </c>
      <c r="J16" s="57" t="s">
        <v>1232</v>
      </c>
      <c r="K16" s="52"/>
    </row>
    <row r="17" spans="1:11" ht="15.75" customHeight="1">
      <c r="A17" s="53" t="s">
        <v>1215</v>
      </c>
      <c r="B17" s="54" t="s">
        <v>1246</v>
      </c>
      <c r="C17" s="53">
        <v>30301</v>
      </c>
      <c r="D17" s="55" t="s">
        <v>1079</v>
      </c>
      <c r="E17" s="55" t="s">
        <v>1144</v>
      </c>
      <c r="F17" s="56" t="s">
        <v>1148</v>
      </c>
      <c r="G17" s="57" t="s">
        <v>1262</v>
      </c>
      <c r="H17" s="58" t="s">
        <v>1263</v>
      </c>
      <c r="I17" s="58" t="s">
        <v>1264</v>
      </c>
      <c r="J17" s="57" t="s">
        <v>1232</v>
      </c>
      <c r="K17" s="52"/>
    </row>
    <row r="18" spans="1:11" ht="15.75" customHeight="1">
      <c r="A18" s="53" t="s">
        <v>1215</v>
      </c>
      <c r="B18" s="54" t="s">
        <v>1246</v>
      </c>
      <c r="C18" s="53">
        <v>30400</v>
      </c>
      <c r="D18" s="55" t="s">
        <v>1079</v>
      </c>
      <c r="E18" s="55" t="s">
        <v>1080</v>
      </c>
      <c r="F18" s="56" t="s">
        <v>1081</v>
      </c>
      <c r="G18" s="57" t="s">
        <v>1265</v>
      </c>
      <c r="H18" s="58" t="s">
        <v>1266</v>
      </c>
      <c r="I18" s="58" t="s">
        <v>1267</v>
      </c>
      <c r="J18" s="57" t="s">
        <v>1268</v>
      </c>
      <c r="K18" s="52"/>
    </row>
    <row r="19" spans="1:11" ht="15.75" customHeight="1">
      <c r="A19" s="53" t="s">
        <v>1215</v>
      </c>
      <c r="B19" s="54" t="s">
        <v>1246</v>
      </c>
      <c r="C19" s="53">
        <v>30401</v>
      </c>
      <c r="D19" s="55" t="s">
        <v>1079</v>
      </c>
      <c r="E19" s="55" t="s">
        <v>1080</v>
      </c>
      <c r="F19" s="57" t="s">
        <v>1089</v>
      </c>
      <c r="G19" s="57" t="s">
        <v>1265</v>
      </c>
      <c r="H19" s="58" t="s">
        <v>1266</v>
      </c>
      <c r="I19" s="58" t="s">
        <v>1269</v>
      </c>
      <c r="J19" s="57" t="s">
        <v>1268</v>
      </c>
      <c r="K19" s="52"/>
    </row>
    <row r="20" spans="1:11" ht="15.75" customHeight="1">
      <c r="A20" s="53" t="s">
        <v>1215</v>
      </c>
      <c r="B20" s="54" t="s">
        <v>1246</v>
      </c>
      <c r="C20" s="53">
        <v>30500</v>
      </c>
      <c r="D20" s="55" t="s">
        <v>1079</v>
      </c>
      <c r="E20" s="55" t="s">
        <v>1270</v>
      </c>
      <c r="F20" s="57" t="s">
        <v>1094</v>
      </c>
      <c r="G20" s="57" t="s">
        <v>1271</v>
      </c>
      <c r="H20" s="58" t="s">
        <v>1272</v>
      </c>
      <c r="I20" s="58" t="s">
        <v>1273</v>
      </c>
      <c r="J20" s="57" t="s">
        <v>1274</v>
      </c>
      <c r="K20" s="52"/>
    </row>
    <row r="21" spans="1:11" ht="15.75" customHeight="1">
      <c r="A21" s="53" t="s">
        <v>1215</v>
      </c>
      <c r="B21" s="54" t="s">
        <v>1246</v>
      </c>
      <c r="C21" s="53">
        <v>30501</v>
      </c>
      <c r="D21" s="55" t="s">
        <v>1079</v>
      </c>
      <c r="E21" s="55" t="s">
        <v>1270</v>
      </c>
      <c r="F21" s="57" t="s">
        <v>1099</v>
      </c>
      <c r="G21" s="57" t="s">
        <v>1275</v>
      </c>
      <c r="H21" s="58" t="s">
        <v>1276</v>
      </c>
      <c r="I21" s="58" t="s">
        <v>1277</v>
      </c>
      <c r="J21" s="57" t="s">
        <v>1274</v>
      </c>
      <c r="K21" s="52"/>
    </row>
    <row r="22" spans="1:11" ht="15.75" customHeight="1">
      <c r="A22" s="53" t="s">
        <v>1215</v>
      </c>
      <c r="B22" s="54" t="s">
        <v>1246</v>
      </c>
      <c r="C22" s="53">
        <v>30502</v>
      </c>
      <c r="D22" s="55" t="s">
        <v>1079</v>
      </c>
      <c r="E22" s="55" t="s">
        <v>1270</v>
      </c>
      <c r="F22" s="56" t="s">
        <v>1105</v>
      </c>
      <c r="G22" s="57" t="s">
        <v>1278</v>
      </c>
      <c r="H22" s="58" t="s">
        <v>1279</v>
      </c>
      <c r="I22" s="58" t="s">
        <v>1280</v>
      </c>
      <c r="J22" s="57" t="s">
        <v>1274</v>
      </c>
      <c r="K22" s="52"/>
    </row>
    <row r="23" spans="1:11" ht="15.75" customHeight="1">
      <c r="A23" s="53" t="s">
        <v>1215</v>
      </c>
      <c r="B23" s="54" t="s">
        <v>1246</v>
      </c>
      <c r="C23" s="53">
        <v>30503</v>
      </c>
      <c r="D23" s="55" t="s">
        <v>1079</v>
      </c>
      <c r="E23" s="55" t="s">
        <v>1270</v>
      </c>
      <c r="F23" s="56" t="s">
        <v>1109</v>
      </c>
      <c r="G23" s="57" t="s">
        <v>1281</v>
      </c>
      <c r="H23" s="58" t="s">
        <v>1282</v>
      </c>
      <c r="I23" s="58" t="s">
        <v>1283</v>
      </c>
      <c r="J23" s="57" t="s">
        <v>1274</v>
      </c>
      <c r="K23" s="52"/>
    </row>
    <row r="24" spans="1:11" ht="15.75" customHeight="1">
      <c r="A24" s="53" t="s">
        <v>1215</v>
      </c>
      <c r="B24" s="54" t="s">
        <v>1246</v>
      </c>
      <c r="C24" s="53">
        <v>30504</v>
      </c>
      <c r="D24" s="55" t="s">
        <v>1079</v>
      </c>
      <c r="E24" s="55" t="s">
        <v>1270</v>
      </c>
      <c r="F24" s="56" t="s">
        <v>1115</v>
      </c>
      <c r="G24" s="57" t="s">
        <v>1284</v>
      </c>
      <c r="H24" s="58" t="s">
        <v>1285</v>
      </c>
      <c r="I24" s="58" t="s">
        <v>1286</v>
      </c>
      <c r="J24" s="57" t="s">
        <v>1221</v>
      </c>
      <c r="K24" s="52"/>
    </row>
    <row r="25" spans="1:11" ht="15.75" customHeight="1">
      <c r="A25" s="53" t="s">
        <v>1215</v>
      </c>
      <c r="B25" s="54" t="s">
        <v>1246</v>
      </c>
      <c r="C25" s="53">
        <v>30505</v>
      </c>
      <c r="D25" s="55" t="s">
        <v>1079</v>
      </c>
      <c r="E25" s="55" t="s">
        <v>1270</v>
      </c>
      <c r="F25" s="56" t="s">
        <v>1122</v>
      </c>
      <c r="G25" s="57" t="s">
        <v>1287</v>
      </c>
      <c r="H25" s="58" t="s">
        <v>1288</v>
      </c>
      <c r="I25" s="58" t="s">
        <v>1289</v>
      </c>
      <c r="J25" s="57" t="s">
        <v>1274</v>
      </c>
      <c r="K25" s="52"/>
    </row>
    <row r="26" spans="1:11" ht="15.75" customHeight="1">
      <c r="A26" s="53" t="s">
        <v>1215</v>
      </c>
      <c r="B26" s="54" t="s">
        <v>1246</v>
      </c>
      <c r="C26" s="53">
        <v>30506</v>
      </c>
      <c r="D26" s="55" t="s">
        <v>1079</v>
      </c>
      <c r="E26" s="55" t="s">
        <v>1270</v>
      </c>
      <c r="F26" s="56" t="s">
        <v>1127</v>
      </c>
      <c r="G26" s="57" t="s">
        <v>1290</v>
      </c>
      <c r="H26" s="58" t="s">
        <v>1291</v>
      </c>
      <c r="I26" s="58" t="s">
        <v>1292</v>
      </c>
      <c r="J26" s="57" t="s">
        <v>1274</v>
      </c>
      <c r="K26" s="52"/>
    </row>
    <row r="27" spans="1:11" ht="15.75" customHeight="1">
      <c r="A27" s="53" t="s">
        <v>1215</v>
      </c>
      <c r="B27" s="54" t="s">
        <v>1246</v>
      </c>
      <c r="C27" s="53">
        <v>30507</v>
      </c>
      <c r="D27" s="55" t="s">
        <v>1079</v>
      </c>
      <c r="E27" s="55" t="s">
        <v>1270</v>
      </c>
      <c r="F27" s="56" t="s">
        <v>1132</v>
      </c>
      <c r="G27" s="57" t="s">
        <v>1293</v>
      </c>
      <c r="H27" s="58" t="s">
        <v>1294</v>
      </c>
      <c r="I27" s="58" t="s">
        <v>1295</v>
      </c>
      <c r="J27" s="57" t="s">
        <v>1296</v>
      </c>
      <c r="K27" s="52"/>
    </row>
    <row r="28" spans="1:11" ht="15.75" customHeight="1">
      <c r="A28" s="53" t="s">
        <v>1215</v>
      </c>
      <c r="B28" s="54" t="s">
        <v>1246</v>
      </c>
      <c r="C28" s="53">
        <v>30508</v>
      </c>
      <c r="D28" s="55" t="s">
        <v>1079</v>
      </c>
      <c r="E28" s="55" t="s">
        <v>1270</v>
      </c>
      <c r="F28" s="56" t="s">
        <v>1136</v>
      </c>
      <c r="G28" s="57" t="s">
        <v>1297</v>
      </c>
      <c r="H28" s="58" t="s">
        <v>1298</v>
      </c>
      <c r="I28" s="58" t="s">
        <v>1299</v>
      </c>
      <c r="J28" s="57" t="s">
        <v>1296</v>
      </c>
      <c r="K28" s="52"/>
    </row>
    <row r="29" spans="1:11" ht="15.75" customHeight="1">
      <c r="A29" s="53" t="s">
        <v>1215</v>
      </c>
      <c r="B29" s="54" t="s">
        <v>1246</v>
      </c>
      <c r="C29" s="53">
        <v>30509</v>
      </c>
      <c r="D29" s="55" t="s">
        <v>1079</v>
      </c>
      <c r="E29" s="55" t="s">
        <v>1270</v>
      </c>
      <c r="F29" s="56" t="s">
        <v>1139</v>
      </c>
      <c r="G29" s="57" t="s">
        <v>1300</v>
      </c>
      <c r="H29" s="58" t="s">
        <v>1301</v>
      </c>
      <c r="I29" s="58" t="s">
        <v>1302</v>
      </c>
      <c r="J29" s="57" t="s">
        <v>1221</v>
      </c>
      <c r="K29" s="52"/>
    </row>
    <row r="30" spans="1:11" ht="15.75" customHeight="1">
      <c r="A30" s="53" t="s">
        <v>1215</v>
      </c>
      <c r="B30" s="54" t="s">
        <v>1246</v>
      </c>
      <c r="C30" s="53">
        <v>30510</v>
      </c>
      <c r="D30" s="55" t="s">
        <v>1079</v>
      </c>
      <c r="E30" s="55" t="s">
        <v>1270</v>
      </c>
      <c r="F30" s="56" t="s">
        <v>1142</v>
      </c>
      <c r="G30" s="57" t="s">
        <v>1303</v>
      </c>
      <c r="H30" s="58" t="s">
        <v>1304</v>
      </c>
      <c r="I30" s="58" t="s">
        <v>1305</v>
      </c>
      <c r="J30" s="57" t="s">
        <v>1221</v>
      </c>
      <c r="K30" s="52"/>
    </row>
    <row r="31" spans="1:11" ht="15.6">
      <c r="A31" s="53" t="s">
        <v>1215</v>
      </c>
      <c r="B31" s="54" t="s">
        <v>1246</v>
      </c>
      <c r="C31" s="53">
        <v>30511</v>
      </c>
      <c r="D31" s="55" t="s">
        <v>1079</v>
      </c>
      <c r="E31" s="55" t="s">
        <v>1270</v>
      </c>
      <c r="F31" s="56" t="s">
        <v>1146</v>
      </c>
      <c r="G31" s="57" t="s">
        <v>1306</v>
      </c>
      <c r="H31" s="58" t="s">
        <v>1307</v>
      </c>
      <c r="I31" s="58" t="s">
        <v>1308</v>
      </c>
      <c r="J31" s="57" t="s">
        <v>1232</v>
      </c>
      <c r="K31" s="52"/>
    </row>
    <row r="32" spans="1:11" ht="15.6">
      <c r="A32" s="53" t="s">
        <v>1215</v>
      </c>
      <c r="B32" s="54" t="s">
        <v>1246</v>
      </c>
      <c r="C32" s="53">
        <v>30512</v>
      </c>
      <c r="D32" s="55" t="s">
        <v>1079</v>
      </c>
      <c r="E32" s="55" t="s">
        <v>1270</v>
      </c>
      <c r="F32" s="57" t="s">
        <v>1149</v>
      </c>
      <c r="G32" s="57" t="s">
        <v>1309</v>
      </c>
      <c r="H32" s="58" t="s">
        <v>1310</v>
      </c>
      <c r="I32" s="58" t="s">
        <v>1311</v>
      </c>
      <c r="J32" s="57" t="s">
        <v>1227</v>
      </c>
      <c r="K32" s="52"/>
    </row>
    <row r="33" spans="1:11" ht="15.6">
      <c r="A33" s="53" t="s">
        <v>1215</v>
      </c>
      <c r="B33" s="54" t="s">
        <v>1246</v>
      </c>
      <c r="C33" s="53">
        <v>30513</v>
      </c>
      <c r="D33" s="55" t="s">
        <v>1079</v>
      </c>
      <c r="E33" s="55" t="s">
        <v>1270</v>
      </c>
      <c r="F33" s="55" t="s">
        <v>1153</v>
      </c>
      <c r="G33" s="61" t="s">
        <v>1312</v>
      </c>
      <c r="H33" s="62" t="s">
        <v>1313</v>
      </c>
      <c r="I33" s="62" t="s">
        <v>1314</v>
      </c>
      <c r="J33" s="61" t="s">
        <v>1274</v>
      </c>
      <c r="K33" s="52"/>
    </row>
    <row r="34" spans="1:11" ht="15.6">
      <c r="A34" s="46" t="s">
        <v>1215</v>
      </c>
      <c r="B34" s="47" t="s">
        <v>1315</v>
      </c>
      <c r="C34" s="46">
        <v>40100</v>
      </c>
      <c r="D34" s="48" t="s">
        <v>1316</v>
      </c>
      <c r="E34" s="48" t="s">
        <v>1083</v>
      </c>
      <c r="F34" s="49" t="s">
        <v>1084</v>
      </c>
      <c r="G34" s="50" t="s">
        <v>1317</v>
      </c>
      <c r="H34" s="51" t="s">
        <v>1318</v>
      </c>
      <c r="I34" s="51" t="s">
        <v>1319</v>
      </c>
      <c r="J34" s="50" t="s">
        <v>1239</v>
      </c>
      <c r="K34" s="52"/>
    </row>
    <row r="35" spans="1:11" ht="15.6">
      <c r="A35" s="53" t="s">
        <v>1215</v>
      </c>
      <c r="B35" s="54" t="s">
        <v>1315</v>
      </c>
      <c r="C35" s="53">
        <v>40200</v>
      </c>
      <c r="D35" s="55" t="s">
        <v>1316</v>
      </c>
      <c r="E35" s="55" t="s">
        <v>1083</v>
      </c>
      <c r="F35" s="56" t="s">
        <v>1090</v>
      </c>
      <c r="G35" s="57" t="s">
        <v>1320</v>
      </c>
      <c r="H35" s="58" t="s">
        <v>1321</v>
      </c>
      <c r="I35" s="58" t="s">
        <v>1322</v>
      </c>
      <c r="J35" s="57" t="s">
        <v>1239</v>
      </c>
      <c r="K35" s="52"/>
    </row>
    <row r="36" spans="1:11" ht="15.6">
      <c r="A36" s="53" t="s">
        <v>1215</v>
      </c>
      <c r="B36" s="54" t="s">
        <v>1315</v>
      </c>
      <c r="C36" s="53">
        <v>40300</v>
      </c>
      <c r="D36" s="55" t="s">
        <v>1316</v>
      </c>
      <c r="E36" s="57" t="s">
        <v>1095</v>
      </c>
      <c r="F36" s="57" t="s">
        <v>1096</v>
      </c>
      <c r="G36" s="57" t="s">
        <v>1320</v>
      </c>
      <c r="H36" s="58" t="s">
        <v>1323</v>
      </c>
      <c r="I36" s="58" t="s">
        <v>1324</v>
      </c>
      <c r="J36" s="57" t="s">
        <v>1239</v>
      </c>
      <c r="K36" s="52"/>
    </row>
    <row r="37" spans="1:11" ht="15.6">
      <c r="A37" s="53" t="s">
        <v>1215</v>
      </c>
      <c r="B37" s="54" t="s">
        <v>1315</v>
      </c>
      <c r="C37" s="53">
        <v>40400</v>
      </c>
      <c r="D37" s="55" t="s">
        <v>1316</v>
      </c>
      <c r="E37" s="55" t="s">
        <v>1100</v>
      </c>
      <c r="F37" s="56" t="s">
        <v>1101</v>
      </c>
      <c r="G37" s="57" t="s">
        <v>1325</v>
      </c>
      <c r="H37" s="58" t="s">
        <v>1326</v>
      </c>
      <c r="I37" s="58" t="s">
        <v>1327</v>
      </c>
      <c r="J37" s="57" t="s">
        <v>1239</v>
      </c>
      <c r="K37" s="52"/>
    </row>
    <row r="38" spans="1:11" ht="15.6">
      <c r="A38" s="53" t="s">
        <v>1215</v>
      </c>
      <c r="B38" s="54" t="s">
        <v>1315</v>
      </c>
      <c r="C38" s="53">
        <v>40401</v>
      </c>
      <c r="D38" s="55" t="s">
        <v>1316</v>
      </c>
      <c r="E38" s="55" t="s">
        <v>1100</v>
      </c>
      <c r="F38" s="56" t="s">
        <v>1106</v>
      </c>
      <c r="G38" s="57" t="s">
        <v>1328</v>
      </c>
      <c r="H38" s="58" t="s">
        <v>1329</v>
      </c>
      <c r="I38" s="58" t="s">
        <v>1330</v>
      </c>
      <c r="J38" s="57" t="s">
        <v>1239</v>
      </c>
      <c r="K38" s="52"/>
    </row>
    <row r="39" spans="1:11" ht="15.6">
      <c r="A39" s="53" t="s">
        <v>1215</v>
      </c>
      <c r="B39" s="54" t="s">
        <v>1315</v>
      </c>
      <c r="C39" s="60">
        <v>40500</v>
      </c>
      <c r="D39" s="55" t="s">
        <v>1316</v>
      </c>
      <c r="E39" s="55" t="s">
        <v>1110</v>
      </c>
      <c r="F39" s="55" t="s">
        <v>1111</v>
      </c>
      <c r="G39" s="61" t="s">
        <v>1320</v>
      </c>
      <c r="H39" s="62" t="s">
        <v>1331</v>
      </c>
      <c r="I39" s="62" t="s">
        <v>1332</v>
      </c>
      <c r="J39" s="61" t="s">
        <v>1239</v>
      </c>
      <c r="K39" s="52"/>
    </row>
    <row r="40" spans="1:11" ht="15.6">
      <c r="A40" s="46" t="s">
        <v>1215</v>
      </c>
      <c r="B40" s="47" t="s">
        <v>1333</v>
      </c>
      <c r="C40" s="46">
        <v>50100</v>
      </c>
      <c r="D40" s="48" t="s">
        <v>1116</v>
      </c>
      <c r="E40" s="48" t="s">
        <v>1334</v>
      </c>
      <c r="F40" s="49" t="s">
        <v>1118</v>
      </c>
      <c r="G40" s="50" t="s">
        <v>1335</v>
      </c>
      <c r="H40" s="51" t="s">
        <v>1336</v>
      </c>
      <c r="I40" s="51" t="s">
        <v>1337</v>
      </c>
      <c r="J40" s="50" t="s">
        <v>1338</v>
      </c>
      <c r="K40" s="52"/>
    </row>
    <row r="41" spans="1:11" ht="15.6">
      <c r="A41" s="53" t="s">
        <v>1215</v>
      </c>
      <c r="B41" s="54" t="s">
        <v>1333</v>
      </c>
      <c r="C41" s="53">
        <v>50101</v>
      </c>
      <c r="D41" s="55" t="s">
        <v>1116</v>
      </c>
      <c r="E41" s="55" t="s">
        <v>1334</v>
      </c>
      <c r="F41" s="56" t="s">
        <v>1123</v>
      </c>
      <c r="G41" s="57" t="s">
        <v>1339</v>
      </c>
      <c r="H41" s="58" t="s">
        <v>1340</v>
      </c>
      <c r="I41" s="58" t="s">
        <v>1341</v>
      </c>
      <c r="J41" s="57" t="s">
        <v>1338</v>
      </c>
      <c r="K41" s="52"/>
    </row>
    <row r="42" spans="1:11" ht="15.6">
      <c r="A42" s="53" t="s">
        <v>1215</v>
      </c>
      <c r="B42" s="54" t="s">
        <v>1333</v>
      </c>
      <c r="C42" s="53">
        <v>50102</v>
      </c>
      <c r="D42" s="55" t="s">
        <v>1116</v>
      </c>
      <c r="E42" s="55" t="s">
        <v>1334</v>
      </c>
      <c r="F42" s="57" t="s">
        <v>1128</v>
      </c>
      <c r="G42" s="57" t="s">
        <v>1342</v>
      </c>
      <c r="H42" s="58" t="s">
        <v>1343</v>
      </c>
      <c r="I42" s="58" t="s">
        <v>1344</v>
      </c>
      <c r="J42" s="57" t="s">
        <v>1338</v>
      </c>
      <c r="K42" s="52"/>
    </row>
    <row r="43" spans="1:11" ht="15.6">
      <c r="A43" s="53" t="s">
        <v>1215</v>
      </c>
      <c r="B43" s="54" t="s">
        <v>1333</v>
      </c>
      <c r="C43" s="53">
        <v>50103</v>
      </c>
      <c r="D43" s="55" t="s">
        <v>1116</v>
      </c>
      <c r="E43" s="55" t="s">
        <v>1334</v>
      </c>
      <c r="F43" s="56" t="s">
        <v>1133</v>
      </c>
      <c r="G43" s="57" t="s">
        <v>1345</v>
      </c>
      <c r="H43" s="58" t="s">
        <v>1346</v>
      </c>
      <c r="I43" s="58" t="s">
        <v>1347</v>
      </c>
      <c r="J43" s="57" t="s">
        <v>1338</v>
      </c>
      <c r="K43" s="52"/>
    </row>
    <row r="44" spans="1:11" ht="15.6">
      <c r="A44" s="53" t="s">
        <v>1215</v>
      </c>
      <c r="B44" s="54" t="s">
        <v>1333</v>
      </c>
      <c r="C44" s="53">
        <v>50104</v>
      </c>
      <c r="D44" s="55" t="s">
        <v>1116</v>
      </c>
      <c r="E44" s="55" t="s">
        <v>1334</v>
      </c>
      <c r="F44" s="56" t="s">
        <v>1137</v>
      </c>
      <c r="G44" s="57" t="s">
        <v>1348</v>
      </c>
      <c r="H44" s="58" t="s">
        <v>1349</v>
      </c>
      <c r="I44" s="58" t="s">
        <v>1350</v>
      </c>
      <c r="J44" s="57" t="s">
        <v>1338</v>
      </c>
      <c r="K44" s="52"/>
    </row>
    <row r="45" spans="1:11" ht="15.6">
      <c r="A45" s="53" t="s">
        <v>1215</v>
      </c>
      <c r="B45" s="54" t="s">
        <v>1333</v>
      </c>
      <c r="C45" s="53">
        <v>50105</v>
      </c>
      <c r="D45" s="55" t="s">
        <v>1116</v>
      </c>
      <c r="E45" s="55" t="s">
        <v>1334</v>
      </c>
      <c r="F45" s="57" t="s">
        <v>1140</v>
      </c>
      <c r="G45" s="57" t="s">
        <v>1351</v>
      </c>
      <c r="H45" s="58" t="s">
        <v>1352</v>
      </c>
      <c r="I45" s="58" t="s">
        <v>1353</v>
      </c>
      <c r="J45" s="57" t="s">
        <v>1239</v>
      </c>
      <c r="K45" s="52"/>
    </row>
    <row r="46" spans="1:11" ht="15.6">
      <c r="A46" s="53" t="s">
        <v>1215</v>
      </c>
      <c r="B46" s="54" t="s">
        <v>1333</v>
      </c>
      <c r="C46" s="53">
        <v>50106</v>
      </c>
      <c r="D46" s="55" t="s">
        <v>1116</v>
      </c>
      <c r="E46" s="55" t="s">
        <v>1334</v>
      </c>
      <c r="F46" s="56" t="s">
        <v>1143</v>
      </c>
      <c r="G46" s="57" t="s">
        <v>1351</v>
      </c>
      <c r="H46" s="58" t="s">
        <v>1354</v>
      </c>
      <c r="I46" s="58" t="s">
        <v>1355</v>
      </c>
      <c r="J46" s="57" t="s">
        <v>1239</v>
      </c>
      <c r="K46" s="52"/>
    </row>
    <row r="47" spans="1:11" ht="15.6">
      <c r="A47" s="53" t="s">
        <v>1215</v>
      </c>
      <c r="B47" s="54" t="s">
        <v>1333</v>
      </c>
      <c r="C47" s="53">
        <v>50107</v>
      </c>
      <c r="D47" s="55" t="s">
        <v>1116</v>
      </c>
      <c r="E47" s="55" t="s">
        <v>1334</v>
      </c>
      <c r="F47" s="56" t="s">
        <v>1147</v>
      </c>
      <c r="G47" s="57" t="s">
        <v>1356</v>
      </c>
      <c r="H47" s="58" t="s">
        <v>1357</v>
      </c>
      <c r="I47" s="58" t="s">
        <v>1358</v>
      </c>
      <c r="J47" s="57" t="s">
        <v>1274</v>
      </c>
      <c r="K47" s="52"/>
    </row>
    <row r="48" spans="1:11" ht="15.6">
      <c r="A48" s="53" t="s">
        <v>1215</v>
      </c>
      <c r="B48" s="54" t="s">
        <v>1333</v>
      </c>
      <c r="C48" s="53">
        <v>50200</v>
      </c>
      <c r="D48" s="55" t="s">
        <v>1116</v>
      </c>
      <c r="E48" s="56" t="s">
        <v>1150</v>
      </c>
      <c r="F48" s="56" t="s">
        <v>1359</v>
      </c>
      <c r="G48" s="57" t="s">
        <v>1360</v>
      </c>
      <c r="H48" s="58" t="s">
        <v>1361</v>
      </c>
      <c r="I48" s="58" t="s">
        <v>1362</v>
      </c>
      <c r="J48" s="57" t="s">
        <v>1232</v>
      </c>
      <c r="K48" s="52"/>
    </row>
    <row r="49" spans="1:11" ht="15.6">
      <c r="A49" s="53" t="s">
        <v>1215</v>
      </c>
      <c r="B49" s="54" t="s">
        <v>1333</v>
      </c>
      <c r="C49" s="60">
        <v>50300</v>
      </c>
      <c r="D49" s="55" t="s">
        <v>1116</v>
      </c>
      <c r="E49" s="55" t="s">
        <v>1154</v>
      </c>
      <c r="F49" s="55" t="s">
        <v>1363</v>
      </c>
      <c r="G49" s="61" t="s">
        <v>1360</v>
      </c>
      <c r="H49" s="62" t="s">
        <v>1364</v>
      </c>
      <c r="I49" s="62" t="s">
        <v>1365</v>
      </c>
      <c r="J49" s="61" t="s">
        <v>1232</v>
      </c>
      <c r="K49" s="52"/>
    </row>
    <row r="50" spans="1:11" ht="15.6">
      <c r="A50" s="46" t="s">
        <v>1215</v>
      </c>
      <c r="B50" s="47" t="s">
        <v>1366</v>
      </c>
      <c r="C50" s="46">
        <v>60100</v>
      </c>
      <c r="D50" s="48" t="s">
        <v>1367</v>
      </c>
      <c r="E50" s="48" t="s">
        <v>1086</v>
      </c>
      <c r="F50" s="49" t="s">
        <v>1087</v>
      </c>
      <c r="G50" s="50" t="s">
        <v>1368</v>
      </c>
      <c r="H50" s="51" t="s">
        <v>1369</v>
      </c>
      <c r="I50" s="51" t="s">
        <v>1370</v>
      </c>
      <c r="J50" s="50" t="s">
        <v>1338</v>
      </c>
      <c r="K50" s="52"/>
    </row>
    <row r="51" spans="1:11" ht="15.6">
      <c r="A51" s="53" t="s">
        <v>1215</v>
      </c>
      <c r="B51" s="54" t="s">
        <v>1366</v>
      </c>
      <c r="C51" s="53">
        <v>60101</v>
      </c>
      <c r="D51" s="55" t="s">
        <v>1367</v>
      </c>
      <c r="E51" s="55" t="s">
        <v>1086</v>
      </c>
      <c r="F51" s="56" t="s">
        <v>1091</v>
      </c>
      <c r="G51" s="57" t="s">
        <v>1368</v>
      </c>
      <c r="H51" s="58" t="s">
        <v>1371</v>
      </c>
      <c r="I51" s="58" t="s">
        <v>1372</v>
      </c>
      <c r="J51" s="57" t="s">
        <v>1338</v>
      </c>
      <c r="K51" s="52"/>
    </row>
    <row r="52" spans="1:11" ht="15.6">
      <c r="A52" s="53" t="s">
        <v>1215</v>
      </c>
      <c r="B52" s="54" t="s">
        <v>1366</v>
      </c>
      <c r="C52" s="53">
        <v>60102</v>
      </c>
      <c r="D52" s="55" t="s">
        <v>1367</v>
      </c>
      <c r="E52" s="55" t="s">
        <v>1086</v>
      </c>
      <c r="F52" s="56" t="s">
        <v>1097</v>
      </c>
      <c r="G52" s="57" t="s">
        <v>1368</v>
      </c>
      <c r="H52" s="58" t="s">
        <v>1373</v>
      </c>
      <c r="I52" s="58" t="s">
        <v>1374</v>
      </c>
      <c r="J52" s="57" t="s">
        <v>1338</v>
      </c>
      <c r="K52" s="52"/>
    </row>
    <row r="53" spans="1:11" ht="15.6">
      <c r="A53" s="53" t="s">
        <v>1215</v>
      </c>
      <c r="B53" s="54" t="s">
        <v>1366</v>
      </c>
      <c r="C53" s="53">
        <v>60103</v>
      </c>
      <c r="D53" s="55" t="s">
        <v>1367</v>
      </c>
      <c r="E53" s="55" t="s">
        <v>1086</v>
      </c>
      <c r="F53" s="57" t="s">
        <v>1102</v>
      </c>
      <c r="G53" s="57">
        <v>3.11</v>
      </c>
      <c r="H53" s="58" t="s">
        <v>1375</v>
      </c>
      <c r="I53" s="58" t="s">
        <v>1376</v>
      </c>
      <c r="J53" s="57" t="s">
        <v>1338</v>
      </c>
      <c r="K53" s="52"/>
    </row>
    <row r="54" spans="1:11" ht="15.6">
      <c r="A54" s="53" t="s">
        <v>1215</v>
      </c>
      <c r="B54" s="54" t="s">
        <v>1366</v>
      </c>
      <c r="C54" s="53">
        <v>60104</v>
      </c>
      <c r="D54" s="55" t="s">
        <v>1367</v>
      </c>
      <c r="E54" s="55" t="s">
        <v>1086</v>
      </c>
      <c r="F54" s="56" t="s">
        <v>1377</v>
      </c>
      <c r="G54" s="57" t="s">
        <v>1368</v>
      </c>
      <c r="H54" s="58" t="s">
        <v>1378</v>
      </c>
      <c r="I54" s="58" t="s">
        <v>1379</v>
      </c>
      <c r="J54" s="57" t="s">
        <v>1338</v>
      </c>
      <c r="K54" s="52"/>
    </row>
    <row r="55" spans="1:11" ht="15.6">
      <c r="A55" s="53" t="s">
        <v>1215</v>
      </c>
      <c r="B55" s="54" t="s">
        <v>1366</v>
      </c>
      <c r="C55" s="53">
        <v>60200</v>
      </c>
      <c r="D55" s="55" t="s">
        <v>1367</v>
      </c>
      <c r="E55" s="56" t="s">
        <v>1112</v>
      </c>
      <c r="F55" s="56" t="s">
        <v>1380</v>
      </c>
      <c r="G55" s="57">
        <v>3.11</v>
      </c>
      <c r="H55" s="58" t="s">
        <v>1381</v>
      </c>
      <c r="I55" s="58" t="s">
        <v>1382</v>
      </c>
      <c r="J55" s="57" t="s">
        <v>1338</v>
      </c>
      <c r="K55" s="52"/>
    </row>
    <row r="56" spans="1:11" ht="15.6">
      <c r="A56" s="53" t="s">
        <v>1215</v>
      </c>
      <c r="B56" s="54" t="s">
        <v>1366</v>
      </c>
      <c r="C56" s="53">
        <v>60300</v>
      </c>
      <c r="D56" s="55" t="s">
        <v>1367</v>
      </c>
      <c r="E56" s="56" t="s">
        <v>1383</v>
      </c>
      <c r="F56" s="56" t="s">
        <v>1120</v>
      </c>
      <c r="G56" s="57" t="s">
        <v>1384</v>
      </c>
      <c r="H56" s="58" t="s">
        <v>1385</v>
      </c>
      <c r="I56" s="58" t="s">
        <v>1386</v>
      </c>
      <c r="J56" s="57" t="s">
        <v>1387</v>
      </c>
      <c r="K56" s="52"/>
    </row>
    <row r="57" spans="1:11" ht="15.6">
      <c r="A57" s="53" t="s">
        <v>1215</v>
      </c>
      <c r="B57" s="54" t="s">
        <v>1366</v>
      </c>
      <c r="C57" s="60">
        <v>60400</v>
      </c>
      <c r="D57" s="55" t="s">
        <v>1367</v>
      </c>
      <c r="E57" s="55" t="s">
        <v>1388</v>
      </c>
      <c r="F57" s="55" t="s">
        <v>1125</v>
      </c>
      <c r="G57" s="61" t="s">
        <v>1389</v>
      </c>
      <c r="H57" s="62" t="s">
        <v>1390</v>
      </c>
      <c r="I57" s="62" t="s">
        <v>1391</v>
      </c>
      <c r="J57" s="61" t="s">
        <v>1296</v>
      </c>
      <c r="K57" s="52"/>
    </row>
    <row r="58" spans="1:11" ht="13.2">
      <c r="A58" s="11"/>
      <c r="B58" s="63"/>
      <c r="C58" s="11"/>
      <c r="D58" s="11"/>
      <c r="E58" s="11"/>
      <c r="F58" s="11"/>
      <c r="G58" s="11"/>
      <c r="H58" s="11"/>
      <c r="I58" s="11"/>
      <c r="J58" s="11"/>
      <c r="K58" s="43"/>
    </row>
    <row r="59" spans="1:11" ht="13.2">
      <c r="B59" s="64"/>
      <c r="K59" s="43"/>
    </row>
    <row r="60" spans="1:11" ht="13.2">
      <c r="B60" s="64"/>
      <c r="K60" s="43"/>
    </row>
    <row r="61" spans="1:11" ht="13.2">
      <c r="B61" s="64"/>
      <c r="K61" s="43"/>
    </row>
    <row r="62" spans="1:11" ht="13.2">
      <c r="B62" s="64"/>
      <c r="K62" s="43"/>
    </row>
    <row r="63" spans="1:11" ht="13.2">
      <c r="B63" s="64"/>
      <c r="K63" s="43"/>
    </row>
    <row r="64" spans="1:11" ht="13.2">
      <c r="B64" s="64"/>
      <c r="K64" s="43"/>
    </row>
    <row r="65" spans="2:11" ht="13.2">
      <c r="B65" s="64"/>
      <c r="K65" s="43"/>
    </row>
    <row r="66" spans="2:11" ht="13.2">
      <c r="B66" s="64"/>
      <c r="K66" s="43"/>
    </row>
    <row r="67" spans="2:11" ht="13.2">
      <c r="B67" s="64"/>
      <c r="K67" s="43"/>
    </row>
    <row r="68" spans="2:11" ht="13.2">
      <c r="B68" s="64"/>
      <c r="K68" s="43"/>
    </row>
    <row r="69" spans="2:11" ht="13.2">
      <c r="B69" s="64"/>
      <c r="K69" s="43"/>
    </row>
    <row r="70" spans="2:11" ht="13.2">
      <c r="B70" s="64"/>
      <c r="K70" s="43"/>
    </row>
    <row r="71" spans="2:11" ht="13.2">
      <c r="B71" s="64"/>
      <c r="K71" s="43"/>
    </row>
    <row r="72" spans="2:11" ht="13.2">
      <c r="B72" s="64"/>
      <c r="K72" s="43"/>
    </row>
    <row r="73" spans="2:11" ht="13.2">
      <c r="B73" s="64"/>
      <c r="K73" s="43"/>
    </row>
    <row r="74" spans="2:11" ht="13.2">
      <c r="B74" s="64"/>
      <c r="K74" s="43"/>
    </row>
    <row r="75" spans="2:11" ht="13.2">
      <c r="B75" s="64"/>
      <c r="K75" s="43"/>
    </row>
    <row r="76" spans="2:11" ht="13.2">
      <c r="B76" s="64"/>
      <c r="K76" s="43"/>
    </row>
    <row r="77" spans="2:11" ht="13.2">
      <c r="B77" s="64"/>
      <c r="K77" s="43"/>
    </row>
    <row r="78" spans="2:11" ht="13.2">
      <c r="B78" s="64"/>
      <c r="K78" s="43"/>
    </row>
    <row r="79" spans="2:11" ht="13.2">
      <c r="B79" s="64"/>
      <c r="K79" s="43"/>
    </row>
    <row r="80" spans="2:11" ht="13.2">
      <c r="B80" s="64"/>
      <c r="K80" s="43"/>
    </row>
    <row r="81" spans="2:11" ht="13.2">
      <c r="B81" s="64"/>
      <c r="K81" s="43"/>
    </row>
    <row r="82" spans="2:11" ht="13.2">
      <c r="B82" s="64"/>
      <c r="K82" s="43"/>
    </row>
    <row r="83" spans="2:11" ht="13.2">
      <c r="B83" s="64"/>
      <c r="K83" s="43"/>
    </row>
    <row r="84" spans="2:11" ht="13.2">
      <c r="B84" s="64"/>
      <c r="K84" s="43"/>
    </row>
    <row r="85" spans="2:11" ht="13.2">
      <c r="B85" s="64"/>
      <c r="K85" s="43"/>
    </row>
    <row r="86" spans="2:11" ht="13.2">
      <c r="B86" s="64"/>
      <c r="K86" s="43"/>
    </row>
    <row r="87" spans="2:11" ht="13.2">
      <c r="B87" s="64"/>
      <c r="K87" s="43"/>
    </row>
    <row r="88" spans="2:11" ht="13.2">
      <c r="B88" s="64"/>
      <c r="K88" s="43"/>
    </row>
    <row r="89" spans="2:11" ht="13.2">
      <c r="B89" s="64"/>
      <c r="K89" s="43"/>
    </row>
    <row r="90" spans="2:11" ht="13.2">
      <c r="B90" s="64"/>
      <c r="K90" s="43"/>
    </row>
    <row r="91" spans="2:11" ht="13.2">
      <c r="B91" s="64"/>
      <c r="K91" s="43"/>
    </row>
    <row r="92" spans="2:11" ht="13.2">
      <c r="B92" s="64"/>
      <c r="K92" s="43"/>
    </row>
    <row r="93" spans="2:11" ht="13.2">
      <c r="B93" s="64"/>
      <c r="K93" s="43"/>
    </row>
    <row r="94" spans="2:11" ht="13.2">
      <c r="B94" s="64"/>
      <c r="K94" s="43"/>
    </row>
    <row r="95" spans="2:11" ht="13.2">
      <c r="B95" s="64"/>
      <c r="K95" s="43"/>
    </row>
    <row r="96" spans="2:11" ht="13.2">
      <c r="B96" s="64"/>
      <c r="K96" s="43"/>
    </row>
    <row r="97" spans="2:11" ht="13.2">
      <c r="B97" s="64"/>
      <c r="K97" s="43"/>
    </row>
    <row r="98" spans="2:11" ht="13.2">
      <c r="B98" s="64"/>
      <c r="K98" s="43"/>
    </row>
    <row r="99" spans="2:11" ht="13.2">
      <c r="B99" s="64"/>
      <c r="K99" s="43"/>
    </row>
    <row r="100" spans="2:11" ht="13.2">
      <c r="B100" s="64"/>
      <c r="K100" s="43"/>
    </row>
    <row r="101" spans="2:11" ht="13.2">
      <c r="B101" s="64"/>
      <c r="K101" s="43"/>
    </row>
    <row r="102" spans="2:11" ht="13.2">
      <c r="B102" s="64"/>
      <c r="K102" s="43"/>
    </row>
    <row r="103" spans="2:11" ht="13.2">
      <c r="B103" s="64"/>
      <c r="K103" s="43"/>
    </row>
    <row r="104" spans="2:11" ht="13.2">
      <c r="B104" s="64"/>
      <c r="K104" s="43"/>
    </row>
    <row r="105" spans="2:11" ht="13.2">
      <c r="B105" s="64"/>
      <c r="K105" s="43"/>
    </row>
    <row r="106" spans="2:11" ht="13.2">
      <c r="B106" s="64"/>
      <c r="K106" s="43"/>
    </row>
    <row r="107" spans="2:11" ht="13.2">
      <c r="B107" s="64"/>
      <c r="K107" s="43"/>
    </row>
    <row r="108" spans="2:11" ht="13.2">
      <c r="B108" s="64"/>
      <c r="K108" s="43"/>
    </row>
    <row r="109" spans="2:11" ht="13.2">
      <c r="B109" s="64"/>
      <c r="K109" s="43"/>
    </row>
    <row r="110" spans="2:11" ht="13.2">
      <c r="B110" s="64"/>
      <c r="K110" s="43"/>
    </row>
    <row r="111" spans="2:11" ht="13.2">
      <c r="B111" s="64"/>
      <c r="K111" s="43"/>
    </row>
    <row r="112" spans="2:11" ht="13.2">
      <c r="B112" s="64"/>
      <c r="K112" s="43"/>
    </row>
    <row r="113" spans="2:11" ht="13.2">
      <c r="B113" s="64"/>
      <c r="K113" s="43"/>
    </row>
    <row r="114" spans="2:11" ht="13.2">
      <c r="B114" s="64"/>
      <c r="K114" s="43"/>
    </row>
    <row r="115" spans="2:11" ht="13.2">
      <c r="B115" s="64"/>
      <c r="K115" s="43"/>
    </row>
    <row r="116" spans="2:11" ht="13.2">
      <c r="B116" s="64"/>
      <c r="K116" s="43"/>
    </row>
    <row r="117" spans="2:11" ht="13.2">
      <c r="B117" s="64"/>
      <c r="K117" s="43"/>
    </row>
    <row r="118" spans="2:11" ht="13.2">
      <c r="B118" s="64"/>
      <c r="K118" s="43"/>
    </row>
    <row r="119" spans="2:11" ht="13.2">
      <c r="B119" s="64"/>
      <c r="K119" s="43"/>
    </row>
    <row r="120" spans="2:11" ht="13.2">
      <c r="B120" s="64"/>
      <c r="K120" s="43"/>
    </row>
    <row r="121" spans="2:11" ht="13.2">
      <c r="B121" s="64"/>
      <c r="K121" s="43"/>
    </row>
    <row r="122" spans="2:11" ht="13.2">
      <c r="B122" s="64"/>
      <c r="K122" s="43"/>
    </row>
    <row r="123" spans="2:11" ht="13.2">
      <c r="B123" s="64"/>
      <c r="K123" s="43"/>
    </row>
    <row r="124" spans="2:11" ht="13.2">
      <c r="B124" s="64"/>
      <c r="K124" s="43"/>
    </row>
    <row r="125" spans="2:11" ht="13.2">
      <c r="B125" s="64"/>
      <c r="K125" s="43"/>
    </row>
    <row r="126" spans="2:11" ht="13.2">
      <c r="B126" s="64"/>
      <c r="K126" s="43"/>
    </row>
    <row r="127" spans="2:11" ht="13.2">
      <c r="B127" s="64"/>
      <c r="K127" s="43"/>
    </row>
    <row r="128" spans="2:11" ht="13.2">
      <c r="B128" s="64"/>
      <c r="K128" s="43"/>
    </row>
    <row r="129" spans="2:11" ht="13.2">
      <c r="B129" s="64"/>
      <c r="K129" s="43"/>
    </row>
    <row r="130" spans="2:11" ht="13.2">
      <c r="B130" s="64"/>
      <c r="K130" s="43"/>
    </row>
    <row r="131" spans="2:11" ht="13.2">
      <c r="B131" s="64"/>
      <c r="K131" s="43"/>
    </row>
    <row r="132" spans="2:11" ht="13.2">
      <c r="B132" s="64"/>
      <c r="K132" s="43"/>
    </row>
    <row r="133" spans="2:11" ht="13.2">
      <c r="B133" s="64"/>
      <c r="K133" s="43"/>
    </row>
    <row r="134" spans="2:11" ht="13.2">
      <c r="B134" s="64"/>
      <c r="K134" s="43"/>
    </row>
    <row r="135" spans="2:11" ht="13.2">
      <c r="B135" s="64"/>
      <c r="K135" s="43"/>
    </row>
    <row r="136" spans="2:11" ht="13.2">
      <c r="B136" s="64"/>
      <c r="K136" s="43"/>
    </row>
    <row r="137" spans="2:11" ht="13.2">
      <c r="B137" s="64"/>
      <c r="K137" s="43"/>
    </row>
    <row r="138" spans="2:11" ht="13.2">
      <c r="B138" s="64"/>
      <c r="K138" s="43"/>
    </row>
    <row r="139" spans="2:11" ht="13.2">
      <c r="B139" s="64"/>
      <c r="K139" s="43"/>
    </row>
    <row r="140" spans="2:11" ht="13.2">
      <c r="B140" s="64"/>
      <c r="K140" s="43"/>
    </row>
    <row r="141" spans="2:11" ht="13.2">
      <c r="B141" s="64"/>
      <c r="K141" s="43"/>
    </row>
    <row r="142" spans="2:11" ht="13.2">
      <c r="B142" s="64"/>
      <c r="K142" s="43"/>
    </row>
    <row r="143" spans="2:11" ht="13.2">
      <c r="B143" s="64"/>
      <c r="K143" s="43"/>
    </row>
    <row r="144" spans="2:11" ht="13.2">
      <c r="B144" s="64"/>
      <c r="K144" s="43"/>
    </row>
    <row r="145" spans="2:11" ht="13.2">
      <c r="B145" s="64"/>
      <c r="K145" s="43"/>
    </row>
    <row r="146" spans="2:11" ht="13.2">
      <c r="B146" s="64"/>
      <c r="K146" s="43"/>
    </row>
    <row r="147" spans="2:11" ht="13.2">
      <c r="B147" s="64"/>
      <c r="K147" s="43"/>
    </row>
    <row r="148" spans="2:11" ht="13.2">
      <c r="B148" s="64"/>
      <c r="K148" s="43"/>
    </row>
    <row r="149" spans="2:11" ht="13.2">
      <c r="B149" s="64"/>
      <c r="K149" s="43"/>
    </row>
    <row r="150" spans="2:11" ht="13.2">
      <c r="B150" s="64"/>
      <c r="K150" s="43"/>
    </row>
    <row r="151" spans="2:11" ht="13.2">
      <c r="B151" s="64"/>
      <c r="K151" s="43"/>
    </row>
    <row r="152" spans="2:11" ht="13.2">
      <c r="B152" s="64"/>
      <c r="K152" s="43"/>
    </row>
    <row r="153" spans="2:11" ht="13.2">
      <c r="B153" s="64"/>
      <c r="K153" s="43"/>
    </row>
    <row r="154" spans="2:11" ht="13.2">
      <c r="B154" s="64"/>
      <c r="K154" s="43"/>
    </row>
    <row r="155" spans="2:11" ht="13.2">
      <c r="B155" s="64"/>
      <c r="K155" s="43"/>
    </row>
    <row r="156" spans="2:11" ht="13.2">
      <c r="B156" s="64"/>
      <c r="K156" s="43"/>
    </row>
    <row r="157" spans="2:11" ht="13.2">
      <c r="B157" s="64"/>
      <c r="K157" s="43"/>
    </row>
    <row r="158" spans="2:11" ht="13.2">
      <c r="B158" s="64"/>
      <c r="K158" s="43"/>
    </row>
    <row r="159" spans="2:11" ht="13.2">
      <c r="B159" s="64"/>
      <c r="K159" s="43"/>
    </row>
    <row r="160" spans="2:11" ht="13.2">
      <c r="B160" s="64"/>
      <c r="K160" s="43"/>
    </row>
    <row r="161" spans="2:11" ht="13.2">
      <c r="B161" s="64"/>
      <c r="K161" s="43"/>
    </row>
    <row r="162" spans="2:11" ht="13.2">
      <c r="B162" s="64"/>
      <c r="K162" s="43"/>
    </row>
    <row r="163" spans="2:11" ht="13.2">
      <c r="B163" s="64"/>
      <c r="K163" s="43"/>
    </row>
    <row r="164" spans="2:11" ht="13.2">
      <c r="B164" s="64"/>
      <c r="K164" s="43"/>
    </row>
    <row r="165" spans="2:11" ht="13.2">
      <c r="B165" s="64"/>
      <c r="K165" s="43"/>
    </row>
    <row r="166" spans="2:11" ht="13.2">
      <c r="B166" s="64"/>
      <c r="K166" s="43"/>
    </row>
    <row r="167" spans="2:11" ht="13.2">
      <c r="B167" s="64"/>
      <c r="K167" s="43"/>
    </row>
    <row r="168" spans="2:11" ht="13.2">
      <c r="B168" s="64"/>
      <c r="K168" s="43"/>
    </row>
    <row r="169" spans="2:11" ht="13.2">
      <c r="B169" s="64"/>
      <c r="K169" s="43"/>
    </row>
    <row r="170" spans="2:11" ht="13.2">
      <c r="B170" s="64"/>
      <c r="K170" s="43"/>
    </row>
    <row r="171" spans="2:11" ht="13.2">
      <c r="B171" s="64"/>
      <c r="K171" s="43"/>
    </row>
    <row r="172" spans="2:11" ht="13.2">
      <c r="B172" s="64"/>
      <c r="K172" s="43"/>
    </row>
    <row r="173" spans="2:11" ht="13.2">
      <c r="B173" s="64"/>
      <c r="K173" s="43"/>
    </row>
    <row r="174" spans="2:11" ht="13.2">
      <c r="B174" s="64"/>
      <c r="K174" s="43"/>
    </row>
    <row r="175" spans="2:11" ht="13.2">
      <c r="B175" s="64"/>
      <c r="K175" s="43"/>
    </row>
    <row r="176" spans="2:11" ht="13.2">
      <c r="B176" s="64"/>
      <c r="K176" s="43"/>
    </row>
    <row r="177" spans="2:11" ht="13.2">
      <c r="B177" s="64"/>
      <c r="K177" s="43"/>
    </row>
    <row r="178" spans="2:11" ht="13.2">
      <c r="B178" s="64"/>
      <c r="K178" s="43"/>
    </row>
    <row r="179" spans="2:11" ht="13.2">
      <c r="B179" s="64"/>
      <c r="K179" s="43"/>
    </row>
    <row r="180" spans="2:11" ht="13.2">
      <c r="B180" s="64"/>
      <c r="K180" s="43"/>
    </row>
    <row r="181" spans="2:11" ht="13.2">
      <c r="B181" s="64"/>
      <c r="K181" s="43"/>
    </row>
    <row r="182" spans="2:11" ht="13.2">
      <c r="B182" s="64"/>
      <c r="K182" s="43"/>
    </row>
    <row r="183" spans="2:11" ht="13.2">
      <c r="B183" s="64"/>
      <c r="K183" s="43"/>
    </row>
    <row r="184" spans="2:11" ht="13.2">
      <c r="B184" s="64"/>
      <c r="K184" s="43"/>
    </row>
    <row r="185" spans="2:11" ht="13.2">
      <c r="B185" s="64"/>
      <c r="K185" s="43"/>
    </row>
    <row r="186" spans="2:11" ht="13.2">
      <c r="B186" s="64"/>
      <c r="K186" s="43"/>
    </row>
    <row r="187" spans="2:11" ht="13.2">
      <c r="B187" s="64"/>
      <c r="K187" s="43"/>
    </row>
    <row r="188" spans="2:11" ht="13.2">
      <c r="B188" s="64"/>
      <c r="K188" s="43"/>
    </row>
    <row r="189" spans="2:11" ht="13.2">
      <c r="B189" s="64"/>
      <c r="K189" s="43"/>
    </row>
    <row r="190" spans="2:11" ht="13.2">
      <c r="B190" s="64"/>
      <c r="K190" s="43"/>
    </row>
    <row r="191" spans="2:11" ht="13.2">
      <c r="B191" s="64"/>
      <c r="K191" s="43"/>
    </row>
    <row r="192" spans="2:11" ht="13.2">
      <c r="B192" s="64"/>
      <c r="K192" s="43"/>
    </row>
    <row r="193" spans="2:11" ht="13.2">
      <c r="B193" s="64"/>
      <c r="K193" s="43"/>
    </row>
    <row r="194" spans="2:11" ht="13.2">
      <c r="B194" s="64"/>
      <c r="K194" s="43"/>
    </row>
    <row r="195" spans="2:11" ht="13.2">
      <c r="B195" s="64"/>
      <c r="K195" s="43"/>
    </row>
    <row r="196" spans="2:11" ht="13.2">
      <c r="B196" s="64"/>
      <c r="K196" s="43"/>
    </row>
    <row r="197" spans="2:11" ht="13.2">
      <c r="B197" s="64"/>
      <c r="K197" s="43"/>
    </row>
    <row r="198" spans="2:11" ht="13.2">
      <c r="B198" s="64"/>
      <c r="K198" s="43"/>
    </row>
    <row r="199" spans="2:11" ht="13.2">
      <c r="B199" s="64"/>
      <c r="K199" s="43"/>
    </row>
    <row r="200" spans="2:11" ht="13.2">
      <c r="B200" s="64"/>
      <c r="K200" s="43"/>
    </row>
    <row r="201" spans="2:11" ht="13.2">
      <c r="B201" s="64"/>
      <c r="K201" s="43"/>
    </row>
    <row r="202" spans="2:11" ht="13.2">
      <c r="B202" s="64"/>
      <c r="K202" s="43"/>
    </row>
    <row r="203" spans="2:11" ht="13.2">
      <c r="B203" s="64"/>
      <c r="K203" s="43"/>
    </row>
    <row r="204" spans="2:11" ht="13.2">
      <c r="B204" s="64"/>
      <c r="K204" s="43"/>
    </row>
    <row r="205" spans="2:11" ht="13.2">
      <c r="B205" s="64"/>
      <c r="K205" s="43"/>
    </row>
    <row r="206" spans="2:11" ht="13.2">
      <c r="B206" s="64"/>
      <c r="K206" s="43"/>
    </row>
    <row r="207" spans="2:11" ht="13.2">
      <c r="B207" s="64"/>
      <c r="K207" s="43"/>
    </row>
    <row r="208" spans="2:11" ht="13.2">
      <c r="B208" s="64"/>
      <c r="K208" s="43"/>
    </row>
    <row r="209" spans="2:11" ht="13.2">
      <c r="B209" s="64"/>
      <c r="K209" s="43"/>
    </row>
    <row r="210" spans="2:11" ht="13.2">
      <c r="B210" s="64"/>
      <c r="K210" s="43"/>
    </row>
    <row r="211" spans="2:11" ht="13.2">
      <c r="B211" s="64"/>
      <c r="K211" s="43"/>
    </row>
    <row r="212" spans="2:11" ht="13.2">
      <c r="B212" s="64"/>
      <c r="K212" s="43"/>
    </row>
    <row r="213" spans="2:11" ht="13.2">
      <c r="B213" s="64"/>
      <c r="K213" s="43"/>
    </row>
    <row r="214" spans="2:11" ht="13.2">
      <c r="B214" s="64"/>
      <c r="K214" s="43"/>
    </row>
    <row r="215" spans="2:11" ht="13.2">
      <c r="B215" s="64"/>
      <c r="K215" s="43"/>
    </row>
    <row r="216" spans="2:11" ht="13.2">
      <c r="B216" s="64"/>
      <c r="K216" s="43"/>
    </row>
    <row r="217" spans="2:11" ht="13.2">
      <c r="B217" s="64"/>
      <c r="K217" s="43"/>
    </row>
    <row r="218" spans="2:11" ht="13.2">
      <c r="B218" s="64"/>
      <c r="K218" s="43"/>
    </row>
    <row r="219" spans="2:11" ht="13.2">
      <c r="B219" s="64"/>
      <c r="K219" s="43"/>
    </row>
    <row r="220" spans="2:11" ht="13.2">
      <c r="B220" s="64"/>
      <c r="K220" s="43"/>
    </row>
    <row r="221" spans="2:11" ht="13.2">
      <c r="B221" s="64"/>
      <c r="K221" s="43"/>
    </row>
    <row r="222" spans="2:11" ht="13.2">
      <c r="B222" s="64"/>
      <c r="K222" s="43"/>
    </row>
    <row r="223" spans="2:11" ht="13.2">
      <c r="B223" s="64"/>
      <c r="K223" s="43"/>
    </row>
    <row r="224" spans="2:11" ht="13.2">
      <c r="B224" s="64"/>
      <c r="K224" s="43"/>
    </row>
    <row r="225" spans="2:11" ht="13.2">
      <c r="B225" s="64"/>
      <c r="K225" s="43"/>
    </row>
    <row r="226" spans="2:11" ht="13.2">
      <c r="B226" s="64"/>
      <c r="K226" s="43"/>
    </row>
    <row r="227" spans="2:11" ht="13.2">
      <c r="B227" s="64"/>
      <c r="K227" s="43"/>
    </row>
    <row r="228" spans="2:11" ht="13.2">
      <c r="B228" s="64"/>
      <c r="K228" s="43"/>
    </row>
    <row r="229" spans="2:11" ht="13.2">
      <c r="B229" s="64"/>
      <c r="K229" s="43"/>
    </row>
    <row r="230" spans="2:11" ht="13.2">
      <c r="B230" s="64"/>
      <c r="K230" s="43"/>
    </row>
    <row r="231" spans="2:11" ht="13.2">
      <c r="B231" s="64"/>
      <c r="K231" s="43"/>
    </row>
    <row r="232" spans="2:11" ht="13.2">
      <c r="B232" s="64"/>
      <c r="K232" s="43"/>
    </row>
    <row r="233" spans="2:11" ht="13.2">
      <c r="B233" s="64"/>
      <c r="K233" s="43"/>
    </row>
    <row r="234" spans="2:11" ht="13.2">
      <c r="B234" s="64"/>
      <c r="K234" s="43"/>
    </row>
    <row r="235" spans="2:11" ht="13.2">
      <c r="B235" s="64"/>
      <c r="K235" s="43"/>
    </row>
    <row r="236" spans="2:11" ht="13.2">
      <c r="B236" s="64"/>
      <c r="K236" s="43"/>
    </row>
    <row r="237" spans="2:11" ht="13.2">
      <c r="B237" s="64"/>
      <c r="K237" s="43"/>
    </row>
    <row r="238" spans="2:11" ht="13.2">
      <c r="B238" s="64"/>
      <c r="K238" s="43"/>
    </row>
    <row r="239" spans="2:11" ht="13.2">
      <c r="B239" s="64"/>
      <c r="K239" s="43"/>
    </row>
    <row r="240" spans="2:11" ht="13.2">
      <c r="B240" s="64"/>
      <c r="K240" s="43"/>
    </row>
    <row r="241" spans="2:11" ht="13.2">
      <c r="B241" s="64"/>
      <c r="K241" s="43"/>
    </row>
    <row r="242" spans="2:11" ht="13.2">
      <c r="B242" s="64"/>
      <c r="K242" s="43"/>
    </row>
    <row r="243" spans="2:11" ht="13.2">
      <c r="B243" s="64"/>
      <c r="K243" s="43"/>
    </row>
    <row r="244" spans="2:11" ht="13.2">
      <c r="B244" s="64"/>
      <c r="K244" s="43"/>
    </row>
    <row r="245" spans="2:11" ht="13.2">
      <c r="B245" s="64"/>
      <c r="K245" s="43"/>
    </row>
    <row r="246" spans="2:11" ht="13.2">
      <c r="B246" s="64"/>
      <c r="K246" s="43"/>
    </row>
    <row r="247" spans="2:11" ht="13.2">
      <c r="B247" s="64"/>
      <c r="K247" s="43"/>
    </row>
    <row r="248" spans="2:11" ht="13.2">
      <c r="B248" s="64"/>
      <c r="K248" s="43"/>
    </row>
    <row r="249" spans="2:11" ht="13.2">
      <c r="B249" s="64"/>
      <c r="K249" s="43"/>
    </row>
    <row r="250" spans="2:11" ht="13.2">
      <c r="B250" s="64"/>
      <c r="K250" s="43"/>
    </row>
    <row r="251" spans="2:11" ht="13.2">
      <c r="B251" s="64"/>
      <c r="K251" s="43"/>
    </row>
    <row r="252" spans="2:11" ht="13.2">
      <c r="B252" s="64"/>
      <c r="K252" s="43"/>
    </row>
    <row r="253" spans="2:11" ht="13.2">
      <c r="B253" s="64"/>
      <c r="K253" s="43"/>
    </row>
    <row r="254" spans="2:11" ht="13.2">
      <c r="B254" s="64"/>
      <c r="K254" s="43"/>
    </row>
    <row r="255" spans="2:11" ht="13.2">
      <c r="B255" s="64"/>
      <c r="K255" s="43"/>
    </row>
    <row r="256" spans="2:11" ht="13.2">
      <c r="B256" s="64"/>
      <c r="K256" s="43"/>
    </row>
    <row r="257" spans="2:11" ht="13.2">
      <c r="B257" s="64"/>
      <c r="K257" s="43"/>
    </row>
    <row r="258" spans="2:11" ht="13.2">
      <c r="B258" s="64"/>
      <c r="K258" s="43"/>
    </row>
    <row r="259" spans="2:11" ht="13.2">
      <c r="B259" s="64"/>
      <c r="K259" s="43"/>
    </row>
    <row r="260" spans="2:11" ht="13.2">
      <c r="B260" s="64"/>
      <c r="K260" s="43"/>
    </row>
    <row r="261" spans="2:11" ht="13.2">
      <c r="B261" s="64"/>
      <c r="K261" s="43"/>
    </row>
    <row r="262" spans="2:11" ht="13.2">
      <c r="B262" s="64"/>
      <c r="K262" s="43"/>
    </row>
    <row r="263" spans="2:11" ht="13.2">
      <c r="B263" s="64"/>
      <c r="K263" s="43"/>
    </row>
    <row r="264" spans="2:11" ht="13.2">
      <c r="B264" s="64"/>
      <c r="K264" s="43"/>
    </row>
    <row r="265" spans="2:11" ht="13.2">
      <c r="B265" s="64"/>
      <c r="K265" s="43"/>
    </row>
    <row r="266" spans="2:11" ht="13.2">
      <c r="B266" s="64"/>
      <c r="K266" s="43"/>
    </row>
    <row r="267" spans="2:11" ht="13.2">
      <c r="B267" s="64"/>
      <c r="K267" s="43"/>
    </row>
    <row r="268" spans="2:11" ht="13.2">
      <c r="B268" s="64"/>
      <c r="K268" s="43"/>
    </row>
    <row r="269" spans="2:11" ht="13.2">
      <c r="B269" s="64"/>
      <c r="K269" s="43"/>
    </row>
    <row r="270" spans="2:11" ht="13.2">
      <c r="B270" s="64"/>
      <c r="K270" s="43"/>
    </row>
    <row r="271" spans="2:11" ht="13.2">
      <c r="B271" s="64"/>
      <c r="K271" s="43"/>
    </row>
    <row r="272" spans="2:11" ht="13.2">
      <c r="B272" s="64"/>
      <c r="K272" s="43"/>
    </row>
    <row r="273" spans="2:11" ht="13.2">
      <c r="B273" s="64"/>
      <c r="K273" s="43"/>
    </row>
    <row r="274" spans="2:11" ht="13.2">
      <c r="B274" s="64"/>
      <c r="K274" s="43"/>
    </row>
    <row r="275" spans="2:11" ht="13.2">
      <c r="B275" s="64"/>
      <c r="K275" s="43"/>
    </row>
    <row r="276" spans="2:11" ht="13.2">
      <c r="B276" s="64"/>
      <c r="K276" s="43"/>
    </row>
    <row r="277" spans="2:11" ht="13.2">
      <c r="B277" s="64"/>
      <c r="K277" s="43"/>
    </row>
    <row r="278" spans="2:11" ht="13.2">
      <c r="B278" s="64"/>
      <c r="K278" s="43"/>
    </row>
    <row r="279" spans="2:11" ht="13.2">
      <c r="B279" s="64"/>
      <c r="K279" s="43"/>
    </row>
    <row r="280" spans="2:11" ht="13.2">
      <c r="B280" s="64"/>
      <c r="K280" s="43"/>
    </row>
    <row r="281" spans="2:11" ht="13.2">
      <c r="B281" s="64"/>
      <c r="K281" s="43"/>
    </row>
    <row r="282" spans="2:11" ht="13.2">
      <c r="B282" s="64"/>
      <c r="K282" s="43"/>
    </row>
    <row r="283" spans="2:11" ht="13.2">
      <c r="B283" s="64"/>
      <c r="K283" s="43"/>
    </row>
    <row r="284" spans="2:11" ht="13.2">
      <c r="B284" s="64"/>
      <c r="K284" s="43"/>
    </row>
    <row r="285" spans="2:11" ht="13.2">
      <c r="B285" s="64"/>
      <c r="K285" s="43"/>
    </row>
    <row r="286" spans="2:11" ht="13.2">
      <c r="B286" s="64"/>
      <c r="K286" s="43"/>
    </row>
    <row r="287" spans="2:11" ht="13.2">
      <c r="B287" s="64"/>
      <c r="K287" s="43"/>
    </row>
    <row r="288" spans="2:11" ht="13.2">
      <c r="B288" s="64"/>
      <c r="K288" s="43"/>
    </row>
    <row r="289" spans="2:11" ht="13.2">
      <c r="B289" s="64"/>
      <c r="K289" s="43"/>
    </row>
    <row r="290" spans="2:11" ht="13.2">
      <c r="B290" s="64"/>
      <c r="K290" s="43"/>
    </row>
    <row r="291" spans="2:11" ht="13.2">
      <c r="B291" s="64"/>
      <c r="K291" s="43"/>
    </row>
    <row r="292" spans="2:11" ht="13.2">
      <c r="B292" s="64"/>
      <c r="K292" s="43"/>
    </row>
    <row r="293" spans="2:11" ht="13.2">
      <c r="B293" s="64"/>
      <c r="K293" s="43"/>
    </row>
    <row r="294" spans="2:11" ht="13.2">
      <c r="B294" s="64"/>
      <c r="K294" s="43"/>
    </row>
    <row r="295" spans="2:11" ht="13.2">
      <c r="B295" s="64"/>
      <c r="K295" s="43"/>
    </row>
    <row r="296" spans="2:11" ht="13.2">
      <c r="B296" s="64"/>
      <c r="K296" s="43"/>
    </row>
    <row r="297" spans="2:11" ht="13.2">
      <c r="B297" s="64"/>
      <c r="K297" s="43"/>
    </row>
    <row r="298" spans="2:11" ht="13.2">
      <c r="B298" s="64"/>
      <c r="K298" s="43"/>
    </row>
    <row r="299" spans="2:11" ht="13.2">
      <c r="B299" s="64"/>
      <c r="K299" s="43"/>
    </row>
    <row r="300" spans="2:11" ht="13.2">
      <c r="B300" s="64"/>
      <c r="K300" s="43"/>
    </row>
    <row r="301" spans="2:11" ht="13.2">
      <c r="B301" s="64"/>
      <c r="K301" s="43"/>
    </row>
    <row r="302" spans="2:11" ht="13.2">
      <c r="B302" s="64"/>
      <c r="K302" s="43"/>
    </row>
    <row r="303" spans="2:11" ht="13.2">
      <c r="B303" s="64"/>
      <c r="K303" s="43"/>
    </row>
    <row r="304" spans="2:11" ht="13.2">
      <c r="B304" s="64"/>
      <c r="K304" s="43"/>
    </row>
    <row r="305" spans="2:11" ht="13.2">
      <c r="B305" s="64"/>
      <c r="K305" s="43"/>
    </row>
    <row r="306" spans="2:11" ht="13.2">
      <c r="B306" s="64"/>
      <c r="K306" s="43"/>
    </row>
    <row r="307" spans="2:11" ht="13.2">
      <c r="B307" s="64"/>
      <c r="K307" s="43"/>
    </row>
    <row r="308" spans="2:11" ht="13.2">
      <c r="B308" s="64"/>
      <c r="K308" s="43"/>
    </row>
    <row r="309" spans="2:11" ht="13.2">
      <c r="B309" s="64"/>
      <c r="K309" s="43"/>
    </row>
    <row r="310" spans="2:11" ht="13.2">
      <c r="B310" s="64"/>
      <c r="K310" s="43"/>
    </row>
    <row r="311" spans="2:11" ht="13.2">
      <c r="B311" s="64"/>
      <c r="K311" s="43"/>
    </row>
    <row r="312" spans="2:11" ht="13.2">
      <c r="B312" s="64"/>
      <c r="K312" s="43"/>
    </row>
    <row r="313" spans="2:11" ht="13.2">
      <c r="B313" s="64"/>
      <c r="K313" s="43"/>
    </row>
    <row r="314" spans="2:11" ht="13.2">
      <c r="B314" s="64"/>
      <c r="K314" s="43"/>
    </row>
    <row r="315" spans="2:11" ht="13.2">
      <c r="B315" s="64"/>
      <c r="K315" s="43"/>
    </row>
    <row r="316" spans="2:11" ht="13.2">
      <c r="B316" s="64"/>
      <c r="K316" s="43"/>
    </row>
    <row r="317" spans="2:11" ht="13.2">
      <c r="B317" s="64"/>
      <c r="K317" s="43"/>
    </row>
    <row r="318" spans="2:11" ht="13.2">
      <c r="B318" s="64"/>
      <c r="K318" s="43"/>
    </row>
    <row r="319" spans="2:11" ht="13.2">
      <c r="B319" s="64"/>
      <c r="K319" s="43"/>
    </row>
    <row r="320" spans="2:11" ht="13.2">
      <c r="B320" s="64"/>
      <c r="K320" s="43"/>
    </row>
    <row r="321" spans="2:11" ht="13.2">
      <c r="B321" s="64"/>
      <c r="K321" s="43"/>
    </row>
    <row r="322" spans="2:11" ht="13.2">
      <c r="B322" s="64"/>
      <c r="K322" s="43"/>
    </row>
    <row r="323" spans="2:11" ht="13.2">
      <c r="B323" s="64"/>
      <c r="K323" s="43"/>
    </row>
    <row r="324" spans="2:11" ht="13.2">
      <c r="B324" s="64"/>
      <c r="K324" s="43"/>
    </row>
    <row r="325" spans="2:11" ht="13.2">
      <c r="B325" s="64"/>
      <c r="K325" s="43"/>
    </row>
    <row r="326" spans="2:11" ht="13.2">
      <c r="B326" s="64"/>
      <c r="K326" s="43"/>
    </row>
    <row r="327" spans="2:11" ht="13.2">
      <c r="B327" s="64"/>
      <c r="K327" s="43"/>
    </row>
    <row r="328" spans="2:11" ht="13.2">
      <c r="B328" s="64"/>
      <c r="K328" s="43"/>
    </row>
    <row r="329" spans="2:11" ht="13.2">
      <c r="B329" s="64"/>
      <c r="K329" s="43"/>
    </row>
    <row r="330" spans="2:11" ht="13.2">
      <c r="B330" s="64"/>
      <c r="K330" s="43"/>
    </row>
    <row r="331" spans="2:11" ht="13.2">
      <c r="B331" s="64"/>
      <c r="K331" s="43"/>
    </row>
    <row r="332" spans="2:11" ht="13.2">
      <c r="B332" s="64"/>
      <c r="K332" s="43"/>
    </row>
    <row r="333" spans="2:11" ht="13.2">
      <c r="B333" s="64"/>
      <c r="K333" s="43"/>
    </row>
    <row r="334" spans="2:11" ht="13.2">
      <c r="B334" s="64"/>
      <c r="K334" s="43"/>
    </row>
    <row r="335" spans="2:11" ht="13.2">
      <c r="B335" s="64"/>
      <c r="K335" s="43"/>
    </row>
    <row r="336" spans="2:11" ht="13.2">
      <c r="B336" s="64"/>
      <c r="K336" s="43"/>
    </row>
    <row r="337" spans="2:11" ht="13.2">
      <c r="B337" s="64"/>
      <c r="K337" s="43"/>
    </row>
    <row r="338" spans="2:11" ht="13.2">
      <c r="B338" s="64"/>
      <c r="K338" s="43"/>
    </row>
    <row r="339" spans="2:11" ht="13.2">
      <c r="B339" s="64"/>
      <c r="K339" s="43"/>
    </row>
    <row r="340" spans="2:11" ht="13.2">
      <c r="B340" s="64"/>
      <c r="K340" s="43"/>
    </row>
    <row r="341" spans="2:11" ht="13.2">
      <c r="B341" s="64"/>
      <c r="K341" s="43"/>
    </row>
    <row r="342" spans="2:11" ht="13.2">
      <c r="B342" s="64"/>
      <c r="K342" s="43"/>
    </row>
    <row r="343" spans="2:11" ht="13.2">
      <c r="B343" s="64"/>
      <c r="K343" s="43"/>
    </row>
    <row r="344" spans="2:11" ht="13.2">
      <c r="B344" s="64"/>
      <c r="K344" s="43"/>
    </row>
    <row r="345" spans="2:11" ht="13.2">
      <c r="B345" s="64"/>
      <c r="K345" s="43"/>
    </row>
    <row r="346" spans="2:11" ht="13.2">
      <c r="B346" s="64"/>
      <c r="K346" s="43"/>
    </row>
    <row r="347" spans="2:11" ht="13.2">
      <c r="B347" s="64"/>
      <c r="K347" s="43"/>
    </row>
    <row r="348" spans="2:11" ht="13.2">
      <c r="B348" s="64"/>
      <c r="K348" s="43"/>
    </row>
    <row r="349" spans="2:11" ht="13.2">
      <c r="B349" s="64"/>
      <c r="K349" s="43"/>
    </row>
    <row r="350" spans="2:11" ht="13.2">
      <c r="B350" s="64"/>
      <c r="K350" s="43"/>
    </row>
    <row r="351" spans="2:11" ht="13.2">
      <c r="B351" s="64"/>
      <c r="K351" s="43"/>
    </row>
    <row r="352" spans="2:11" ht="13.2">
      <c r="B352" s="64"/>
      <c r="K352" s="43"/>
    </row>
    <row r="353" spans="2:11" ht="13.2">
      <c r="B353" s="64"/>
      <c r="K353" s="43"/>
    </row>
    <row r="354" spans="2:11" ht="13.2">
      <c r="B354" s="64"/>
      <c r="K354" s="43"/>
    </row>
    <row r="355" spans="2:11" ht="13.2">
      <c r="B355" s="64"/>
      <c r="K355" s="43"/>
    </row>
    <row r="356" spans="2:11" ht="13.2">
      <c r="B356" s="64"/>
      <c r="K356" s="43"/>
    </row>
    <row r="357" spans="2:11" ht="13.2">
      <c r="B357" s="64"/>
      <c r="K357" s="43"/>
    </row>
    <row r="358" spans="2:11" ht="13.2">
      <c r="B358" s="64"/>
      <c r="K358" s="43"/>
    </row>
    <row r="359" spans="2:11" ht="13.2">
      <c r="B359" s="64"/>
      <c r="K359" s="43"/>
    </row>
    <row r="360" spans="2:11" ht="13.2">
      <c r="B360" s="64"/>
      <c r="K360" s="43"/>
    </row>
    <row r="361" spans="2:11" ht="13.2">
      <c r="B361" s="64"/>
      <c r="K361" s="43"/>
    </row>
    <row r="362" spans="2:11" ht="13.2">
      <c r="B362" s="64"/>
      <c r="K362" s="43"/>
    </row>
    <row r="363" spans="2:11" ht="13.2">
      <c r="B363" s="64"/>
      <c r="K363" s="43"/>
    </row>
    <row r="364" spans="2:11" ht="13.2">
      <c r="B364" s="64"/>
      <c r="K364" s="43"/>
    </row>
    <row r="365" spans="2:11" ht="13.2">
      <c r="B365" s="64"/>
      <c r="K365" s="43"/>
    </row>
    <row r="366" spans="2:11" ht="13.2">
      <c r="B366" s="64"/>
      <c r="K366" s="43"/>
    </row>
    <row r="367" spans="2:11" ht="13.2">
      <c r="B367" s="64"/>
      <c r="K367" s="43"/>
    </row>
    <row r="368" spans="2:11" ht="13.2">
      <c r="B368" s="64"/>
      <c r="K368" s="43"/>
    </row>
    <row r="369" spans="2:11" ht="13.2">
      <c r="B369" s="64"/>
      <c r="K369" s="43"/>
    </row>
    <row r="370" spans="2:11" ht="13.2">
      <c r="B370" s="64"/>
      <c r="K370" s="43"/>
    </row>
    <row r="371" spans="2:11" ht="13.2">
      <c r="B371" s="64"/>
      <c r="K371" s="43"/>
    </row>
    <row r="372" spans="2:11" ht="13.2">
      <c r="B372" s="64"/>
      <c r="K372" s="43"/>
    </row>
    <row r="373" spans="2:11" ht="13.2">
      <c r="B373" s="64"/>
      <c r="K373" s="43"/>
    </row>
    <row r="374" spans="2:11" ht="13.2">
      <c r="B374" s="64"/>
      <c r="K374" s="43"/>
    </row>
    <row r="375" spans="2:11" ht="13.2">
      <c r="B375" s="64"/>
      <c r="K375" s="43"/>
    </row>
    <row r="376" spans="2:11" ht="13.2">
      <c r="B376" s="64"/>
      <c r="K376" s="43"/>
    </row>
    <row r="377" spans="2:11" ht="13.2">
      <c r="B377" s="64"/>
      <c r="K377" s="43"/>
    </row>
    <row r="378" spans="2:11" ht="13.2">
      <c r="B378" s="64"/>
      <c r="K378" s="43"/>
    </row>
    <row r="379" spans="2:11" ht="13.2">
      <c r="B379" s="64"/>
      <c r="K379" s="43"/>
    </row>
    <row r="380" spans="2:11" ht="13.2">
      <c r="B380" s="64"/>
      <c r="K380" s="43"/>
    </row>
    <row r="381" spans="2:11" ht="13.2">
      <c r="B381" s="64"/>
      <c r="K381" s="43"/>
    </row>
    <row r="382" spans="2:11" ht="13.2">
      <c r="B382" s="64"/>
      <c r="K382" s="43"/>
    </row>
    <row r="383" spans="2:11" ht="13.2">
      <c r="B383" s="64"/>
      <c r="K383" s="43"/>
    </row>
    <row r="384" spans="2:11" ht="13.2">
      <c r="B384" s="64"/>
      <c r="K384" s="43"/>
    </row>
    <row r="385" spans="2:11" ht="13.2">
      <c r="B385" s="64"/>
      <c r="K385" s="43"/>
    </row>
    <row r="386" spans="2:11" ht="13.2">
      <c r="B386" s="64"/>
      <c r="K386" s="43"/>
    </row>
    <row r="387" spans="2:11" ht="13.2">
      <c r="B387" s="64"/>
      <c r="K387" s="43"/>
    </row>
    <row r="388" spans="2:11" ht="13.2">
      <c r="B388" s="64"/>
      <c r="K388" s="43"/>
    </row>
    <row r="389" spans="2:11" ht="13.2">
      <c r="B389" s="64"/>
      <c r="K389" s="43"/>
    </row>
    <row r="390" spans="2:11" ht="13.2">
      <c r="B390" s="64"/>
      <c r="K390" s="43"/>
    </row>
    <row r="391" spans="2:11" ht="13.2">
      <c r="B391" s="64"/>
      <c r="K391" s="43"/>
    </row>
    <row r="392" spans="2:11" ht="13.2">
      <c r="B392" s="64"/>
      <c r="K392" s="43"/>
    </row>
    <row r="393" spans="2:11" ht="13.2">
      <c r="B393" s="64"/>
      <c r="K393" s="43"/>
    </row>
    <row r="394" spans="2:11" ht="13.2">
      <c r="B394" s="64"/>
      <c r="K394" s="43"/>
    </row>
    <row r="395" spans="2:11" ht="13.2">
      <c r="B395" s="64"/>
      <c r="K395" s="43"/>
    </row>
    <row r="396" spans="2:11" ht="13.2">
      <c r="B396" s="64"/>
      <c r="K396" s="43"/>
    </row>
    <row r="397" spans="2:11" ht="13.2">
      <c r="B397" s="64"/>
      <c r="K397" s="43"/>
    </row>
    <row r="398" spans="2:11" ht="13.2">
      <c r="B398" s="64"/>
      <c r="K398" s="43"/>
    </row>
    <row r="399" spans="2:11" ht="13.2">
      <c r="B399" s="64"/>
      <c r="K399" s="43"/>
    </row>
    <row r="400" spans="2:11" ht="13.2">
      <c r="B400" s="64"/>
      <c r="K400" s="43"/>
    </row>
    <row r="401" spans="2:11" ht="13.2">
      <c r="B401" s="64"/>
      <c r="K401" s="43"/>
    </row>
    <row r="402" spans="2:11" ht="13.2">
      <c r="B402" s="64"/>
      <c r="K402" s="43"/>
    </row>
    <row r="403" spans="2:11" ht="13.2">
      <c r="B403" s="64"/>
      <c r="K403" s="43"/>
    </row>
    <row r="404" spans="2:11" ht="13.2">
      <c r="B404" s="64"/>
      <c r="K404" s="43"/>
    </row>
    <row r="405" spans="2:11" ht="13.2">
      <c r="B405" s="64"/>
      <c r="K405" s="43"/>
    </row>
    <row r="406" spans="2:11" ht="13.2">
      <c r="B406" s="64"/>
      <c r="K406" s="43"/>
    </row>
    <row r="407" spans="2:11" ht="13.2">
      <c r="B407" s="64"/>
      <c r="K407" s="43"/>
    </row>
    <row r="408" spans="2:11" ht="13.2">
      <c r="B408" s="64"/>
      <c r="K408" s="43"/>
    </row>
    <row r="409" spans="2:11" ht="13.2">
      <c r="B409" s="64"/>
      <c r="K409" s="43"/>
    </row>
    <row r="410" spans="2:11" ht="13.2">
      <c r="B410" s="64"/>
      <c r="K410" s="43"/>
    </row>
    <row r="411" spans="2:11" ht="13.2">
      <c r="B411" s="64"/>
      <c r="K411" s="43"/>
    </row>
    <row r="412" spans="2:11" ht="13.2">
      <c r="B412" s="64"/>
      <c r="K412" s="43"/>
    </row>
    <row r="413" spans="2:11" ht="13.2">
      <c r="B413" s="64"/>
      <c r="K413" s="43"/>
    </row>
    <row r="414" spans="2:11" ht="13.2">
      <c r="B414" s="64"/>
      <c r="K414" s="43"/>
    </row>
    <row r="415" spans="2:11" ht="13.2">
      <c r="B415" s="64"/>
      <c r="K415" s="43"/>
    </row>
    <row r="416" spans="2:11" ht="13.2">
      <c r="B416" s="64"/>
      <c r="K416" s="43"/>
    </row>
    <row r="417" spans="2:11" ht="13.2">
      <c r="B417" s="64"/>
      <c r="K417" s="43"/>
    </row>
    <row r="418" spans="2:11" ht="13.2">
      <c r="B418" s="64"/>
      <c r="K418" s="43"/>
    </row>
    <row r="419" spans="2:11" ht="13.2">
      <c r="B419" s="64"/>
      <c r="K419" s="43"/>
    </row>
    <row r="420" spans="2:11" ht="13.2">
      <c r="B420" s="64"/>
      <c r="K420" s="43"/>
    </row>
    <row r="421" spans="2:11" ht="13.2">
      <c r="B421" s="64"/>
      <c r="K421" s="43"/>
    </row>
    <row r="422" spans="2:11" ht="13.2">
      <c r="B422" s="64"/>
      <c r="K422" s="43"/>
    </row>
    <row r="423" spans="2:11" ht="13.2">
      <c r="B423" s="64"/>
      <c r="K423" s="43"/>
    </row>
    <row r="424" spans="2:11" ht="13.2">
      <c r="B424" s="64"/>
      <c r="K424" s="43"/>
    </row>
    <row r="425" spans="2:11" ht="13.2">
      <c r="B425" s="64"/>
      <c r="K425" s="43"/>
    </row>
    <row r="426" spans="2:11" ht="13.2">
      <c r="B426" s="64"/>
      <c r="K426" s="43"/>
    </row>
    <row r="427" spans="2:11" ht="13.2">
      <c r="B427" s="64"/>
      <c r="K427" s="43"/>
    </row>
    <row r="428" spans="2:11" ht="13.2">
      <c r="B428" s="64"/>
      <c r="K428" s="43"/>
    </row>
    <row r="429" spans="2:11" ht="13.2">
      <c r="B429" s="64"/>
      <c r="K429" s="43"/>
    </row>
    <row r="430" spans="2:11" ht="13.2">
      <c r="B430" s="64"/>
      <c r="K430" s="43"/>
    </row>
    <row r="431" spans="2:11" ht="13.2">
      <c r="B431" s="64"/>
      <c r="K431" s="43"/>
    </row>
    <row r="432" spans="2:11" ht="13.2">
      <c r="B432" s="64"/>
      <c r="K432" s="43"/>
    </row>
    <row r="433" spans="2:11" ht="13.2">
      <c r="B433" s="64"/>
      <c r="K433" s="43"/>
    </row>
    <row r="434" spans="2:11" ht="13.2">
      <c r="B434" s="64"/>
      <c r="K434" s="43"/>
    </row>
    <row r="435" spans="2:11" ht="13.2">
      <c r="B435" s="64"/>
      <c r="K435" s="43"/>
    </row>
    <row r="436" spans="2:11" ht="13.2">
      <c r="B436" s="64"/>
      <c r="K436" s="43"/>
    </row>
    <row r="437" spans="2:11" ht="13.2">
      <c r="B437" s="64"/>
      <c r="K437" s="43"/>
    </row>
    <row r="438" spans="2:11" ht="13.2">
      <c r="B438" s="64"/>
      <c r="K438" s="43"/>
    </row>
    <row r="439" spans="2:11" ht="13.2">
      <c r="B439" s="64"/>
      <c r="K439" s="43"/>
    </row>
    <row r="440" spans="2:11" ht="13.2">
      <c r="B440" s="64"/>
      <c r="K440" s="43"/>
    </row>
    <row r="441" spans="2:11" ht="13.2">
      <c r="B441" s="64"/>
      <c r="K441" s="43"/>
    </row>
    <row r="442" spans="2:11" ht="13.2">
      <c r="B442" s="64"/>
      <c r="K442" s="43"/>
    </row>
    <row r="443" spans="2:11" ht="13.2">
      <c r="B443" s="64"/>
      <c r="K443" s="43"/>
    </row>
    <row r="444" spans="2:11" ht="13.2">
      <c r="B444" s="64"/>
      <c r="K444" s="43"/>
    </row>
    <row r="445" spans="2:11" ht="13.2">
      <c r="B445" s="64"/>
      <c r="K445" s="43"/>
    </row>
    <row r="446" spans="2:11" ht="13.2">
      <c r="B446" s="64"/>
      <c r="K446" s="43"/>
    </row>
    <row r="447" spans="2:11" ht="13.2">
      <c r="B447" s="64"/>
      <c r="K447" s="43"/>
    </row>
    <row r="448" spans="2:11" ht="13.2">
      <c r="B448" s="64"/>
      <c r="K448" s="43"/>
    </row>
    <row r="449" spans="2:11" ht="13.2">
      <c r="B449" s="64"/>
      <c r="K449" s="43"/>
    </row>
    <row r="450" spans="2:11" ht="13.2">
      <c r="B450" s="64"/>
      <c r="K450" s="43"/>
    </row>
    <row r="451" spans="2:11" ht="13.2">
      <c r="B451" s="64"/>
      <c r="K451" s="43"/>
    </row>
    <row r="452" spans="2:11" ht="13.2">
      <c r="B452" s="64"/>
      <c r="K452" s="43"/>
    </row>
    <row r="453" spans="2:11" ht="13.2">
      <c r="B453" s="64"/>
      <c r="K453" s="43"/>
    </row>
    <row r="454" spans="2:11" ht="13.2">
      <c r="B454" s="64"/>
      <c r="K454" s="43"/>
    </row>
    <row r="455" spans="2:11" ht="13.2">
      <c r="B455" s="64"/>
      <c r="K455" s="43"/>
    </row>
    <row r="456" spans="2:11" ht="13.2">
      <c r="B456" s="64"/>
      <c r="K456" s="43"/>
    </row>
    <row r="457" spans="2:11" ht="13.2">
      <c r="B457" s="64"/>
      <c r="K457" s="43"/>
    </row>
    <row r="458" spans="2:11" ht="13.2">
      <c r="B458" s="64"/>
      <c r="K458" s="43"/>
    </row>
    <row r="459" spans="2:11" ht="13.2">
      <c r="B459" s="64"/>
      <c r="K459" s="43"/>
    </row>
    <row r="460" spans="2:11" ht="13.2">
      <c r="B460" s="64"/>
      <c r="K460" s="43"/>
    </row>
    <row r="461" spans="2:11" ht="13.2">
      <c r="B461" s="64"/>
      <c r="K461" s="43"/>
    </row>
    <row r="462" spans="2:11" ht="13.2">
      <c r="B462" s="64"/>
      <c r="K462" s="43"/>
    </row>
    <row r="463" spans="2:11" ht="13.2">
      <c r="B463" s="64"/>
      <c r="K463" s="43"/>
    </row>
    <row r="464" spans="2:11" ht="13.2">
      <c r="B464" s="64"/>
      <c r="K464" s="43"/>
    </row>
    <row r="465" spans="2:11" ht="13.2">
      <c r="B465" s="64"/>
      <c r="K465" s="43"/>
    </row>
    <row r="466" spans="2:11" ht="13.2">
      <c r="B466" s="64"/>
      <c r="K466" s="43"/>
    </row>
    <row r="467" spans="2:11" ht="13.2">
      <c r="B467" s="64"/>
      <c r="K467" s="43"/>
    </row>
    <row r="468" spans="2:11" ht="13.2">
      <c r="B468" s="64"/>
      <c r="K468" s="43"/>
    </row>
    <row r="469" spans="2:11" ht="13.2">
      <c r="B469" s="64"/>
      <c r="K469" s="43"/>
    </row>
    <row r="470" spans="2:11" ht="13.2">
      <c r="B470" s="64"/>
      <c r="K470" s="43"/>
    </row>
    <row r="471" spans="2:11" ht="13.2">
      <c r="B471" s="64"/>
      <c r="K471" s="43"/>
    </row>
    <row r="472" spans="2:11" ht="13.2">
      <c r="B472" s="64"/>
      <c r="K472" s="43"/>
    </row>
    <row r="473" spans="2:11" ht="13.2">
      <c r="B473" s="64"/>
      <c r="K473" s="43"/>
    </row>
    <row r="474" spans="2:11" ht="13.2">
      <c r="B474" s="64"/>
      <c r="K474" s="43"/>
    </row>
    <row r="475" spans="2:11" ht="13.2">
      <c r="B475" s="64"/>
      <c r="K475" s="43"/>
    </row>
    <row r="476" spans="2:11" ht="13.2">
      <c r="B476" s="64"/>
      <c r="K476" s="43"/>
    </row>
    <row r="477" spans="2:11" ht="13.2">
      <c r="B477" s="64"/>
      <c r="K477" s="43"/>
    </row>
    <row r="478" spans="2:11" ht="13.2">
      <c r="B478" s="64"/>
      <c r="K478" s="43"/>
    </row>
    <row r="479" spans="2:11" ht="13.2">
      <c r="B479" s="64"/>
      <c r="K479" s="43"/>
    </row>
    <row r="480" spans="2:11" ht="13.2">
      <c r="B480" s="64"/>
      <c r="K480" s="43"/>
    </row>
    <row r="481" spans="2:11" ht="13.2">
      <c r="B481" s="64"/>
      <c r="K481" s="43"/>
    </row>
    <row r="482" spans="2:11" ht="13.2">
      <c r="B482" s="64"/>
      <c r="K482" s="43"/>
    </row>
    <row r="483" spans="2:11" ht="13.2">
      <c r="B483" s="64"/>
      <c r="K483" s="43"/>
    </row>
    <row r="484" spans="2:11" ht="13.2">
      <c r="B484" s="64"/>
      <c r="K484" s="43"/>
    </row>
    <row r="485" spans="2:11" ht="13.2">
      <c r="B485" s="64"/>
      <c r="K485" s="43"/>
    </row>
    <row r="486" spans="2:11" ht="13.2">
      <c r="B486" s="64"/>
      <c r="K486" s="43"/>
    </row>
    <row r="487" spans="2:11" ht="13.2">
      <c r="B487" s="64"/>
      <c r="K487" s="43"/>
    </row>
    <row r="488" spans="2:11" ht="13.2">
      <c r="B488" s="64"/>
      <c r="K488" s="43"/>
    </row>
    <row r="489" spans="2:11" ht="13.2">
      <c r="B489" s="64"/>
      <c r="K489" s="43"/>
    </row>
    <row r="490" spans="2:11" ht="13.2">
      <c r="B490" s="64"/>
      <c r="K490" s="43"/>
    </row>
    <row r="491" spans="2:11" ht="13.2">
      <c r="B491" s="64"/>
      <c r="K491" s="43"/>
    </row>
    <row r="492" spans="2:11" ht="13.2">
      <c r="B492" s="64"/>
      <c r="K492" s="43"/>
    </row>
    <row r="493" spans="2:11" ht="13.2">
      <c r="B493" s="64"/>
      <c r="K493" s="43"/>
    </row>
    <row r="494" spans="2:11" ht="13.2">
      <c r="B494" s="64"/>
      <c r="K494" s="43"/>
    </row>
    <row r="495" spans="2:11" ht="13.2">
      <c r="B495" s="64"/>
      <c r="K495" s="43"/>
    </row>
    <row r="496" spans="2:11" ht="13.2">
      <c r="B496" s="64"/>
      <c r="K496" s="43"/>
    </row>
    <row r="497" spans="2:11" ht="13.2">
      <c r="B497" s="64"/>
      <c r="K497" s="43"/>
    </row>
    <row r="498" spans="2:11" ht="13.2">
      <c r="B498" s="64"/>
      <c r="K498" s="43"/>
    </row>
    <row r="499" spans="2:11" ht="13.2">
      <c r="B499" s="64"/>
      <c r="K499" s="43"/>
    </row>
    <row r="500" spans="2:11" ht="13.2">
      <c r="B500" s="64"/>
      <c r="K500" s="43"/>
    </row>
    <row r="501" spans="2:11" ht="13.2">
      <c r="B501" s="64"/>
      <c r="K501" s="43"/>
    </row>
    <row r="502" spans="2:11" ht="13.2">
      <c r="B502" s="64"/>
      <c r="K502" s="43"/>
    </row>
    <row r="503" spans="2:11" ht="13.2">
      <c r="B503" s="64"/>
      <c r="K503" s="43"/>
    </row>
    <row r="504" spans="2:11" ht="13.2">
      <c r="B504" s="64"/>
      <c r="K504" s="43"/>
    </row>
    <row r="505" spans="2:11" ht="13.2">
      <c r="B505" s="64"/>
      <c r="K505" s="43"/>
    </row>
    <row r="506" spans="2:11" ht="13.2">
      <c r="B506" s="64"/>
      <c r="K506" s="43"/>
    </row>
    <row r="507" spans="2:11" ht="13.2">
      <c r="B507" s="64"/>
      <c r="K507" s="43"/>
    </row>
    <row r="508" spans="2:11" ht="13.2">
      <c r="B508" s="64"/>
      <c r="K508" s="43"/>
    </row>
    <row r="509" spans="2:11" ht="13.2">
      <c r="B509" s="64"/>
      <c r="K509" s="43"/>
    </row>
    <row r="510" spans="2:11" ht="13.2">
      <c r="B510" s="64"/>
      <c r="K510" s="43"/>
    </row>
    <row r="511" spans="2:11" ht="13.2">
      <c r="B511" s="64"/>
      <c r="K511" s="43"/>
    </row>
    <row r="512" spans="2:11" ht="13.2">
      <c r="B512" s="64"/>
      <c r="K512" s="43"/>
    </row>
    <row r="513" spans="2:11" ht="13.2">
      <c r="B513" s="64"/>
      <c r="K513" s="43"/>
    </row>
    <row r="514" spans="2:11" ht="13.2">
      <c r="B514" s="64"/>
      <c r="K514" s="43"/>
    </row>
    <row r="515" spans="2:11" ht="13.2">
      <c r="B515" s="64"/>
      <c r="K515" s="43"/>
    </row>
    <row r="516" spans="2:11" ht="13.2">
      <c r="B516" s="64"/>
      <c r="K516" s="43"/>
    </row>
    <row r="517" spans="2:11" ht="13.2">
      <c r="B517" s="64"/>
      <c r="K517" s="43"/>
    </row>
    <row r="518" spans="2:11" ht="13.2">
      <c r="B518" s="64"/>
      <c r="K518" s="43"/>
    </row>
    <row r="519" spans="2:11" ht="13.2">
      <c r="B519" s="64"/>
      <c r="K519" s="43"/>
    </row>
    <row r="520" spans="2:11" ht="13.2">
      <c r="B520" s="64"/>
      <c r="K520" s="43"/>
    </row>
    <row r="521" spans="2:11" ht="13.2">
      <c r="B521" s="64"/>
      <c r="K521" s="43"/>
    </row>
    <row r="522" spans="2:11" ht="13.2">
      <c r="B522" s="64"/>
      <c r="K522" s="43"/>
    </row>
    <row r="523" spans="2:11" ht="13.2">
      <c r="B523" s="64"/>
      <c r="K523" s="43"/>
    </row>
    <row r="524" spans="2:11" ht="13.2">
      <c r="B524" s="64"/>
      <c r="K524" s="43"/>
    </row>
    <row r="525" spans="2:11" ht="13.2">
      <c r="B525" s="64"/>
      <c r="K525" s="43"/>
    </row>
    <row r="526" spans="2:11" ht="13.2">
      <c r="B526" s="64"/>
      <c r="K526" s="43"/>
    </row>
    <row r="527" spans="2:11" ht="13.2">
      <c r="B527" s="64"/>
      <c r="K527" s="43"/>
    </row>
    <row r="528" spans="2:11" ht="13.2">
      <c r="B528" s="64"/>
      <c r="K528" s="43"/>
    </row>
    <row r="529" spans="2:11" ht="13.2">
      <c r="B529" s="64"/>
      <c r="K529" s="43"/>
    </row>
    <row r="530" spans="2:11" ht="13.2">
      <c r="B530" s="64"/>
      <c r="K530" s="43"/>
    </row>
    <row r="531" spans="2:11" ht="13.2">
      <c r="B531" s="64"/>
      <c r="K531" s="43"/>
    </row>
    <row r="532" spans="2:11" ht="13.2">
      <c r="B532" s="64"/>
      <c r="K532" s="43"/>
    </row>
    <row r="533" spans="2:11" ht="13.2">
      <c r="B533" s="64"/>
      <c r="K533" s="43"/>
    </row>
    <row r="534" spans="2:11" ht="13.2">
      <c r="B534" s="64"/>
      <c r="K534" s="43"/>
    </row>
    <row r="535" spans="2:11" ht="13.2">
      <c r="B535" s="64"/>
      <c r="K535" s="43"/>
    </row>
    <row r="536" spans="2:11" ht="13.2">
      <c r="B536" s="64"/>
      <c r="K536" s="43"/>
    </row>
    <row r="537" spans="2:11" ht="13.2">
      <c r="B537" s="64"/>
      <c r="K537" s="43"/>
    </row>
    <row r="538" spans="2:11" ht="13.2">
      <c r="B538" s="64"/>
      <c r="K538" s="43"/>
    </row>
    <row r="539" spans="2:11" ht="13.2">
      <c r="B539" s="64"/>
      <c r="K539" s="43"/>
    </row>
    <row r="540" spans="2:11" ht="13.2">
      <c r="B540" s="64"/>
      <c r="K540" s="43"/>
    </row>
    <row r="541" spans="2:11" ht="13.2">
      <c r="B541" s="64"/>
      <c r="K541" s="43"/>
    </row>
    <row r="542" spans="2:11" ht="13.2">
      <c r="B542" s="64"/>
      <c r="K542" s="43"/>
    </row>
    <row r="543" spans="2:11" ht="13.2">
      <c r="B543" s="64"/>
      <c r="K543" s="43"/>
    </row>
    <row r="544" spans="2:11" ht="13.2">
      <c r="B544" s="64"/>
      <c r="K544" s="43"/>
    </row>
    <row r="545" spans="2:11" ht="13.2">
      <c r="B545" s="64"/>
      <c r="K545" s="43"/>
    </row>
    <row r="546" spans="2:11" ht="13.2">
      <c r="B546" s="64"/>
      <c r="K546" s="43"/>
    </row>
    <row r="547" spans="2:11" ht="13.2">
      <c r="B547" s="64"/>
      <c r="K547" s="43"/>
    </row>
    <row r="548" spans="2:11" ht="13.2">
      <c r="B548" s="64"/>
      <c r="K548" s="43"/>
    </row>
    <row r="549" spans="2:11" ht="13.2">
      <c r="B549" s="64"/>
      <c r="K549" s="43"/>
    </row>
    <row r="550" spans="2:11" ht="13.2">
      <c r="B550" s="64"/>
      <c r="K550" s="43"/>
    </row>
    <row r="551" spans="2:11" ht="13.2">
      <c r="B551" s="64"/>
      <c r="K551" s="43"/>
    </row>
    <row r="552" spans="2:11" ht="13.2">
      <c r="B552" s="64"/>
      <c r="K552" s="43"/>
    </row>
    <row r="553" spans="2:11" ht="13.2">
      <c r="B553" s="64"/>
      <c r="K553" s="43"/>
    </row>
    <row r="554" spans="2:11" ht="13.2">
      <c r="B554" s="64"/>
      <c r="K554" s="43"/>
    </row>
    <row r="555" spans="2:11" ht="13.2">
      <c r="B555" s="64"/>
      <c r="K555" s="43"/>
    </row>
    <row r="556" spans="2:11" ht="13.2">
      <c r="B556" s="64"/>
      <c r="K556" s="43"/>
    </row>
    <row r="557" spans="2:11" ht="13.2">
      <c r="B557" s="64"/>
      <c r="K557" s="43"/>
    </row>
    <row r="558" spans="2:11" ht="13.2">
      <c r="B558" s="64"/>
      <c r="K558" s="43"/>
    </row>
    <row r="559" spans="2:11" ht="13.2">
      <c r="B559" s="64"/>
      <c r="K559" s="43"/>
    </row>
    <row r="560" spans="2:11" ht="13.2">
      <c r="B560" s="64"/>
      <c r="K560" s="43"/>
    </row>
    <row r="561" spans="2:11" ht="13.2">
      <c r="B561" s="64"/>
      <c r="K561" s="43"/>
    </row>
    <row r="562" spans="2:11" ht="13.2">
      <c r="B562" s="64"/>
      <c r="K562" s="43"/>
    </row>
    <row r="563" spans="2:11" ht="13.2">
      <c r="B563" s="64"/>
      <c r="K563" s="43"/>
    </row>
    <row r="564" spans="2:11" ht="13.2">
      <c r="B564" s="64"/>
      <c r="K564" s="43"/>
    </row>
    <row r="565" spans="2:11" ht="13.2">
      <c r="B565" s="64"/>
      <c r="K565" s="43"/>
    </row>
    <row r="566" spans="2:11" ht="13.2">
      <c r="B566" s="64"/>
      <c r="K566" s="43"/>
    </row>
    <row r="567" spans="2:11" ht="13.2">
      <c r="B567" s="64"/>
      <c r="K567" s="43"/>
    </row>
    <row r="568" spans="2:11" ht="13.2">
      <c r="B568" s="64"/>
      <c r="K568" s="43"/>
    </row>
    <row r="569" spans="2:11" ht="13.2">
      <c r="B569" s="64"/>
      <c r="K569" s="43"/>
    </row>
    <row r="570" spans="2:11" ht="13.2">
      <c r="B570" s="64"/>
      <c r="K570" s="43"/>
    </row>
    <row r="571" spans="2:11" ht="13.2">
      <c r="B571" s="64"/>
      <c r="K571" s="43"/>
    </row>
    <row r="572" spans="2:11" ht="13.2">
      <c r="B572" s="64"/>
      <c r="K572" s="43"/>
    </row>
    <row r="573" spans="2:11" ht="13.2">
      <c r="B573" s="64"/>
      <c r="K573" s="43"/>
    </row>
    <row r="574" spans="2:11" ht="13.2">
      <c r="B574" s="64"/>
      <c r="K574" s="43"/>
    </row>
    <row r="575" spans="2:11" ht="13.2">
      <c r="B575" s="64"/>
      <c r="K575" s="43"/>
    </row>
    <row r="576" spans="2:11" ht="13.2">
      <c r="B576" s="64"/>
      <c r="K576" s="43"/>
    </row>
    <row r="577" spans="2:11" ht="13.2">
      <c r="B577" s="64"/>
      <c r="K577" s="43"/>
    </row>
    <row r="578" spans="2:11" ht="13.2">
      <c r="B578" s="64"/>
      <c r="K578" s="43"/>
    </row>
    <row r="579" spans="2:11" ht="13.2">
      <c r="B579" s="64"/>
      <c r="K579" s="43"/>
    </row>
    <row r="580" spans="2:11" ht="13.2">
      <c r="B580" s="64"/>
      <c r="K580" s="43"/>
    </row>
    <row r="581" spans="2:11" ht="13.2">
      <c r="B581" s="64"/>
      <c r="K581" s="43"/>
    </row>
    <row r="582" spans="2:11" ht="13.2">
      <c r="B582" s="64"/>
      <c r="K582" s="43"/>
    </row>
    <row r="583" spans="2:11" ht="13.2">
      <c r="B583" s="64"/>
      <c r="K583" s="43"/>
    </row>
    <row r="584" spans="2:11" ht="13.2">
      <c r="B584" s="64"/>
      <c r="K584" s="43"/>
    </row>
    <row r="585" spans="2:11" ht="13.2">
      <c r="B585" s="64"/>
      <c r="K585" s="43"/>
    </row>
    <row r="586" spans="2:11" ht="13.2">
      <c r="B586" s="64"/>
      <c r="K586" s="43"/>
    </row>
    <row r="587" spans="2:11" ht="13.2">
      <c r="B587" s="64"/>
      <c r="K587" s="43"/>
    </row>
    <row r="588" spans="2:11" ht="13.2">
      <c r="B588" s="64"/>
      <c r="K588" s="43"/>
    </row>
    <row r="589" spans="2:11" ht="13.2">
      <c r="B589" s="64"/>
      <c r="K589" s="43"/>
    </row>
    <row r="590" spans="2:11" ht="13.2">
      <c r="B590" s="64"/>
      <c r="K590" s="43"/>
    </row>
    <row r="591" spans="2:11" ht="13.2">
      <c r="B591" s="64"/>
      <c r="K591" s="43"/>
    </row>
    <row r="592" spans="2:11" ht="13.2">
      <c r="B592" s="64"/>
      <c r="K592" s="43"/>
    </row>
    <row r="593" spans="2:11" ht="13.2">
      <c r="B593" s="64"/>
      <c r="K593" s="43"/>
    </row>
    <row r="594" spans="2:11" ht="13.2">
      <c r="B594" s="64"/>
      <c r="K594" s="43"/>
    </row>
    <row r="595" spans="2:11" ht="13.2">
      <c r="B595" s="64"/>
      <c r="K595" s="43"/>
    </row>
    <row r="596" spans="2:11" ht="13.2">
      <c r="B596" s="64"/>
      <c r="K596" s="43"/>
    </row>
    <row r="597" spans="2:11" ht="13.2">
      <c r="B597" s="64"/>
      <c r="K597" s="43"/>
    </row>
    <row r="598" spans="2:11" ht="13.2">
      <c r="B598" s="64"/>
      <c r="K598" s="43"/>
    </row>
    <row r="599" spans="2:11" ht="13.2">
      <c r="B599" s="64"/>
      <c r="K599" s="43"/>
    </row>
    <row r="600" spans="2:11" ht="13.2">
      <c r="B600" s="64"/>
      <c r="K600" s="43"/>
    </row>
    <row r="601" spans="2:11" ht="13.2">
      <c r="B601" s="64"/>
      <c r="K601" s="43"/>
    </row>
    <row r="602" spans="2:11" ht="13.2">
      <c r="B602" s="64"/>
      <c r="K602" s="43"/>
    </row>
    <row r="603" spans="2:11" ht="13.2">
      <c r="B603" s="64"/>
      <c r="K603" s="43"/>
    </row>
    <row r="604" spans="2:11" ht="13.2">
      <c r="B604" s="64"/>
      <c r="K604" s="43"/>
    </row>
    <row r="605" spans="2:11" ht="13.2">
      <c r="B605" s="64"/>
      <c r="K605" s="43"/>
    </row>
    <row r="606" spans="2:11" ht="13.2">
      <c r="B606" s="64"/>
      <c r="K606" s="43"/>
    </row>
    <row r="607" spans="2:11" ht="13.2">
      <c r="B607" s="64"/>
      <c r="K607" s="43"/>
    </row>
    <row r="608" spans="2:11" ht="13.2">
      <c r="B608" s="64"/>
      <c r="K608" s="43"/>
    </row>
    <row r="609" spans="2:11" ht="13.2">
      <c r="B609" s="64"/>
      <c r="K609" s="43"/>
    </row>
    <row r="610" spans="2:11" ht="13.2">
      <c r="B610" s="64"/>
      <c r="K610" s="43"/>
    </row>
    <row r="611" spans="2:11" ht="13.2">
      <c r="B611" s="64"/>
      <c r="K611" s="43"/>
    </row>
    <row r="612" spans="2:11" ht="13.2">
      <c r="B612" s="64"/>
      <c r="K612" s="43"/>
    </row>
    <row r="613" spans="2:11" ht="13.2">
      <c r="B613" s="64"/>
      <c r="K613" s="43"/>
    </row>
    <row r="614" spans="2:11" ht="13.2">
      <c r="B614" s="64"/>
      <c r="K614" s="43"/>
    </row>
    <row r="615" spans="2:11" ht="13.2">
      <c r="B615" s="64"/>
      <c r="K615" s="43"/>
    </row>
    <row r="616" spans="2:11" ht="13.2">
      <c r="B616" s="64"/>
      <c r="K616" s="43"/>
    </row>
    <row r="617" spans="2:11" ht="13.2">
      <c r="B617" s="64"/>
      <c r="K617" s="43"/>
    </row>
    <row r="618" spans="2:11" ht="13.2">
      <c r="B618" s="64"/>
      <c r="K618" s="43"/>
    </row>
    <row r="619" spans="2:11" ht="13.2">
      <c r="B619" s="64"/>
      <c r="K619" s="43"/>
    </row>
    <row r="620" spans="2:11" ht="13.2">
      <c r="B620" s="64"/>
      <c r="K620" s="43"/>
    </row>
    <row r="621" spans="2:11" ht="13.2">
      <c r="B621" s="64"/>
      <c r="K621" s="43"/>
    </row>
    <row r="622" spans="2:11" ht="13.2">
      <c r="B622" s="64"/>
      <c r="K622" s="43"/>
    </row>
    <row r="623" spans="2:11" ht="13.2">
      <c r="B623" s="64"/>
      <c r="K623" s="43"/>
    </row>
    <row r="624" spans="2:11" ht="13.2">
      <c r="B624" s="64"/>
      <c r="K624" s="43"/>
    </row>
    <row r="625" spans="2:11" ht="13.2">
      <c r="B625" s="64"/>
      <c r="K625" s="43"/>
    </row>
    <row r="626" spans="2:11" ht="13.2">
      <c r="B626" s="64"/>
      <c r="K626" s="43"/>
    </row>
    <row r="627" spans="2:11" ht="13.2">
      <c r="B627" s="64"/>
      <c r="K627" s="43"/>
    </row>
    <row r="628" spans="2:11" ht="13.2">
      <c r="B628" s="64"/>
      <c r="K628" s="43"/>
    </row>
    <row r="629" spans="2:11" ht="13.2">
      <c r="B629" s="64"/>
      <c r="K629" s="43"/>
    </row>
    <row r="630" spans="2:11" ht="13.2">
      <c r="B630" s="64"/>
      <c r="K630" s="43"/>
    </row>
    <row r="631" spans="2:11" ht="13.2">
      <c r="B631" s="64"/>
      <c r="K631" s="43"/>
    </row>
    <row r="632" spans="2:11" ht="13.2">
      <c r="B632" s="64"/>
      <c r="K632" s="43"/>
    </row>
    <row r="633" spans="2:11" ht="13.2">
      <c r="B633" s="64"/>
      <c r="K633" s="43"/>
    </row>
    <row r="634" spans="2:11" ht="13.2">
      <c r="B634" s="64"/>
      <c r="K634" s="43"/>
    </row>
    <row r="635" spans="2:11" ht="13.2">
      <c r="B635" s="64"/>
      <c r="K635" s="43"/>
    </row>
    <row r="636" spans="2:11" ht="13.2">
      <c r="B636" s="64"/>
      <c r="K636" s="43"/>
    </row>
    <row r="637" spans="2:11" ht="13.2">
      <c r="B637" s="64"/>
      <c r="K637" s="43"/>
    </row>
    <row r="638" spans="2:11" ht="13.2">
      <c r="B638" s="64"/>
      <c r="K638" s="43"/>
    </row>
    <row r="639" spans="2:11" ht="13.2">
      <c r="B639" s="64"/>
      <c r="K639" s="43"/>
    </row>
    <row r="640" spans="2:11" ht="13.2">
      <c r="B640" s="64"/>
      <c r="K640" s="43"/>
    </row>
    <row r="641" spans="2:11" ht="13.2">
      <c r="B641" s="64"/>
      <c r="K641" s="43"/>
    </row>
    <row r="642" spans="2:11" ht="13.2">
      <c r="B642" s="64"/>
      <c r="K642" s="43"/>
    </row>
    <row r="643" spans="2:11" ht="13.2">
      <c r="B643" s="64"/>
      <c r="K643" s="43"/>
    </row>
    <row r="644" spans="2:11" ht="13.2">
      <c r="B644" s="64"/>
      <c r="K644" s="43"/>
    </row>
    <row r="645" spans="2:11" ht="13.2">
      <c r="B645" s="64"/>
      <c r="K645" s="43"/>
    </row>
    <row r="646" spans="2:11" ht="13.2">
      <c r="B646" s="64"/>
      <c r="K646" s="43"/>
    </row>
    <row r="647" spans="2:11" ht="13.2">
      <c r="B647" s="64"/>
      <c r="K647" s="43"/>
    </row>
    <row r="648" spans="2:11" ht="13.2">
      <c r="B648" s="64"/>
      <c r="K648" s="43"/>
    </row>
    <row r="649" spans="2:11" ht="13.2">
      <c r="B649" s="64"/>
      <c r="K649" s="43"/>
    </row>
    <row r="650" spans="2:11" ht="13.2">
      <c r="B650" s="64"/>
      <c r="K650" s="43"/>
    </row>
    <row r="651" spans="2:11" ht="13.2">
      <c r="B651" s="64"/>
      <c r="K651" s="43"/>
    </row>
    <row r="652" spans="2:11" ht="13.2">
      <c r="B652" s="64"/>
      <c r="K652" s="43"/>
    </row>
    <row r="653" spans="2:11" ht="13.2">
      <c r="B653" s="64"/>
      <c r="K653" s="43"/>
    </row>
    <row r="654" spans="2:11" ht="13.2">
      <c r="B654" s="64"/>
      <c r="K654" s="43"/>
    </row>
    <row r="655" spans="2:11" ht="13.2">
      <c r="B655" s="64"/>
      <c r="K655" s="43"/>
    </row>
    <row r="656" spans="2:11" ht="13.2">
      <c r="B656" s="64"/>
      <c r="K656" s="43"/>
    </row>
    <row r="657" spans="2:11" ht="13.2">
      <c r="B657" s="64"/>
      <c r="K657" s="43"/>
    </row>
    <row r="658" spans="2:11" ht="13.2">
      <c r="B658" s="64"/>
      <c r="K658" s="43"/>
    </row>
    <row r="659" spans="2:11" ht="13.2">
      <c r="B659" s="64"/>
      <c r="K659" s="43"/>
    </row>
    <row r="660" spans="2:11" ht="13.2">
      <c r="B660" s="64"/>
      <c r="K660" s="43"/>
    </row>
    <row r="661" spans="2:11" ht="13.2">
      <c r="B661" s="64"/>
      <c r="K661" s="43"/>
    </row>
    <row r="662" spans="2:11" ht="13.2">
      <c r="B662" s="64"/>
      <c r="K662" s="43"/>
    </row>
    <row r="663" spans="2:11" ht="13.2">
      <c r="B663" s="64"/>
      <c r="K663" s="43"/>
    </row>
    <row r="664" spans="2:11" ht="13.2">
      <c r="B664" s="64"/>
      <c r="K664" s="43"/>
    </row>
    <row r="665" spans="2:11" ht="13.2">
      <c r="B665" s="64"/>
      <c r="K665" s="43"/>
    </row>
    <row r="666" spans="2:11" ht="13.2">
      <c r="B666" s="64"/>
      <c r="K666" s="43"/>
    </row>
    <row r="667" spans="2:11" ht="13.2">
      <c r="B667" s="64"/>
      <c r="K667" s="43"/>
    </row>
    <row r="668" spans="2:11" ht="13.2">
      <c r="B668" s="64"/>
      <c r="K668" s="43"/>
    </row>
    <row r="669" spans="2:11" ht="13.2">
      <c r="B669" s="64"/>
      <c r="K669" s="43"/>
    </row>
    <row r="670" spans="2:11" ht="13.2">
      <c r="B670" s="64"/>
      <c r="K670" s="43"/>
    </row>
    <row r="671" spans="2:11" ht="13.2">
      <c r="B671" s="64"/>
      <c r="K671" s="43"/>
    </row>
    <row r="672" spans="2:11" ht="13.2">
      <c r="B672" s="64"/>
      <c r="K672" s="43"/>
    </row>
    <row r="673" spans="2:11" ht="13.2">
      <c r="B673" s="64"/>
      <c r="K673" s="43"/>
    </row>
    <row r="674" spans="2:11" ht="13.2">
      <c r="B674" s="64"/>
      <c r="K674" s="43"/>
    </row>
    <row r="675" spans="2:11" ht="13.2">
      <c r="B675" s="64"/>
      <c r="K675" s="43"/>
    </row>
    <row r="676" spans="2:11" ht="13.2">
      <c r="B676" s="64"/>
      <c r="K676" s="43"/>
    </row>
    <row r="677" spans="2:11" ht="13.2">
      <c r="B677" s="64"/>
      <c r="K677" s="43"/>
    </row>
    <row r="678" spans="2:11" ht="13.2">
      <c r="B678" s="64"/>
      <c r="K678" s="43"/>
    </row>
    <row r="679" spans="2:11" ht="13.2">
      <c r="B679" s="64"/>
      <c r="K679" s="43"/>
    </row>
    <row r="680" spans="2:11" ht="13.2">
      <c r="B680" s="64"/>
      <c r="K680" s="43"/>
    </row>
    <row r="681" spans="2:11" ht="13.2">
      <c r="B681" s="64"/>
      <c r="K681" s="43"/>
    </row>
    <row r="682" spans="2:11" ht="13.2">
      <c r="B682" s="64"/>
      <c r="K682" s="43"/>
    </row>
    <row r="683" spans="2:11" ht="13.2">
      <c r="B683" s="64"/>
      <c r="K683" s="43"/>
    </row>
    <row r="684" spans="2:11" ht="13.2">
      <c r="B684" s="64"/>
      <c r="K684" s="43"/>
    </row>
    <row r="685" spans="2:11" ht="13.2">
      <c r="B685" s="64"/>
      <c r="K685" s="43"/>
    </row>
    <row r="686" spans="2:11" ht="13.2">
      <c r="B686" s="64"/>
      <c r="K686" s="43"/>
    </row>
    <row r="687" spans="2:11" ht="13.2">
      <c r="B687" s="64"/>
      <c r="K687" s="43"/>
    </row>
    <row r="688" spans="2:11" ht="13.2">
      <c r="B688" s="64"/>
      <c r="K688" s="43"/>
    </row>
    <row r="689" spans="2:11" ht="13.2">
      <c r="B689" s="64"/>
      <c r="K689" s="43"/>
    </row>
    <row r="690" spans="2:11" ht="13.2">
      <c r="B690" s="64"/>
      <c r="K690" s="43"/>
    </row>
    <row r="691" spans="2:11" ht="13.2">
      <c r="B691" s="64"/>
      <c r="K691" s="43"/>
    </row>
    <row r="692" spans="2:11" ht="13.2">
      <c r="B692" s="64"/>
      <c r="K692" s="43"/>
    </row>
    <row r="693" spans="2:11" ht="13.2">
      <c r="B693" s="64"/>
      <c r="K693" s="43"/>
    </row>
    <row r="694" spans="2:11" ht="13.2">
      <c r="B694" s="64"/>
      <c r="K694" s="43"/>
    </row>
    <row r="695" spans="2:11" ht="13.2">
      <c r="B695" s="64"/>
      <c r="K695" s="43"/>
    </row>
    <row r="696" spans="2:11" ht="13.2">
      <c r="B696" s="64"/>
      <c r="K696" s="43"/>
    </row>
    <row r="697" spans="2:11" ht="13.2">
      <c r="B697" s="64"/>
      <c r="K697" s="43"/>
    </row>
    <row r="698" spans="2:11" ht="13.2">
      <c r="B698" s="64"/>
      <c r="K698" s="43"/>
    </row>
    <row r="699" spans="2:11" ht="13.2">
      <c r="B699" s="64"/>
      <c r="K699" s="43"/>
    </row>
    <row r="700" spans="2:11" ht="13.2">
      <c r="B700" s="64"/>
      <c r="K700" s="43"/>
    </row>
    <row r="701" spans="2:11" ht="13.2">
      <c r="B701" s="64"/>
      <c r="K701" s="43"/>
    </row>
    <row r="702" spans="2:11" ht="13.2">
      <c r="B702" s="64"/>
      <c r="K702" s="43"/>
    </row>
    <row r="703" spans="2:11" ht="13.2">
      <c r="B703" s="64"/>
      <c r="K703" s="43"/>
    </row>
    <row r="704" spans="2:11" ht="13.2">
      <c r="B704" s="64"/>
      <c r="K704" s="43"/>
    </row>
    <row r="705" spans="2:11" ht="13.2">
      <c r="B705" s="64"/>
      <c r="K705" s="43"/>
    </row>
    <row r="706" spans="2:11" ht="13.2">
      <c r="B706" s="64"/>
      <c r="K706" s="43"/>
    </row>
    <row r="707" spans="2:11" ht="13.2">
      <c r="B707" s="64"/>
      <c r="K707" s="43"/>
    </row>
    <row r="708" spans="2:11" ht="13.2">
      <c r="B708" s="64"/>
      <c r="K708" s="43"/>
    </row>
    <row r="709" spans="2:11" ht="13.2">
      <c r="B709" s="64"/>
      <c r="K709" s="43"/>
    </row>
    <row r="710" spans="2:11" ht="13.2">
      <c r="B710" s="64"/>
      <c r="K710" s="43"/>
    </row>
    <row r="711" spans="2:11" ht="13.2">
      <c r="B711" s="64"/>
      <c r="K711" s="43"/>
    </row>
    <row r="712" spans="2:11" ht="13.2">
      <c r="B712" s="64"/>
      <c r="K712" s="43"/>
    </row>
    <row r="713" spans="2:11" ht="13.2">
      <c r="B713" s="64"/>
      <c r="K713" s="43"/>
    </row>
    <row r="714" spans="2:11" ht="13.2">
      <c r="B714" s="64"/>
      <c r="K714" s="43"/>
    </row>
    <row r="715" spans="2:11" ht="13.2">
      <c r="B715" s="64"/>
      <c r="K715" s="43"/>
    </row>
    <row r="716" spans="2:11" ht="13.2">
      <c r="B716" s="64"/>
      <c r="K716" s="43"/>
    </row>
    <row r="717" spans="2:11" ht="13.2">
      <c r="B717" s="64"/>
      <c r="K717" s="43"/>
    </row>
    <row r="718" spans="2:11" ht="13.2">
      <c r="B718" s="64"/>
      <c r="K718" s="43"/>
    </row>
    <row r="719" spans="2:11" ht="13.2">
      <c r="B719" s="64"/>
      <c r="K719" s="43"/>
    </row>
    <row r="720" spans="2:11" ht="13.2">
      <c r="B720" s="64"/>
      <c r="K720" s="43"/>
    </row>
    <row r="721" spans="2:11" ht="13.2">
      <c r="B721" s="64"/>
      <c r="K721" s="43"/>
    </row>
    <row r="722" spans="2:11" ht="13.2">
      <c r="B722" s="64"/>
      <c r="K722" s="43"/>
    </row>
    <row r="723" spans="2:11" ht="13.2">
      <c r="B723" s="64"/>
      <c r="K723" s="43"/>
    </row>
    <row r="724" spans="2:11" ht="13.2">
      <c r="B724" s="64"/>
      <c r="K724" s="43"/>
    </row>
    <row r="725" spans="2:11" ht="13.2">
      <c r="B725" s="64"/>
      <c r="K725" s="43"/>
    </row>
    <row r="726" spans="2:11" ht="13.2">
      <c r="B726" s="64"/>
      <c r="K726" s="43"/>
    </row>
    <row r="727" spans="2:11" ht="13.2">
      <c r="B727" s="64"/>
      <c r="K727" s="43"/>
    </row>
    <row r="728" spans="2:11" ht="13.2">
      <c r="B728" s="64"/>
      <c r="K728" s="43"/>
    </row>
    <row r="729" spans="2:11" ht="13.2">
      <c r="B729" s="64"/>
      <c r="K729" s="43"/>
    </row>
    <row r="730" spans="2:11" ht="13.2">
      <c r="B730" s="64"/>
      <c r="K730" s="43"/>
    </row>
    <row r="731" spans="2:11" ht="13.2">
      <c r="B731" s="64"/>
      <c r="K731" s="43"/>
    </row>
    <row r="732" spans="2:11" ht="13.2">
      <c r="B732" s="64"/>
      <c r="K732" s="43"/>
    </row>
    <row r="733" spans="2:11" ht="13.2">
      <c r="B733" s="64"/>
      <c r="K733" s="43"/>
    </row>
    <row r="734" spans="2:11" ht="13.2">
      <c r="B734" s="64"/>
      <c r="K734" s="43"/>
    </row>
    <row r="735" spans="2:11" ht="13.2">
      <c r="B735" s="64"/>
      <c r="K735" s="43"/>
    </row>
    <row r="736" spans="2:11" ht="13.2">
      <c r="B736" s="64"/>
      <c r="K736" s="43"/>
    </row>
    <row r="737" spans="2:11" ht="13.2">
      <c r="B737" s="64"/>
      <c r="K737" s="43"/>
    </row>
    <row r="738" spans="2:11" ht="13.2">
      <c r="B738" s="64"/>
      <c r="K738" s="43"/>
    </row>
    <row r="739" spans="2:11" ht="13.2">
      <c r="B739" s="64"/>
      <c r="K739" s="43"/>
    </row>
    <row r="740" spans="2:11" ht="13.2">
      <c r="B740" s="64"/>
      <c r="K740" s="43"/>
    </row>
    <row r="741" spans="2:11" ht="13.2">
      <c r="B741" s="64"/>
      <c r="K741" s="43"/>
    </row>
    <row r="742" spans="2:11" ht="13.2">
      <c r="B742" s="64"/>
      <c r="K742" s="43"/>
    </row>
    <row r="743" spans="2:11" ht="13.2">
      <c r="B743" s="64"/>
      <c r="K743" s="43"/>
    </row>
    <row r="744" spans="2:11" ht="13.2">
      <c r="B744" s="64"/>
      <c r="K744" s="43"/>
    </row>
    <row r="745" spans="2:11" ht="13.2">
      <c r="B745" s="64"/>
      <c r="K745" s="43"/>
    </row>
    <row r="746" spans="2:11" ht="13.2">
      <c r="B746" s="64"/>
      <c r="K746" s="43"/>
    </row>
    <row r="747" spans="2:11" ht="13.2">
      <c r="B747" s="64"/>
      <c r="K747" s="43"/>
    </row>
    <row r="748" spans="2:11" ht="13.2">
      <c r="B748" s="64"/>
      <c r="K748" s="43"/>
    </row>
    <row r="749" spans="2:11" ht="13.2">
      <c r="B749" s="64"/>
      <c r="K749" s="43"/>
    </row>
    <row r="750" spans="2:11" ht="13.2">
      <c r="B750" s="64"/>
      <c r="K750" s="43"/>
    </row>
    <row r="751" spans="2:11" ht="13.2">
      <c r="B751" s="64"/>
      <c r="K751" s="43"/>
    </row>
    <row r="752" spans="2:11" ht="13.2">
      <c r="B752" s="64"/>
      <c r="K752" s="43"/>
    </row>
    <row r="753" spans="2:11" ht="13.2">
      <c r="B753" s="64"/>
      <c r="K753" s="43"/>
    </row>
    <row r="754" spans="2:11" ht="13.2">
      <c r="B754" s="64"/>
      <c r="K754" s="43"/>
    </row>
    <row r="755" spans="2:11" ht="13.2">
      <c r="B755" s="64"/>
      <c r="K755" s="43"/>
    </row>
    <row r="756" spans="2:11" ht="13.2">
      <c r="B756" s="64"/>
      <c r="K756" s="43"/>
    </row>
    <row r="757" spans="2:11" ht="13.2">
      <c r="B757" s="64"/>
      <c r="K757" s="43"/>
    </row>
    <row r="758" spans="2:11" ht="13.2">
      <c r="B758" s="64"/>
      <c r="K758" s="43"/>
    </row>
    <row r="759" spans="2:11" ht="13.2">
      <c r="B759" s="64"/>
      <c r="K759" s="43"/>
    </row>
    <row r="760" spans="2:11" ht="13.2">
      <c r="B760" s="64"/>
      <c r="K760" s="43"/>
    </row>
    <row r="761" spans="2:11" ht="13.2">
      <c r="B761" s="64"/>
      <c r="K761" s="43"/>
    </row>
    <row r="762" spans="2:11" ht="13.2">
      <c r="B762" s="64"/>
      <c r="K762" s="43"/>
    </row>
    <row r="763" spans="2:11" ht="13.2">
      <c r="B763" s="64"/>
      <c r="K763" s="43"/>
    </row>
    <row r="764" spans="2:11" ht="13.2">
      <c r="B764" s="64"/>
      <c r="K764" s="43"/>
    </row>
    <row r="765" spans="2:11" ht="13.2">
      <c r="B765" s="64"/>
      <c r="K765" s="43"/>
    </row>
    <row r="766" spans="2:11" ht="13.2">
      <c r="B766" s="64"/>
      <c r="K766" s="43"/>
    </row>
    <row r="767" spans="2:11" ht="13.2">
      <c r="B767" s="64"/>
      <c r="K767" s="43"/>
    </row>
    <row r="768" spans="2:11" ht="13.2">
      <c r="B768" s="64"/>
      <c r="K768" s="43"/>
    </row>
    <row r="769" spans="2:11" ht="13.2">
      <c r="B769" s="64"/>
      <c r="K769" s="43"/>
    </row>
    <row r="770" spans="2:11" ht="13.2">
      <c r="B770" s="64"/>
      <c r="K770" s="43"/>
    </row>
    <row r="771" spans="2:11" ht="13.2">
      <c r="B771" s="64"/>
      <c r="K771" s="43"/>
    </row>
    <row r="772" spans="2:11" ht="13.2">
      <c r="B772" s="64"/>
      <c r="K772" s="43"/>
    </row>
    <row r="773" spans="2:11" ht="13.2">
      <c r="B773" s="64"/>
      <c r="K773" s="43"/>
    </row>
    <row r="774" spans="2:11" ht="13.2">
      <c r="B774" s="64"/>
      <c r="K774" s="43"/>
    </row>
    <row r="775" spans="2:11" ht="13.2">
      <c r="B775" s="64"/>
      <c r="K775" s="43"/>
    </row>
    <row r="776" spans="2:11" ht="13.2">
      <c r="B776" s="64"/>
      <c r="K776" s="43"/>
    </row>
    <row r="777" spans="2:11" ht="13.2">
      <c r="B777" s="64"/>
      <c r="K777" s="43"/>
    </row>
    <row r="778" spans="2:11" ht="13.2">
      <c r="B778" s="64"/>
      <c r="K778" s="43"/>
    </row>
    <row r="779" spans="2:11" ht="13.2">
      <c r="B779" s="64"/>
      <c r="K779" s="43"/>
    </row>
    <row r="780" spans="2:11" ht="13.2">
      <c r="B780" s="64"/>
      <c r="K780" s="43"/>
    </row>
    <row r="781" spans="2:11" ht="13.2">
      <c r="B781" s="64"/>
      <c r="K781" s="43"/>
    </row>
    <row r="782" spans="2:11" ht="13.2">
      <c r="B782" s="64"/>
      <c r="K782" s="43"/>
    </row>
    <row r="783" spans="2:11" ht="13.2">
      <c r="B783" s="64"/>
      <c r="K783" s="43"/>
    </row>
    <row r="784" spans="2:11" ht="13.2">
      <c r="B784" s="64"/>
      <c r="K784" s="43"/>
    </row>
    <row r="785" spans="2:11" ht="13.2">
      <c r="B785" s="64"/>
      <c r="K785" s="43"/>
    </row>
    <row r="786" spans="2:11" ht="13.2">
      <c r="B786" s="64"/>
      <c r="K786" s="43"/>
    </row>
    <row r="787" spans="2:11" ht="13.2">
      <c r="B787" s="64"/>
      <c r="K787" s="43"/>
    </row>
    <row r="788" spans="2:11" ht="13.2">
      <c r="B788" s="64"/>
      <c r="K788" s="43"/>
    </row>
    <row r="789" spans="2:11" ht="13.2">
      <c r="B789" s="64"/>
      <c r="K789" s="43"/>
    </row>
    <row r="790" spans="2:11" ht="13.2">
      <c r="B790" s="64"/>
      <c r="K790" s="43"/>
    </row>
    <row r="791" spans="2:11" ht="13.2">
      <c r="B791" s="64"/>
      <c r="K791" s="43"/>
    </row>
    <row r="792" spans="2:11" ht="13.2">
      <c r="B792" s="64"/>
      <c r="K792" s="43"/>
    </row>
    <row r="793" spans="2:11" ht="13.2">
      <c r="B793" s="64"/>
      <c r="K793" s="43"/>
    </row>
    <row r="794" spans="2:11" ht="13.2">
      <c r="B794" s="64"/>
      <c r="K794" s="43"/>
    </row>
    <row r="795" spans="2:11" ht="13.2">
      <c r="B795" s="64"/>
      <c r="K795" s="43"/>
    </row>
    <row r="796" spans="2:11" ht="13.2">
      <c r="B796" s="64"/>
      <c r="K796" s="43"/>
    </row>
    <row r="797" spans="2:11" ht="13.2">
      <c r="B797" s="64"/>
      <c r="K797" s="43"/>
    </row>
    <row r="798" spans="2:11" ht="13.2">
      <c r="B798" s="64"/>
      <c r="K798" s="43"/>
    </row>
    <row r="799" spans="2:11" ht="13.2">
      <c r="B799" s="64"/>
      <c r="K799" s="43"/>
    </row>
    <row r="800" spans="2:11" ht="13.2">
      <c r="B800" s="64"/>
      <c r="K800" s="43"/>
    </row>
    <row r="801" spans="2:11" ht="13.2">
      <c r="B801" s="64"/>
      <c r="K801" s="43"/>
    </row>
    <row r="802" spans="2:11" ht="13.2">
      <c r="B802" s="64"/>
      <c r="K802" s="43"/>
    </row>
    <row r="803" spans="2:11" ht="13.2">
      <c r="B803" s="64"/>
      <c r="K803" s="43"/>
    </row>
    <row r="804" spans="2:11" ht="13.2">
      <c r="B804" s="64"/>
      <c r="K804" s="43"/>
    </row>
    <row r="805" spans="2:11" ht="13.2">
      <c r="B805" s="64"/>
      <c r="K805" s="43"/>
    </row>
    <row r="806" spans="2:11" ht="13.2">
      <c r="B806" s="64"/>
      <c r="K806" s="43"/>
    </row>
    <row r="807" spans="2:11" ht="13.2">
      <c r="B807" s="64"/>
      <c r="K807" s="43"/>
    </row>
    <row r="808" spans="2:11" ht="13.2">
      <c r="B808" s="64"/>
      <c r="K808" s="43"/>
    </row>
    <row r="809" spans="2:11" ht="13.2">
      <c r="B809" s="64"/>
      <c r="K809" s="43"/>
    </row>
    <row r="810" spans="2:11" ht="13.2">
      <c r="B810" s="64"/>
      <c r="K810" s="43"/>
    </row>
    <row r="811" spans="2:11" ht="13.2">
      <c r="B811" s="64"/>
      <c r="K811" s="43"/>
    </row>
    <row r="812" spans="2:11" ht="13.2">
      <c r="B812" s="64"/>
      <c r="K812" s="43"/>
    </row>
    <row r="813" spans="2:11" ht="13.2">
      <c r="B813" s="64"/>
      <c r="K813" s="43"/>
    </row>
    <row r="814" spans="2:11" ht="13.2">
      <c r="B814" s="64"/>
      <c r="K814" s="43"/>
    </row>
    <row r="815" spans="2:11" ht="13.2">
      <c r="B815" s="64"/>
      <c r="K815" s="43"/>
    </row>
    <row r="816" spans="2:11" ht="13.2">
      <c r="B816" s="64"/>
      <c r="K816" s="43"/>
    </row>
    <row r="817" spans="2:11" ht="13.2">
      <c r="B817" s="64"/>
      <c r="K817" s="43"/>
    </row>
    <row r="818" spans="2:11" ht="13.2">
      <c r="B818" s="64"/>
      <c r="K818" s="43"/>
    </row>
    <row r="819" spans="2:11" ht="13.2">
      <c r="B819" s="64"/>
      <c r="K819" s="43"/>
    </row>
    <row r="820" spans="2:11" ht="13.2">
      <c r="B820" s="64"/>
      <c r="K820" s="43"/>
    </row>
    <row r="821" spans="2:11" ht="13.2">
      <c r="B821" s="64"/>
      <c r="K821" s="43"/>
    </row>
    <row r="822" spans="2:11" ht="13.2">
      <c r="B822" s="64"/>
      <c r="K822" s="43"/>
    </row>
    <row r="823" spans="2:11" ht="13.2">
      <c r="B823" s="64"/>
      <c r="K823" s="43"/>
    </row>
    <row r="824" spans="2:11" ht="13.2">
      <c r="B824" s="64"/>
      <c r="K824" s="43"/>
    </row>
    <row r="825" spans="2:11" ht="13.2">
      <c r="B825" s="64"/>
      <c r="K825" s="43"/>
    </row>
    <row r="826" spans="2:11" ht="13.2">
      <c r="B826" s="64"/>
      <c r="K826" s="43"/>
    </row>
    <row r="827" spans="2:11" ht="13.2">
      <c r="B827" s="64"/>
      <c r="K827" s="43"/>
    </row>
    <row r="828" spans="2:11" ht="13.2">
      <c r="B828" s="64"/>
      <c r="K828" s="43"/>
    </row>
    <row r="829" spans="2:11" ht="13.2">
      <c r="B829" s="64"/>
      <c r="K829" s="43"/>
    </row>
    <row r="830" spans="2:11" ht="13.2">
      <c r="B830" s="64"/>
      <c r="K830" s="43"/>
    </row>
    <row r="831" spans="2:11" ht="13.2">
      <c r="B831" s="64"/>
      <c r="K831" s="43"/>
    </row>
    <row r="832" spans="2:11" ht="13.2">
      <c r="B832" s="64"/>
      <c r="K832" s="43"/>
    </row>
    <row r="833" spans="2:11" ht="13.2">
      <c r="B833" s="64"/>
      <c r="K833" s="43"/>
    </row>
    <row r="834" spans="2:11" ht="13.2">
      <c r="B834" s="64"/>
      <c r="K834" s="43"/>
    </row>
    <row r="835" spans="2:11" ht="13.2">
      <c r="B835" s="64"/>
      <c r="K835" s="43"/>
    </row>
    <row r="836" spans="2:11" ht="13.2">
      <c r="B836" s="64"/>
      <c r="K836" s="43"/>
    </row>
    <row r="837" spans="2:11" ht="13.2">
      <c r="B837" s="64"/>
      <c r="K837" s="43"/>
    </row>
    <row r="838" spans="2:11" ht="13.2">
      <c r="B838" s="64"/>
      <c r="K838" s="43"/>
    </row>
    <row r="839" spans="2:11" ht="13.2">
      <c r="B839" s="64"/>
      <c r="K839" s="43"/>
    </row>
    <row r="840" spans="2:11" ht="13.2">
      <c r="B840" s="64"/>
      <c r="K840" s="43"/>
    </row>
    <row r="841" spans="2:11" ht="13.2">
      <c r="B841" s="64"/>
      <c r="K841" s="43"/>
    </row>
    <row r="842" spans="2:11" ht="13.2">
      <c r="B842" s="64"/>
      <c r="K842" s="43"/>
    </row>
    <row r="843" spans="2:11" ht="13.2">
      <c r="B843" s="64"/>
      <c r="K843" s="43"/>
    </row>
    <row r="844" spans="2:11" ht="13.2">
      <c r="B844" s="64"/>
      <c r="K844" s="43"/>
    </row>
    <row r="845" spans="2:11" ht="13.2">
      <c r="B845" s="64"/>
      <c r="K845" s="43"/>
    </row>
    <row r="846" spans="2:11" ht="13.2">
      <c r="B846" s="64"/>
      <c r="K846" s="43"/>
    </row>
    <row r="847" spans="2:11" ht="13.2">
      <c r="B847" s="64"/>
      <c r="K847" s="43"/>
    </row>
    <row r="848" spans="2:11" ht="13.2">
      <c r="B848" s="64"/>
      <c r="K848" s="43"/>
    </row>
    <row r="849" spans="2:11" ht="13.2">
      <c r="B849" s="64"/>
      <c r="K849" s="43"/>
    </row>
    <row r="850" spans="2:11" ht="13.2">
      <c r="B850" s="64"/>
      <c r="K850" s="43"/>
    </row>
    <row r="851" spans="2:11" ht="13.2">
      <c r="B851" s="64"/>
      <c r="K851" s="43"/>
    </row>
    <row r="852" spans="2:11" ht="13.2">
      <c r="B852" s="64"/>
      <c r="K852" s="43"/>
    </row>
    <row r="853" spans="2:11" ht="13.2">
      <c r="B853" s="64"/>
      <c r="K853" s="43"/>
    </row>
    <row r="854" spans="2:11" ht="13.2">
      <c r="B854" s="64"/>
      <c r="K854" s="43"/>
    </row>
    <row r="855" spans="2:11" ht="13.2">
      <c r="B855" s="64"/>
      <c r="K855" s="43"/>
    </row>
    <row r="856" spans="2:11" ht="13.2">
      <c r="B856" s="64"/>
      <c r="K856" s="43"/>
    </row>
    <row r="857" spans="2:11" ht="13.2">
      <c r="B857" s="64"/>
      <c r="K857" s="43"/>
    </row>
    <row r="858" spans="2:11" ht="13.2">
      <c r="B858" s="64"/>
      <c r="K858" s="43"/>
    </row>
    <row r="859" spans="2:11" ht="13.2">
      <c r="B859" s="64"/>
      <c r="K859" s="43"/>
    </row>
    <row r="860" spans="2:11" ht="13.2">
      <c r="B860" s="64"/>
      <c r="K860" s="43"/>
    </row>
    <row r="861" spans="2:11" ht="13.2">
      <c r="B861" s="64"/>
      <c r="K861" s="43"/>
    </row>
    <row r="862" spans="2:11" ht="13.2">
      <c r="B862" s="64"/>
      <c r="K862" s="43"/>
    </row>
    <row r="863" spans="2:11" ht="13.2">
      <c r="B863" s="64"/>
      <c r="K863" s="43"/>
    </row>
    <row r="864" spans="2:11" ht="13.2">
      <c r="B864" s="64"/>
      <c r="K864" s="43"/>
    </row>
    <row r="865" spans="2:11" ht="13.2">
      <c r="B865" s="64"/>
      <c r="K865" s="43"/>
    </row>
    <row r="866" spans="2:11" ht="13.2">
      <c r="B866" s="64"/>
      <c r="K866" s="43"/>
    </row>
    <row r="867" spans="2:11" ht="13.2">
      <c r="B867" s="64"/>
      <c r="K867" s="43"/>
    </row>
    <row r="868" spans="2:11" ht="13.2">
      <c r="B868" s="64"/>
      <c r="K868" s="43"/>
    </row>
    <row r="869" spans="2:11" ht="13.2">
      <c r="B869" s="64"/>
      <c r="K869" s="43"/>
    </row>
    <row r="870" spans="2:11" ht="13.2">
      <c r="B870" s="64"/>
      <c r="K870" s="43"/>
    </row>
    <row r="871" spans="2:11" ht="13.2">
      <c r="B871" s="64"/>
      <c r="K871" s="43"/>
    </row>
    <row r="872" spans="2:11" ht="13.2">
      <c r="B872" s="64"/>
      <c r="K872" s="43"/>
    </row>
    <row r="873" spans="2:11" ht="13.2">
      <c r="B873" s="64"/>
      <c r="K873" s="43"/>
    </row>
    <row r="874" spans="2:11" ht="13.2">
      <c r="B874" s="64"/>
      <c r="K874" s="43"/>
    </row>
    <row r="875" spans="2:11" ht="13.2">
      <c r="B875" s="64"/>
      <c r="K875" s="43"/>
    </row>
    <row r="876" spans="2:11" ht="13.2">
      <c r="B876" s="64"/>
      <c r="K876" s="43"/>
    </row>
    <row r="877" spans="2:11" ht="13.2">
      <c r="B877" s="64"/>
      <c r="K877" s="43"/>
    </row>
    <row r="878" spans="2:11" ht="13.2">
      <c r="B878" s="64"/>
      <c r="K878" s="43"/>
    </row>
    <row r="879" spans="2:11" ht="13.2">
      <c r="B879" s="64"/>
      <c r="K879" s="43"/>
    </row>
    <row r="880" spans="2:11" ht="13.2">
      <c r="B880" s="64"/>
      <c r="K880" s="43"/>
    </row>
    <row r="881" spans="2:11" ht="13.2">
      <c r="B881" s="64"/>
      <c r="K881" s="43"/>
    </row>
    <row r="882" spans="2:11" ht="13.2">
      <c r="B882" s="64"/>
      <c r="K882" s="43"/>
    </row>
    <row r="883" spans="2:11" ht="13.2">
      <c r="B883" s="64"/>
      <c r="K883" s="43"/>
    </row>
    <row r="884" spans="2:11" ht="13.2">
      <c r="B884" s="64"/>
      <c r="K884" s="43"/>
    </row>
    <row r="885" spans="2:11" ht="13.2">
      <c r="B885" s="64"/>
      <c r="K885" s="43"/>
    </row>
    <row r="886" spans="2:11" ht="13.2">
      <c r="B886" s="64"/>
      <c r="K886" s="43"/>
    </row>
    <row r="887" spans="2:11" ht="13.2">
      <c r="B887" s="64"/>
      <c r="K887" s="43"/>
    </row>
    <row r="888" spans="2:11" ht="13.2">
      <c r="B888" s="64"/>
      <c r="K888" s="43"/>
    </row>
    <row r="889" spans="2:11" ht="13.2">
      <c r="B889" s="64"/>
      <c r="K889" s="43"/>
    </row>
    <row r="890" spans="2:11" ht="13.2">
      <c r="B890" s="64"/>
      <c r="K890" s="43"/>
    </row>
    <row r="891" spans="2:11" ht="13.2">
      <c r="B891" s="64"/>
      <c r="K891" s="43"/>
    </row>
    <row r="892" spans="2:11" ht="13.2">
      <c r="B892" s="64"/>
      <c r="K892" s="43"/>
    </row>
    <row r="893" spans="2:11" ht="13.2">
      <c r="B893" s="64"/>
      <c r="K893" s="43"/>
    </row>
    <row r="894" spans="2:11" ht="13.2">
      <c r="B894" s="64"/>
      <c r="K894" s="43"/>
    </row>
    <row r="895" spans="2:11" ht="13.2">
      <c r="B895" s="64"/>
      <c r="K895" s="43"/>
    </row>
    <row r="896" spans="2:11" ht="13.2">
      <c r="B896" s="64"/>
      <c r="K896" s="43"/>
    </row>
    <row r="897" spans="2:11" ht="13.2">
      <c r="B897" s="64"/>
      <c r="K897" s="43"/>
    </row>
    <row r="898" spans="2:11" ht="13.2">
      <c r="B898" s="64"/>
      <c r="K898" s="43"/>
    </row>
    <row r="899" spans="2:11" ht="13.2">
      <c r="B899" s="64"/>
      <c r="K899" s="43"/>
    </row>
    <row r="900" spans="2:11" ht="13.2">
      <c r="B900" s="64"/>
      <c r="K900" s="43"/>
    </row>
    <row r="901" spans="2:11" ht="13.2">
      <c r="B901" s="64"/>
      <c r="K901" s="43"/>
    </row>
    <row r="902" spans="2:11" ht="13.2">
      <c r="B902" s="64"/>
      <c r="K902" s="43"/>
    </row>
    <row r="903" spans="2:11" ht="13.2">
      <c r="B903" s="64"/>
      <c r="K903" s="43"/>
    </row>
    <row r="904" spans="2:11" ht="13.2">
      <c r="B904" s="64"/>
      <c r="K904" s="43"/>
    </row>
    <row r="905" spans="2:11" ht="13.2">
      <c r="B905" s="64"/>
      <c r="K905" s="43"/>
    </row>
    <row r="906" spans="2:11" ht="13.2">
      <c r="B906" s="64"/>
      <c r="K906" s="43"/>
    </row>
    <row r="907" spans="2:11" ht="13.2">
      <c r="B907" s="64"/>
      <c r="K907" s="43"/>
    </row>
    <row r="908" spans="2:11" ht="13.2">
      <c r="B908" s="64"/>
      <c r="K908" s="43"/>
    </row>
    <row r="909" spans="2:11" ht="13.2">
      <c r="B909" s="64"/>
      <c r="K909" s="43"/>
    </row>
    <row r="910" spans="2:11" ht="13.2">
      <c r="B910" s="64"/>
      <c r="K910" s="43"/>
    </row>
    <row r="911" spans="2:11" ht="13.2">
      <c r="B911" s="64"/>
      <c r="K911" s="43"/>
    </row>
    <row r="912" spans="2:11" ht="13.2">
      <c r="B912" s="64"/>
      <c r="K912" s="43"/>
    </row>
    <row r="913" spans="2:11" ht="13.2">
      <c r="B913" s="64"/>
      <c r="K913" s="43"/>
    </row>
    <row r="914" spans="2:11" ht="13.2">
      <c r="B914" s="64"/>
      <c r="K914" s="43"/>
    </row>
    <row r="915" spans="2:11" ht="13.2">
      <c r="B915" s="64"/>
      <c r="K915" s="43"/>
    </row>
    <row r="916" spans="2:11" ht="13.2">
      <c r="B916" s="64"/>
      <c r="K916" s="43"/>
    </row>
    <row r="917" spans="2:11" ht="13.2">
      <c r="B917" s="64"/>
      <c r="K917" s="43"/>
    </row>
    <row r="918" spans="2:11" ht="13.2">
      <c r="B918" s="64"/>
      <c r="K918" s="43"/>
    </row>
    <row r="919" spans="2:11" ht="13.2">
      <c r="B919" s="64"/>
      <c r="K919" s="43"/>
    </row>
    <row r="920" spans="2:11" ht="13.2">
      <c r="B920" s="64"/>
      <c r="K920" s="43"/>
    </row>
    <row r="921" spans="2:11" ht="13.2">
      <c r="B921" s="64"/>
      <c r="K921" s="43"/>
    </row>
    <row r="922" spans="2:11" ht="13.2">
      <c r="B922" s="64"/>
      <c r="K922" s="43"/>
    </row>
    <row r="923" spans="2:11" ht="13.2">
      <c r="B923" s="64"/>
      <c r="K923" s="43"/>
    </row>
    <row r="924" spans="2:11" ht="13.2">
      <c r="B924" s="64"/>
      <c r="K924" s="43"/>
    </row>
    <row r="925" spans="2:11" ht="13.2">
      <c r="B925" s="64"/>
      <c r="K925" s="43"/>
    </row>
    <row r="926" spans="2:11" ht="13.2">
      <c r="B926" s="64"/>
      <c r="K926" s="43"/>
    </row>
    <row r="927" spans="2:11" ht="13.2">
      <c r="B927" s="64"/>
      <c r="K927" s="43"/>
    </row>
    <row r="928" spans="2:11" ht="13.2">
      <c r="B928" s="64"/>
      <c r="K928" s="43"/>
    </row>
    <row r="929" spans="2:11" ht="13.2">
      <c r="B929" s="64"/>
      <c r="K929" s="43"/>
    </row>
    <row r="930" spans="2:11" ht="13.2">
      <c r="B930" s="64"/>
      <c r="K930" s="43"/>
    </row>
    <row r="931" spans="2:11" ht="13.2">
      <c r="B931" s="64"/>
      <c r="K931" s="43"/>
    </row>
    <row r="932" spans="2:11" ht="13.2">
      <c r="B932" s="64"/>
      <c r="K932" s="43"/>
    </row>
    <row r="933" spans="2:11" ht="13.2">
      <c r="B933" s="64"/>
      <c r="K933" s="43"/>
    </row>
    <row r="934" spans="2:11" ht="13.2">
      <c r="B934" s="64"/>
      <c r="K934" s="43"/>
    </row>
    <row r="935" spans="2:11" ht="13.2">
      <c r="B935" s="64"/>
      <c r="K935" s="43"/>
    </row>
    <row r="936" spans="2:11" ht="13.2">
      <c r="B936" s="64"/>
      <c r="K936" s="43"/>
    </row>
    <row r="937" spans="2:11" ht="13.2">
      <c r="B937" s="64"/>
      <c r="K937" s="43"/>
    </row>
    <row r="938" spans="2:11" ht="13.2">
      <c r="B938" s="64"/>
      <c r="K938" s="43"/>
    </row>
    <row r="939" spans="2:11" ht="13.2">
      <c r="B939" s="64"/>
      <c r="K939" s="43"/>
    </row>
    <row r="940" spans="2:11" ht="13.2">
      <c r="B940" s="64"/>
      <c r="K940" s="43"/>
    </row>
    <row r="941" spans="2:11" ht="13.2">
      <c r="B941" s="64"/>
      <c r="K941" s="43"/>
    </row>
    <row r="942" spans="2:11" ht="13.2">
      <c r="B942" s="64"/>
      <c r="K942" s="43"/>
    </row>
    <row r="943" spans="2:11" ht="13.2">
      <c r="B943" s="64"/>
      <c r="K943" s="43"/>
    </row>
    <row r="944" spans="2:11" ht="13.2">
      <c r="B944" s="64"/>
      <c r="K944" s="43"/>
    </row>
    <row r="945" spans="2:11" ht="13.2">
      <c r="B945" s="64"/>
      <c r="K945" s="43"/>
    </row>
    <row r="946" spans="2:11" ht="13.2">
      <c r="B946" s="64"/>
      <c r="K946" s="43"/>
    </row>
    <row r="947" spans="2:11" ht="13.2">
      <c r="B947" s="64"/>
      <c r="K947" s="43"/>
    </row>
    <row r="948" spans="2:11" ht="13.2">
      <c r="B948" s="64"/>
      <c r="K948" s="43"/>
    </row>
    <row r="949" spans="2:11" ht="13.2">
      <c r="B949" s="64"/>
      <c r="K949" s="43"/>
    </row>
    <row r="950" spans="2:11" ht="13.2">
      <c r="B950" s="64"/>
      <c r="K950" s="43"/>
    </row>
    <row r="951" spans="2:11" ht="13.2">
      <c r="B951" s="64"/>
      <c r="K951" s="43"/>
    </row>
    <row r="952" spans="2:11" ht="13.2">
      <c r="B952" s="64"/>
      <c r="K952" s="43"/>
    </row>
    <row r="953" spans="2:11" ht="13.2">
      <c r="B953" s="64"/>
      <c r="K953" s="43"/>
    </row>
    <row r="954" spans="2:11" ht="13.2">
      <c r="B954" s="64"/>
      <c r="K954" s="43"/>
    </row>
    <row r="955" spans="2:11" ht="13.2">
      <c r="B955" s="64"/>
      <c r="K955" s="43"/>
    </row>
    <row r="956" spans="2:11" ht="13.2">
      <c r="B956" s="64"/>
      <c r="K956" s="43"/>
    </row>
    <row r="957" spans="2:11" ht="13.2">
      <c r="B957" s="64"/>
      <c r="K957" s="43"/>
    </row>
    <row r="958" spans="2:11" ht="13.2">
      <c r="B958" s="64"/>
      <c r="K958" s="43"/>
    </row>
    <row r="959" spans="2:11" ht="13.2">
      <c r="B959" s="64"/>
      <c r="K959" s="43"/>
    </row>
    <row r="960" spans="2:11" ht="13.2">
      <c r="B960" s="64"/>
      <c r="K960" s="43"/>
    </row>
    <row r="961" spans="2:11" ht="13.2">
      <c r="B961" s="64"/>
      <c r="K961" s="43"/>
    </row>
    <row r="962" spans="2:11" ht="13.2">
      <c r="B962" s="64"/>
      <c r="K962" s="43"/>
    </row>
    <row r="963" spans="2:11" ht="13.2">
      <c r="B963" s="64"/>
      <c r="K963" s="43"/>
    </row>
    <row r="964" spans="2:11" ht="13.2">
      <c r="B964" s="64"/>
      <c r="K964" s="43"/>
    </row>
    <row r="965" spans="2:11" ht="13.2">
      <c r="B965" s="64"/>
      <c r="K965" s="43"/>
    </row>
    <row r="966" spans="2:11" ht="13.2">
      <c r="B966" s="64"/>
      <c r="K966" s="43"/>
    </row>
    <row r="967" spans="2:11" ht="13.2">
      <c r="B967" s="64"/>
      <c r="K967" s="43"/>
    </row>
    <row r="968" spans="2:11" ht="13.2">
      <c r="B968" s="64"/>
      <c r="K968" s="43"/>
    </row>
    <row r="969" spans="2:11" ht="13.2">
      <c r="B969" s="64"/>
      <c r="K969" s="43"/>
    </row>
    <row r="970" spans="2:11" ht="13.2">
      <c r="B970" s="64"/>
      <c r="K970" s="43"/>
    </row>
    <row r="971" spans="2:11" ht="13.2">
      <c r="B971" s="64"/>
      <c r="K971" s="43"/>
    </row>
    <row r="972" spans="2:11" ht="13.2">
      <c r="B972" s="64"/>
      <c r="K972" s="43"/>
    </row>
    <row r="973" spans="2:11" ht="13.2">
      <c r="B973" s="64"/>
      <c r="K973" s="43"/>
    </row>
    <row r="974" spans="2:11" ht="13.2">
      <c r="B974" s="64"/>
      <c r="K974" s="43"/>
    </row>
    <row r="975" spans="2:11" ht="13.2">
      <c r="B975" s="64"/>
      <c r="K975" s="43"/>
    </row>
    <row r="976" spans="2:11" ht="13.2">
      <c r="B976" s="64"/>
      <c r="K976" s="43"/>
    </row>
    <row r="977" spans="2:11" ht="13.2">
      <c r="B977" s="64"/>
      <c r="K977" s="43"/>
    </row>
    <row r="978" spans="2:11" ht="13.2">
      <c r="B978" s="64"/>
      <c r="K978" s="43"/>
    </row>
    <row r="979" spans="2:11" ht="13.2">
      <c r="B979" s="64"/>
      <c r="K979" s="43"/>
    </row>
    <row r="980" spans="2:11" ht="13.2">
      <c r="B980" s="64"/>
      <c r="K980" s="43"/>
    </row>
    <row r="981" spans="2:11" ht="13.2">
      <c r="B981" s="64"/>
      <c r="K981" s="43"/>
    </row>
    <row r="982" spans="2:11" ht="13.2">
      <c r="B982" s="64"/>
      <c r="K982" s="43"/>
    </row>
    <row r="983" spans="2:11" ht="13.2">
      <c r="B983" s="64"/>
      <c r="K983" s="43"/>
    </row>
    <row r="984" spans="2:11" ht="13.2">
      <c r="B984" s="64"/>
      <c r="K984" s="43"/>
    </row>
    <row r="985" spans="2:11" ht="13.2">
      <c r="B985" s="64"/>
      <c r="K985" s="43"/>
    </row>
    <row r="986" spans="2:11" ht="13.2">
      <c r="B986" s="64"/>
      <c r="K986" s="43"/>
    </row>
    <row r="987" spans="2:11" ht="13.2">
      <c r="B987" s="64"/>
      <c r="K987" s="43"/>
    </row>
    <row r="988" spans="2:11" ht="13.2">
      <c r="B988" s="64"/>
      <c r="K988" s="43"/>
    </row>
    <row r="989" spans="2:11" ht="13.2">
      <c r="B989" s="64"/>
      <c r="K989" s="43"/>
    </row>
    <row r="990" spans="2:11" ht="13.2">
      <c r="B990" s="64"/>
      <c r="K990" s="43"/>
    </row>
    <row r="991" spans="2:11" ht="13.2">
      <c r="B991" s="64"/>
      <c r="K991" s="43"/>
    </row>
    <row r="992" spans="2:11" ht="13.2">
      <c r="B992" s="64"/>
      <c r="K992" s="43"/>
    </row>
    <row r="993" spans="2:11" ht="13.2">
      <c r="B993" s="64"/>
      <c r="K993" s="43"/>
    </row>
    <row r="994" spans="2:11" ht="13.2">
      <c r="B994" s="64"/>
      <c r="K994" s="43"/>
    </row>
    <row r="995" spans="2:11" ht="13.2">
      <c r="B995" s="64"/>
      <c r="K995" s="43"/>
    </row>
    <row r="996" spans="2:11" ht="13.2">
      <c r="B996" s="64"/>
      <c r="K996" s="43"/>
    </row>
    <row r="997" spans="2:11" ht="13.2">
      <c r="B997" s="64"/>
      <c r="K997" s="43"/>
    </row>
    <row r="998" spans="2:11" ht="13.2">
      <c r="B998" s="64"/>
      <c r="K998" s="43"/>
    </row>
    <row r="999" spans="2:11" ht="13.2">
      <c r="B999" s="64"/>
      <c r="K999" s="43"/>
    </row>
    <row r="1000" spans="2:11" ht="13.2">
      <c r="B1000" s="64"/>
      <c r="K1000" s="43"/>
    </row>
  </sheetData>
  <mergeCells count="7">
    <mergeCell ref="F1:F2"/>
    <mergeCell ref="G1:J2"/>
    <mergeCell ref="A1:A2"/>
    <mergeCell ref="B1:B2"/>
    <mergeCell ref="C1:C2"/>
    <mergeCell ref="D1:D2"/>
    <mergeCell ref="E1:E2"/>
  </mergeCells>
  <phoneticPr fontId="3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255"/>
  <sheetViews>
    <sheetView workbookViewId="0"/>
  </sheetViews>
  <sheetFormatPr defaultColWidth="12.77734375" defaultRowHeight="15.75" customHeight="1"/>
  <cols>
    <col min="1" max="1" width="39.21875" customWidth="1"/>
    <col min="4" max="4" width="31.21875" customWidth="1"/>
    <col min="5" max="5" width="53" customWidth="1"/>
    <col min="6" max="7" width="281.21875" customWidth="1"/>
  </cols>
  <sheetData>
    <row r="1" spans="1:7" ht="16.8">
      <c r="A1" s="205" t="s">
        <v>1392</v>
      </c>
      <c r="B1" s="205" t="s">
        <v>1213</v>
      </c>
      <c r="C1" s="203" t="s">
        <v>46</v>
      </c>
      <c r="D1" s="208" t="s">
        <v>1074</v>
      </c>
      <c r="E1" s="208" t="s">
        <v>1075</v>
      </c>
      <c r="F1" s="208" t="s">
        <v>1393</v>
      </c>
      <c r="G1" s="45"/>
    </row>
    <row r="2" spans="1:7" ht="53.25" customHeight="1">
      <c r="A2" s="189"/>
      <c r="B2" s="189"/>
      <c r="C2" s="189"/>
      <c r="D2" s="189"/>
      <c r="E2" s="189"/>
      <c r="F2" s="189"/>
      <c r="G2" s="45"/>
    </row>
    <row r="3" spans="1:7" ht="15.75" customHeight="1">
      <c r="A3" s="65" t="s">
        <v>1394</v>
      </c>
      <c r="B3" s="65">
        <v>100</v>
      </c>
      <c r="C3" s="5">
        <v>10100</v>
      </c>
      <c r="D3" s="49" t="s">
        <v>1217</v>
      </c>
      <c r="E3" s="5" t="s">
        <v>1395</v>
      </c>
      <c r="F3" s="66" t="s">
        <v>1396</v>
      </c>
      <c r="G3" s="67"/>
    </row>
    <row r="4" spans="1:7" ht="15.75" customHeight="1">
      <c r="A4" s="9" t="s">
        <v>1394</v>
      </c>
      <c r="B4" s="9">
        <v>100</v>
      </c>
      <c r="C4" s="6">
        <v>10101</v>
      </c>
      <c r="D4" s="56" t="s">
        <v>1217</v>
      </c>
      <c r="E4" s="6" t="s">
        <v>1395</v>
      </c>
      <c r="F4" s="68" t="s">
        <v>1397</v>
      </c>
      <c r="G4" s="67"/>
    </row>
    <row r="5" spans="1:7" ht="15.75" customHeight="1">
      <c r="A5" s="69" t="s">
        <v>1394</v>
      </c>
      <c r="B5" s="69">
        <v>100</v>
      </c>
      <c r="C5" s="8">
        <v>10102</v>
      </c>
      <c r="D5" s="55" t="s">
        <v>1217</v>
      </c>
      <c r="E5" s="8" t="s">
        <v>1395</v>
      </c>
      <c r="F5" s="70" t="s">
        <v>1398</v>
      </c>
      <c r="G5" s="67"/>
    </row>
    <row r="6" spans="1:7" ht="15.75" customHeight="1">
      <c r="A6" s="65" t="s">
        <v>1394</v>
      </c>
      <c r="B6" s="65">
        <v>300</v>
      </c>
      <c r="C6" s="29">
        <v>30100</v>
      </c>
      <c r="D6" s="71" t="s">
        <v>1079</v>
      </c>
      <c r="E6" s="29" t="s">
        <v>1399</v>
      </c>
      <c r="F6" s="66" t="s">
        <v>1400</v>
      </c>
      <c r="G6" s="67"/>
    </row>
    <row r="7" spans="1:7" ht="15.75" customHeight="1">
      <c r="A7" s="9" t="s">
        <v>1394</v>
      </c>
      <c r="B7" s="9">
        <v>300</v>
      </c>
      <c r="C7" s="32">
        <v>30101</v>
      </c>
      <c r="D7" s="72" t="s">
        <v>1079</v>
      </c>
      <c r="E7" s="32" t="s">
        <v>1399</v>
      </c>
      <c r="F7" s="68" t="s">
        <v>1401</v>
      </c>
      <c r="G7" s="67"/>
    </row>
    <row r="8" spans="1:7" ht="15.75" customHeight="1">
      <c r="A8" s="9" t="s">
        <v>1394</v>
      </c>
      <c r="B8" s="9">
        <v>300</v>
      </c>
      <c r="C8" s="32">
        <v>30102</v>
      </c>
      <c r="D8" s="72" t="s">
        <v>1079</v>
      </c>
      <c r="E8" s="32" t="s">
        <v>1402</v>
      </c>
      <c r="F8" s="68" t="s">
        <v>1403</v>
      </c>
      <c r="G8" s="67"/>
    </row>
    <row r="9" spans="1:7" ht="15.75" customHeight="1">
      <c r="A9" s="9" t="s">
        <v>1394</v>
      </c>
      <c r="B9" s="9">
        <v>300</v>
      </c>
      <c r="C9" s="32">
        <v>30103</v>
      </c>
      <c r="D9" s="72" t="s">
        <v>1079</v>
      </c>
      <c r="E9" s="32" t="s">
        <v>1402</v>
      </c>
      <c r="F9" s="68" t="s">
        <v>1404</v>
      </c>
      <c r="G9" s="67"/>
    </row>
    <row r="10" spans="1:7" ht="15.75" customHeight="1">
      <c r="A10" s="9" t="s">
        <v>1394</v>
      </c>
      <c r="B10" s="9">
        <v>300</v>
      </c>
      <c r="C10" s="6">
        <v>30200</v>
      </c>
      <c r="D10" s="72" t="s">
        <v>1079</v>
      </c>
      <c r="E10" s="34" t="s">
        <v>1405</v>
      </c>
      <c r="F10" s="68" t="s">
        <v>1406</v>
      </c>
      <c r="G10" s="67"/>
    </row>
    <row r="11" spans="1:7" ht="15.75" customHeight="1">
      <c r="A11" s="9" t="s">
        <v>1394</v>
      </c>
      <c r="B11" s="9">
        <v>300</v>
      </c>
      <c r="C11" s="6">
        <v>30201</v>
      </c>
      <c r="D11" s="72" t="s">
        <v>1079</v>
      </c>
      <c r="E11" s="34" t="s">
        <v>1405</v>
      </c>
      <c r="F11" s="68" t="s">
        <v>1407</v>
      </c>
      <c r="G11" s="67"/>
    </row>
    <row r="12" spans="1:7" ht="15.75" customHeight="1">
      <c r="A12" s="9" t="s">
        <v>1394</v>
      </c>
      <c r="B12" s="9">
        <v>300</v>
      </c>
      <c r="C12" s="6">
        <v>30202</v>
      </c>
      <c r="D12" s="72" t="s">
        <v>1079</v>
      </c>
      <c r="E12" s="34" t="s">
        <v>1405</v>
      </c>
      <c r="F12" s="68" t="s">
        <v>1408</v>
      </c>
      <c r="G12" s="67"/>
    </row>
    <row r="13" spans="1:7" ht="15.75" customHeight="1">
      <c r="A13" s="9" t="s">
        <v>1394</v>
      </c>
      <c r="B13" s="9">
        <v>300</v>
      </c>
      <c r="C13" s="6">
        <v>30203</v>
      </c>
      <c r="D13" s="72" t="s">
        <v>1079</v>
      </c>
      <c r="E13" s="34" t="s">
        <v>1405</v>
      </c>
      <c r="F13" s="68" t="s">
        <v>1409</v>
      </c>
      <c r="G13" s="67"/>
    </row>
    <row r="14" spans="1:7" ht="15.75" customHeight="1">
      <c r="A14" s="9" t="s">
        <v>1394</v>
      </c>
      <c r="B14" s="9">
        <v>300</v>
      </c>
      <c r="C14" s="6">
        <v>30204</v>
      </c>
      <c r="D14" s="72" t="s">
        <v>1079</v>
      </c>
      <c r="E14" s="34" t="s">
        <v>1405</v>
      </c>
      <c r="F14" s="68" t="s">
        <v>1410</v>
      </c>
      <c r="G14" s="67"/>
    </row>
    <row r="15" spans="1:7" ht="15.75" customHeight="1">
      <c r="A15" s="9" t="s">
        <v>1394</v>
      </c>
      <c r="B15" s="9">
        <v>300</v>
      </c>
      <c r="C15" s="6">
        <v>30205</v>
      </c>
      <c r="D15" s="72" t="s">
        <v>1079</v>
      </c>
      <c r="E15" s="34" t="s">
        <v>1405</v>
      </c>
      <c r="F15" s="68" t="s">
        <v>1411</v>
      </c>
      <c r="G15" s="67"/>
    </row>
    <row r="16" spans="1:7" ht="15.75" customHeight="1">
      <c r="A16" s="9" t="s">
        <v>1394</v>
      </c>
      <c r="B16" s="9">
        <v>300</v>
      </c>
      <c r="C16" s="6">
        <v>30206</v>
      </c>
      <c r="D16" s="72" t="s">
        <v>1079</v>
      </c>
      <c r="E16" s="34" t="s">
        <v>1405</v>
      </c>
      <c r="F16" s="68" t="s">
        <v>1412</v>
      </c>
      <c r="G16" s="67"/>
    </row>
    <row r="17" spans="1:7" ht="15.75" customHeight="1">
      <c r="A17" s="9" t="s">
        <v>1394</v>
      </c>
      <c r="B17" s="9">
        <v>300</v>
      </c>
      <c r="C17" s="6">
        <v>30207</v>
      </c>
      <c r="D17" s="72" t="s">
        <v>1079</v>
      </c>
      <c r="E17" s="34" t="s">
        <v>1405</v>
      </c>
      <c r="F17" s="68" t="s">
        <v>1413</v>
      </c>
      <c r="G17" s="67"/>
    </row>
    <row r="18" spans="1:7" ht="15.75" customHeight="1">
      <c r="A18" s="9" t="s">
        <v>1394</v>
      </c>
      <c r="B18" s="9">
        <v>300</v>
      </c>
      <c r="C18" s="6">
        <v>30208</v>
      </c>
      <c r="D18" s="72" t="s">
        <v>1079</v>
      </c>
      <c r="E18" s="34" t="s">
        <v>1405</v>
      </c>
      <c r="F18" s="68" t="s">
        <v>1414</v>
      </c>
      <c r="G18" s="67"/>
    </row>
    <row r="19" spans="1:7" ht="15.75" customHeight="1">
      <c r="A19" s="9" t="s">
        <v>1394</v>
      </c>
      <c r="B19" s="9">
        <v>300</v>
      </c>
      <c r="C19" s="6">
        <v>30209</v>
      </c>
      <c r="D19" s="72" t="s">
        <v>1079</v>
      </c>
      <c r="E19" s="34" t="s">
        <v>1405</v>
      </c>
      <c r="F19" s="68" t="s">
        <v>1415</v>
      </c>
      <c r="G19" s="67"/>
    </row>
    <row r="20" spans="1:7" ht="15.75" customHeight="1">
      <c r="A20" s="9" t="s">
        <v>1394</v>
      </c>
      <c r="B20" s="9">
        <v>300</v>
      </c>
      <c r="C20" s="6">
        <v>30210</v>
      </c>
      <c r="D20" s="72" t="s">
        <v>1079</v>
      </c>
      <c r="E20" s="34" t="s">
        <v>1405</v>
      </c>
      <c r="F20" s="68" t="s">
        <v>1416</v>
      </c>
      <c r="G20" s="67"/>
    </row>
    <row r="21" spans="1:7" ht="15.75" customHeight="1">
      <c r="A21" s="9" t="s">
        <v>1394</v>
      </c>
      <c r="B21" s="9">
        <v>300</v>
      </c>
      <c r="C21" s="6">
        <v>30211</v>
      </c>
      <c r="D21" s="72" t="s">
        <v>1079</v>
      </c>
      <c r="E21" s="34" t="s">
        <v>1417</v>
      </c>
      <c r="F21" s="68" t="s">
        <v>1418</v>
      </c>
      <c r="G21" s="67"/>
    </row>
    <row r="22" spans="1:7" ht="15.75" customHeight="1">
      <c r="A22" s="9" t="s">
        <v>1394</v>
      </c>
      <c r="B22" s="9">
        <v>300</v>
      </c>
      <c r="C22" s="6">
        <v>30212</v>
      </c>
      <c r="D22" s="72" t="s">
        <v>1079</v>
      </c>
      <c r="E22" s="34" t="s">
        <v>1417</v>
      </c>
      <c r="F22" s="68" t="s">
        <v>1419</v>
      </c>
      <c r="G22" s="67"/>
    </row>
    <row r="23" spans="1:7" ht="15.75" customHeight="1">
      <c r="A23" s="9" t="s">
        <v>1394</v>
      </c>
      <c r="B23" s="9">
        <v>300</v>
      </c>
      <c r="C23" s="6">
        <v>30213</v>
      </c>
      <c r="D23" s="72" t="s">
        <v>1079</v>
      </c>
      <c r="E23" s="34" t="s">
        <v>1417</v>
      </c>
      <c r="F23" s="68" t="s">
        <v>1420</v>
      </c>
      <c r="G23" s="67"/>
    </row>
    <row r="24" spans="1:7" ht="15.75" customHeight="1">
      <c r="A24" s="9" t="s">
        <v>1394</v>
      </c>
      <c r="B24" s="9">
        <v>300</v>
      </c>
      <c r="C24" s="6">
        <v>30214</v>
      </c>
      <c r="D24" s="72" t="s">
        <v>1079</v>
      </c>
      <c r="E24" s="34" t="s">
        <v>1417</v>
      </c>
      <c r="F24" s="68" t="s">
        <v>1421</v>
      </c>
      <c r="G24" s="67"/>
    </row>
    <row r="25" spans="1:7" ht="15.75" customHeight="1">
      <c r="A25" s="9" t="s">
        <v>1394</v>
      </c>
      <c r="B25" s="9">
        <v>300</v>
      </c>
      <c r="C25" s="6">
        <v>30300</v>
      </c>
      <c r="D25" s="72" t="s">
        <v>1079</v>
      </c>
      <c r="E25" s="34" t="s">
        <v>1422</v>
      </c>
      <c r="F25" s="68" t="s">
        <v>1423</v>
      </c>
      <c r="G25" s="67"/>
    </row>
    <row r="26" spans="1:7" ht="15.75" customHeight="1">
      <c r="A26" s="9" t="s">
        <v>1394</v>
      </c>
      <c r="B26" s="9">
        <v>300</v>
      </c>
      <c r="C26" s="6">
        <v>30301</v>
      </c>
      <c r="D26" s="72" t="s">
        <v>1079</v>
      </c>
      <c r="E26" s="34" t="s">
        <v>1422</v>
      </c>
      <c r="F26" s="68" t="s">
        <v>1424</v>
      </c>
      <c r="G26" s="67"/>
    </row>
    <row r="27" spans="1:7" ht="15.75" customHeight="1">
      <c r="A27" s="9" t="s">
        <v>1394</v>
      </c>
      <c r="B27" s="9">
        <v>300</v>
      </c>
      <c r="C27" s="6">
        <v>30302</v>
      </c>
      <c r="D27" s="72" t="s">
        <v>1079</v>
      </c>
      <c r="E27" s="34" t="s">
        <v>1422</v>
      </c>
      <c r="F27" s="68" t="s">
        <v>1409</v>
      </c>
      <c r="G27" s="67"/>
    </row>
    <row r="28" spans="1:7" ht="15.75" customHeight="1">
      <c r="A28" s="9" t="s">
        <v>1394</v>
      </c>
      <c r="B28" s="9">
        <v>300</v>
      </c>
      <c r="C28" s="6">
        <v>30303</v>
      </c>
      <c r="D28" s="72" t="s">
        <v>1079</v>
      </c>
      <c r="E28" s="34" t="s">
        <v>1422</v>
      </c>
      <c r="F28" s="68" t="s">
        <v>1425</v>
      </c>
      <c r="G28" s="67"/>
    </row>
    <row r="29" spans="1:7" ht="15.75" customHeight="1">
      <c r="A29" s="9" t="s">
        <v>1394</v>
      </c>
      <c r="B29" s="9">
        <v>300</v>
      </c>
      <c r="C29" s="6">
        <v>30304</v>
      </c>
      <c r="D29" s="72" t="s">
        <v>1079</v>
      </c>
      <c r="E29" s="34" t="s">
        <v>1422</v>
      </c>
      <c r="F29" s="68" t="s">
        <v>1426</v>
      </c>
      <c r="G29" s="67"/>
    </row>
    <row r="30" spans="1:7" ht="15.75" customHeight="1">
      <c r="A30" s="9" t="s">
        <v>1394</v>
      </c>
      <c r="B30" s="9">
        <v>300</v>
      </c>
      <c r="C30" s="6">
        <v>30305</v>
      </c>
      <c r="D30" s="72" t="s">
        <v>1079</v>
      </c>
      <c r="E30" s="34" t="s">
        <v>1422</v>
      </c>
      <c r="F30" s="68" t="s">
        <v>1427</v>
      </c>
      <c r="G30" s="67"/>
    </row>
    <row r="31" spans="1:7" ht="15.75" customHeight="1">
      <c r="A31" s="9" t="s">
        <v>1394</v>
      </c>
      <c r="B31" s="9">
        <v>300</v>
      </c>
      <c r="C31" s="6">
        <v>30306</v>
      </c>
      <c r="D31" s="72" t="s">
        <v>1079</v>
      </c>
      <c r="E31" s="34" t="s">
        <v>1422</v>
      </c>
      <c r="F31" s="68" t="s">
        <v>1428</v>
      </c>
      <c r="G31" s="67"/>
    </row>
    <row r="32" spans="1:7" ht="15.75" customHeight="1">
      <c r="A32" s="9" t="s">
        <v>1394</v>
      </c>
      <c r="B32" s="9">
        <v>300</v>
      </c>
      <c r="C32" s="6">
        <v>30400</v>
      </c>
      <c r="D32" s="72" t="s">
        <v>1079</v>
      </c>
      <c r="E32" s="34" t="s">
        <v>1429</v>
      </c>
      <c r="F32" s="68" t="s">
        <v>1430</v>
      </c>
      <c r="G32" s="67"/>
    </row>
    <row r="33" spans="1:7" ht="15.75" customHeight="1">
      <c r="A33" s="9" t="s">
        <v>1394</v>
      </c>
      <c r="B33" s="9">
        <v>300</v>
      </c>
      <c r="C33" s="6">
        <v>30401</v>
      </c>
      <c r="D33" s="72" t="s">
        <v>1079</v>
      </c>
      <c r="E33" s="34" t="s">
        <v>1429</v>
      </c>
      <c r="F33" s="68" t="s">
        <v>1431</v>
      </c>
      <c r="G33" s="67"/>
    </row>
    <row r="34" spans="1:7" ht="15.75" customHeight="1">
      <c r="A34" s="9" t="s">
        <v>1394</v>
      </c>
      <c r="B34" s="9">
        <v>300</v>
      </c>
      <c r="C34" s="6">
        <v>30402</v>
      </c>
      <c r="D34" s="72" t="s">
        <v>1079</v>
      </c>
      <c r="E34" s="34" t="s">
        <v>1429</v>
      </c>
      <c r="F34" s="68" t="s">
        <v>1432</v>
      </c>
      <c r="G34" s="67"/>
    </row>
    <row r="35" spans="1:7" ht="15.75" customHeight="1">
      <c r="A35" s="9" t="s">
        <v>1394</v>
      </c>
      <c r="B35" s="9">
        <v>300</v>
      </c>
      <c r="C35" s="6">
        <v>30403</v>
      </c>
      <c r="D35" s="72" t="s">
        <v>1079</v>
      </c>
      <c r="E35" s="34" t="s">
        <v>1429</v>
      </c>
      <c r="F35" s="68" t="s">
        <v>1433</v>
      </c>
      <c r="G35" s="67"/>
    </row>
    <row r="36" spans="1:7" ht="15.75" customHeight="1">
      <c r="A36" s="9" t="s">
        <v>1394</v>
      </c>
      <c r="B36" s="9">
        <v>300</v>
      </c>
      <c r="C36" s="6">
        <v>30404</v>
      </c>
      <c r="D36" s="72" t="s">
        <v>1079</v>
      </c>
      <c r="E36" s="34" t="s">
        <v>1429</v>
      </c>
      <c r="F36" s="68" t="s">
        <v>1434</v>
      </c>
      <c r="G36" s="67"/>
    </row>
    <row r="37" spans="1:7" ht="15.75" customHeight="1">
      <c r="A37" s="9" t="s">
        <v>1394</v>
      </c>
      <c r="B37" s="9">
        <v>300</v>
      </c>
      <c r="C37" s="6">
        <v>30405</v>
      </c>
      <c r="D37" s="72" t="s">
        <v>1079</v>
      </c>
      <c r="E37" s="34" t="s">
        <v>1429</v>
      </c>
      <c r="F37" s="68" t="s">
        <v>1435</v>
      </c>
      <c r="G37" s="67"/>
    </row>
    <row r="38" spans="1:7" ht="15.75" customHeight="1">
      <c r="A38" s="9" t="s">
        <v>1394</v>
      </c>
      <c r="B38" s="9">
        <v>300</v>
      </c>
      <c r="C38" s="6">
        <v>30406</v>
      </c>
      <c r="D38" s="72" t="s">
        <v>1079</v>
      </c>
      <c r="E38" s="34" t="s">
        <v>1429</v>
      </c>
      <c r="F38" s="68" t="s">
        <v>1436</v>
      </c>
      <c r="G38" s="67"/>
    </row>
    <row r="39" spans="1:7" ht="15.75" customHeight="1">
      <c r="A39" s="9" t="s">
        <v>1394</v>
      </c>
      <c r="B39" s="9">
        <v>300</v>
      </c>
      <c r="C39" s="6">
        <v>30407</v>
      </c>
      <c r="D39" s="72" t="s">
        <v>1079</v>
      </c>
      <c r="E39" s="34" t="s">
        <v>1429</v>
      </c>
      <c r="F39" s="68" t="s">
        <v>1437</v>
      </c>
      <c r="G39" s="67"/>
    </row>
    <row r="40" spans="1:7" ht="15.75" customHeight="1">
      <c r="A40" s="9" t="s">
        <v>1394</v>
      </c>
      <c r="B40" s="9">
        <v>300</v>
      </c>
      <c r="C40" s="34">
        <v>30500</v>
      </c>
      <c r="D40" s="72" t="s">
        <v>1079</v>
      </c>
      <c r="E40" s="34" t="s">
        <v>1438</v>
      </c>
      <c r="F40" s="68" t="s">
        <v>1439</v>
      </c>
      <c r="G40" s="67"/>
    </row>
    <row r="41" spans="1:7" ht="15.75" customHeight="1">
      <c r="A41" s="9" t="s">
        <v>1394</v>
      </c>
      <c r="B41" s="9">
        <v>300</v>
      </c>
      <c r="C41" s="34">
        <v>30501</v>
      </c>
      <c r="D41" s="72" t="s">
        <v>1079</v>
      </c>
      <c r="E41" s="34" t="s">
        <v>1438</v>
      </c>
      <c r="F41" s="68" t="s">
        <v>1440</v>
      </c>
      <c r="G41" s="67"/>
    </row>
    <row r="42" spans="1:7" ht="15.75" customHeight="1">
      <c r="A42" s="9" t="s">
        <v>1394</v>
      </c>
      <c r="B42" s="9">
        <v>300</v>
      </c>
      <c r="C42" s="34">
        <v>30502</v>
      </c>
      <c r="D42" s="72" t="s">
        <v>1079</v>
      </c>
      <c r="E42" s="34" t="s">
        <v>1438</v>
      </c>
      <c r="F42" s="68" t="s">
        <v>1441</v>
      </c>
      <c r="G42" s="67"/>
    </row>
    <row r="43" spans="1:7" ht="15.75" customHeight="1">
      <c r="A43" s="9" t="s">
        <v>1394</v>
      </c>
      <c r="B43" s="9">
        <v>300</v>
      </c>
      <c r="C43" s="34">
        <v>30503</v>
      </c>
      <c r="D43" s="72" t="s">
        <v>1079</v>
      </c>
      <c r="E43" s="34" t="s">
        <v>1438</v>
      </c>
      <c r="F43" s="68" t="s">
        <v>1442</v>
      </c>
      <c r="G43" s="67"/>
    </row>
    <row r="44" spans="1:7" ht="15.75" customHeight="1">
      <c r="A44" s="9" t="s">
        <v>1394</v>
      </c>
      <c r="B44" s="9">
        <v>300</v>
      </c>
      <c r="C44" s="34">
        <v>30504</v>
      </c>
      <c r="D44" s="72" t="s">
        <v>1079</v>
      </c>
      <c r="E44" s="34" t="s">
        <v>1438</v>
      </c>
      <c r="F44" s="68" t="s">
        <v>1443</v>
      </c>
      <c r="G44" s="67"/>
    </row>
    <row r="45" spans="1:7" ht="15.75" customHeight="1">
      <c r="A45" s="9" t="s">
        <v>1394</v>
      </c>
      <c r="B45" s="9">
        <v>300</v>
      </c>
      <c r="C45" s="34">
        <v>30505</v>
      </c>
      <c r="D45" s="72" t="s">
        <v>1079</v>
      </c>
      <c r="E45" s="34" t="s">
        <v>1438</v>
      </c>
      <c r="F45" s="68" t="s">
        <v>1444</v>
      </c>
      <c r="G45" s="67"/>
    </row>
    <row r="46" spans="1:7" ht="15.75" customHeight="1">
      <c r="A46" s="9" t="s">
        <v>1394</v>
      </c>
      <c r="B46" s="9">
        <v>300</v>
      </c>
      <c r="C46" s="34">
        <v>30506</v>
      </c>
      <c r="D46" s="72" t="s">
        <v>1079</v>
      </c>
      <c r="E46" s="34" t="s">
        <v>1438</v>
      </c>
      <c r="F46" s="68" t="s">
        <v>1445</v>
      </c>
      <c r="G46" s="67"/>
    </row>
    <row r="47" spans="1:7" ht="15.75" customHeight="1">
      <c r="A47" s="9" t="s">
        <v>1394</v>
      </c>
      <c r="B47" s="9">
        <v>300</v>
      </c>
      <c r="C47" s="34">
        <v>30507</v>
      </c>
      <c r="D47" s="72" t="s">
        <v>1079</v>
      </c>
      <c r="E47" s="34" t="s">
        <v>1438</v>
      </c>
      <c r="F47" s="68" t="s">
        <v>1446</v>
      </c>
      <c r="G47" s="67"/>
    </row>
    <row r="48" spans="1:7" ht="15.75" customHeight="1">
      <c r="A48" s="9" t="s">
        <v>1394</v>
      </c>
      <c r="B48" s="9">
        <v>300</v>
      </c>
      <c r="C48" s="34">
        <v>30508</v>
      </c>
      <c r="D48" s="72" t="s">
        <v>1079</v>
      </c>
      <c r="E48" s="34" t="s">
        <v>1438</v>
      </c>
      <c r="F48" s="68" t="s">
        <v>1447</v>
      </c>
      <c r="G48" s="67"/>
    </row>
    <row r="49" spans="1:7" ht="15.75" customHeight="1">
      <c r="A49" s="9" t="s">
        <v>1394</v>
      </c>
      <c r="B49" s="9">
        <v>300</v>
      </c>
      <c r="C49" s="34">
        <v>30509</v>
      </c>
      <c r="D49" s="72" t="s">
        <v>1079</v>
      </c>
      <c r="E49" s="34" t="s">
        <v>1438</v>
      </c>
      <c r="F49" s="68" t="s">
        <v>1448</v>
      </c>
      <c r="G49" s="67"/>
    </row>
    <row r="50" spans="1:7" ht="15.75" customHeight="1">
      <c r="A50" s="9" t="s">
        <v>1394</v>
      </c>
      <c r="B50" s="9">
        <v>300</v>
      </c>
      <c r="C50" s="34">
        <v>30510</v>
      </c>
      <c r="D50" s="72" t="s">
        <v>1079</v>
      </c>
      <c r="E50" s="34" t="s">
        <v>1438</v>
      </c>
      <c r="F50" s="68" t="s">
        <v>1449</v>
      </c>
      <c r="G50" s="67"/>
    </row>
    <row r="51" spans="1:7" ht="15.75" customHeight="1">
      <c r="A51" s="9" t="s">
        <v>1394</v>
      </c>
      <c r="B51" s="9">
        <v>300</v>
      </c>
      <c r="C51" s="34">
        <v>30511</v>
      </c>
      <c r="D51" s="72" t="s">
        <v>1079</v>
      </c>
      <c r="E51" s="34" t="s">
        <v>1438</v>
      </c>
      <c r="F51" s="68" t="s">
        <v>1450</v>
      </c>
      <c r="G51" s="67"/>
    </row>
    <row r="52" spans="1:7" ht="15.75" customHeight="1">
      <c r="A52" s="9" t="s">
        <v>1394</v>
      </c>
      <c r="B52" s="9">
        <v>300</v>
      </c>
      <c r="C52" s="32">
        <v>30512</v>
      </c>
      <c r="D52" s="72" t="s">
        <v>1079</v>
      </c>
      <c r="E52" s="57" t="s">
        <v>1451</v>
      </c>
      <c r="F52" s="68" t="s">
        <v>1452</v>
      </c>
      <c r="G52" s="67"/>
    </row>
    <row r="53" spans="1:7" ht="15.75" customHeight="1">
      <c r="A53" s="9" t="s">
        <v>1394</v>
      </c>
      <c r="B53" s="9">
        <v>300</v>
      </c>
      <c r="C53" s="32">
        <v>30513</v>
      </c>
      <c r="D53" s="72" t="s">
        <v>1079</v>
      </c>
      <c r="E53" s="57" t="s">
        <v>1451</v>
      </c>
      <c r="F53" s="68" t="s">
        <v>1453</v>
      </c>
      <c r="G53" s="67"/>
    </row>
    <row r="54" spans="1:7" ht="15.75" customHeight="1">
      <c r="A54" s="9" t="s">
        <v>1394</v>
      </c>
      <c r="B54" s="9">
        <v>300</v>
      </c>
      <c r="C54" s="32">
        <v>30514</v>
      </c>
      <c r="D54" s="72" t="s">
        <v>1079</v>
      </c>
      <c r="E54" s="57" t="s">
        <v>1451</v>
      </c>
      <c r="F54" s="68" t="s">
        <v>1454</v>
      </c>
      <c r="G54" s="67"/>
    </row>
    <row r="55" spans="1:7" ht="15.75" customHeight="1">
      <c r="A55" s="9" t="s">
        <v>1394</v>
      </c>
      <c r="B55" s="9">
        <v>300</v>
      </c>
      <c r="C55" s="32">
        <v>30600</v>
      </c>
      <c r="D55" s="72" t="s">
        <v>1079</v>
      </c>
      <c r="E55" s="32" t="s">
        <v>1455</v>
      </c>
      <c r="F55" s="68" t="s">
        <v>1456</v>
      </c>
      <c r="G55" s="67"/>
    </row>
    <row r="56" spans="1:7" ht="15.75" customHeight="1">
      <c r="A56" s="9" t="s">
        <v>1394</v>
      </c>
      <c r="B56" s="9">
        <v>300</v>
      </c>
      <c r="C56" s="32">
        <v>30601</v>
      </c>
      <c r="D56" s="72" t="s">
        <v>1079</v>
      </c>
      <c r="E56" s="32" t="s">
        <v>1455</v>
      </c>
      <c r="F56" s="68" t="s">
        <v>1457</v>
      </c>
      <c r="G56" s="67"/>
    </row>
    <row r="57" spans="1:7" ht="15.75" customHeight="1">
      <c r="A57" s="9" t="s">
        <v>1394</v>
      </c>
      <c r="B57" s="9">
        <v>300</v>
      </c>
      <c r="C57" s="32">
        <v>30602</v>
      </c>
      <c r="D57" s="72" t="s">
        <v>1079</v>
      </c>
      <c r="E57" s="32" t="s">
        <v>1455</v>
      </c>
      <c r="F57" s="68" t="s">
        <v>1458</v>
      </c>
      <c r="G57" s="67"/>
    </row>
    <row r="58" spans="1:7" ht="15.75" customHeight="1">
      <c r="A58" s="9" t="s">
        <v>1394</v>
      </c>
      <c r="B58" s="9">
        <v>300</v>
      </c>
      <c r="C58" s="32">
        <v>30603</v>
      </c>
      <c r="D58" s="72" t="s">
        <v>1079</v>
      </c>
      <c r="E58" s="32" t="s">
        <v>1455</v>
      </c>
      <c r="F58" s="68" t="s">
        <v>1459</v>
      </c>
      <c r="G58" s="67"/>
    </row>
    <row r="59" spans="1:7" ht="15.75" customHeight="1">
      <c r="A59" s="9" t="s">
        <v>1394</v>
      </c>
      <c r="B59" s="9">
        <v>300</v>
      </c>
      <c r="C59" s="32">
        <v>30604</v>
      </c>
      <c r="D59" s="72" t="s">
        <v>1079</v>
      </c>
      <c r="E59" s="32" t="s">
        <v>1455</v>
      </c>
      <c r="F59" s="68" t="s">
        <v>1460</v>
      </c>
      <c r="G59" s="67"/>
    </row>
    <row r="60" spans="1:7" ht="15.75" customHeight="1">
      <c r="A60" s="9" t="s">
        <v>1394</v>
      </c>
      <c r="B60" s="9">
        <v>300</v>
      </c>
      <c r="C60" s="32">
        <v>30605</v>
      </c>
      <c r="D60" s="72" t="s">
        <v>1079</v>
      </c>
      <c r="E60" s="32" t="s">
        <v>1455</v>
      </c>
      <c r="F60" s="73" t="s">
        <v>1461</v>
      </c>
      <c r="G60" s="67"/>
    </row>
    <row r="61" spans="1:7" ht="15.75" customHeight="1">
      <c r="A61" s="9" t="s">
        <v>1394</v>
      </c>
      <c r="B61" s="9">
        <v>300</v>
      </c>
      <c r="C61" s="32">
        <v>30700</v>
      </c>
      <c r="D61" s="72" t="s">
        <v>1079</v>
      </c>
      <c r="E61" s="56" t="s">
        <v>1462</v>
      </c>
      <c r="F61" s="68" t="s">
        <v>1463</v>
      </c>
      <c r="G61" s="67"/>
    </row>
    <row r="62" spans="1:7" ht="15.75" customHeight="1">
      <c r="A62" s="9" t="s">
        <v>1394</v>
      </c>
      <c r="B62" s="9">
        <v>300</v>
      </c>
      <c r="C62" s="32">
        <v>30701</v>
      </c>
      <c r="D62" s="72" t="s">
        <v>1079</v>
      </c>
      <c r="E62" s="56" t="s">
        <v>1462</v>
      </c>
      <c r="F62" s="68" t="s">
        <v>1464</v>
      </c>
      <c r="G62" s="67"/>
    </row>
    <row r="63" spans="1:7" ht="15.75" customHeight="1">
      <c r="A63" s="9" t="s">
        <v>1394</v>
      </c>
      <c r="B63" s="9">
        <v>300</v>
      </c>
      <c r="C63" s="32">
        <v>30702</v>
      </c>
      <c r="D63" s="72" t="s">
        <v>1079</v>
      </c>
      <c r="E63" s="56" t="s">
        <v>1462</v>
      </c>
      <c r="F63" s="68" t="s">
        <v>1465</v>
      </c>
      <c r="G63" s="67"/>
    </row>
    <row r="64" spans="1:7" ht="15.75" customHeight="1">
      <c r="A64" s="9" t="s">
        <v>1394</v>
      </c>
      <c r="B64" s="9">
        <v>300</v>
      </c>
      <c r="C64" s="32">
        <v>30703</v>
      </c>
      <c r="D64" s="72" t="s">
        <v>1079</v>
      </c>
      <c r="E64" s="56" t="s">
        <v>1462</v>
      </c>
      <c r="F64" s="68" t="s">
        <v>1466</v>
      </c>
      <c r="G64" s="67"/>
    </row>
    <row r="65" spans="1:7" ht="15.75" customHeight="1">
      <c r="A65" s="9" t="s">
        <v>1394</v>
      </c>
      <c r="B65" s="9">
        <v>300</v>
      </c>
      <c r="C65" s="32">
        <v>30704</v>
      </c>
      <c r="D65" s="72" t="s">
        <v>1079</v>
      </c>
      <c r="E65" s="56" t="s">
        <v>1462</v>
      </c>
      <c r="F65" s="68" t="s">
        <v>1467</v>
      </c>
      <c r="G65" s="67"/>
    </row>
    <row r="66" spans="1:7" ht="15.75" customHeight="1">
      <c r="A66" s="9" t="s">
        <v>1394</v>
      </c>
      <c r="B66" s="9">
        <v>300</v>
      </c>
      <c r="C66" s="32">
        <v>30800</v>
      </c>
      <c r="D66" s="72" t="s">
        <v>1079</v>
      </c>
      <c r="E66" s="56" t="s">
        <v>1468</v>
      </c>
      <c r="F66" s="68" t="s">
        <v>1469</v>
      </c>
      <c r="G66" s="67"/>
    </row>
    <row r="67" spans="1:7" ht="15.75" customHeight="1">
      <c r="A67" s="9" t="s">
        <v>1394</v>
      </c>
      <c r="B67" s="9">
        <v>300</v>
      </c>
      <c r="C67" s="32">
        <v>30801</v>
      </c>
      <c r="D67" s="72" t="s">
        <v>1079</v>
      </c>
      <c r="E67" s="56" t="s">
        <v>1468</v>
      </c>
      <c r="F67" s="68" t="s">
        <v>1470</v>
      </c>
      <c r="G67" s="67"/>
    </row>
    <row r="68" spans="1:7" ht="15.75" customHeight="1">
      <c r="A68" s="9" t="s">
        <v>1394</v>
      </c>
      <c r="B68" s="9">
        <v>300</v>
      </c>
      <c r="C68" s="32">
        <v>30802</v>
      </c>
      <c r="D68" s="72" t="s">
        <v>1079</v>
      </c>
      <c r="E68" s="56" t="s">
        <v>1468</v>
      </c>
      <c r="F68" s="68" t="s">
        <v>1471</v>
      </c>
      <c r="G68" s="67"/>
    </row>
    <row r="69" spans="1:7" ht="15.75" customHeight="1">
      <c r="A69" s="9" t="s">
        <v>1394</v>
      </c>
      <c r="B69" s="9">
        <v>300</v>
      </c>
      <c r="C69" s="32">
        <v>30803</v>
      </c>
      <c r="D69" s="72" t="s">
        <v>1079</v>
      </c>
      <c r="E69" s="56" t="s">
        <v>1468</v>
      </c>
      <c r="F69" s="68" t="s">
        <v>1472</v>
      </c>
      <c r="G69" s="67"/>
    </row>
    <row r="70" spans="1:7" ht="15.75" customHeight="1">
      <c r="A70" s="9" t="s">
        <v>1394</v>
      </c>
      <c r="B70" s="9">
        <v>300</v>
      </c>
      <c r="C70" s="32">
        <v>30900</v>
      </c>
      <c r="D70" s="72" t="s">
        <v>1079</v>
      </c>
      <c r="E70" s="56" t="s">
        <v>1473</v>
      </c>
      <c r="F70" s="68" t="s">
        <v>1474</v>
      </c>
      <c r="G70" s="67"/>
    </row>
    <row r="71" spans="1:7" ht="15.75" customHeight="1">
      <c r="A71" s="9" t="s">
        <v>1394</v>
      </c>
      <c r="B71" s="9">
        <v>300</v>
      </c>
      <c r="C71" s="32">
        <v>30901</v>
      </c>
      <c r="D71" s="72" t="s">
        <v>1079</v>
      </c>
      <c r="E71" s="56" t="s">
        <v>1473</v>
      </c>
      <c r="F71" s="68" t="s">
        <v>1475</v>
      </c>
      <c r="G71" s="67"/>
    </row>
    <row r="72" spans="1:7" ht="15.75" customHeight="1">
      <c r="A72" s="9" t="s">
        <v>1394</v>
      </c>
      <c r="B72" s="9">
        <v>300</v>
      </c>
      <c r="C72" s="32">
        <v>30902</v>
      </c>
      <c r="D72" s="72" t="s">
        <v>1079</v>
      </c>
      <c r="E72" s="56" t="s">
        <v>1473</v>
      </c>
      <c r="F72" s="68" t="s">
        <v>1476</v>
      </c>
      <c r="G72" s="67"/>
    </row>
    <row r="73" spans="1:7" ht="15.75" customHeight="1">
      <c r="A73" s="9" t="s">
        <v>1394</v>
      </c>
      <c r="B73" s="9">
        <v>300</v>
      </c>
      <c r="C73" s="32">
        <v>30903</v>
      </c>
      <c r="D73" s="72" t="s">
        <v>1079</v>
      </c>
      <c r="E73" s="56" t="s">
        <v>1473</v>
      </c>
      <c r="F73" s="68" t="s">
        <v>1477</v>
      </c>
      <c r="G73" s="67"/>
    </row>
    <row r="74" spans="1:7" ht="15.75" customHeight="1">
      <c r="A74" s="9" t="s">
        <v>1394</v>
      </c>
      <c r="B74" s="9">
        <v>300</v>
      </c>
      <c r="C74" s="32">
        <v>30904</v>
      </c>
      <c r="D74" s="72" t="s">
        <v>1079</v>
      </c>
      <c r="E74" s="56" t="s">
        <v>1473</v>
      </c>
      <c r="F74" s="68" t="s">
        <v>1478</v>
      </c>
      <c r="G74" s="67"/>
    </row>
    <row r="75" spans="1:7" ht="15.75" customHeight="1">
      <c r="A75" s="9" t="s">
        <v>1394</v>
      </c>
      <c r="B75" s="9">
        <v>300</v>
      </c>
      <c r="C75" s="32">
        <v>31000</v>
      </c>
      <c r="D75" s="72" t="s">
        <v>1079</v>
      </c>
      <c r="E75" s="56" t="s">
        <v>1479</v>
      </c>
      <c r="F75" s="68" t="s">
        <v>1480</v>
      </c>
      <c r="G75" s="67"/>
    </row>
    <row r="76" spans="1:7" ht="15.75" customHeight="1">
      <c r="A76" s="9" t="s">
        <v>1394</v>
      </c>
      <c r="B76" s="9">
        <v>300</v>
      </c>
      <c r="C76" s="32">
        <v>31001</v>
      </c>
      <c r="D76" s="72" t="s">
        <v>1079</v>
      </c>
      <c r="E76" s="56" t="s">
        <v>1479</v>
      </c>
      <c r="F76" s="68" t="s">
        <v>1481</v>
      </c>
      <c r="G76" s="67"/>
    </row>
    <row r="77" spans="1:7" ht="15.75" customHeight="1">
      <c r="A77" s="9" t="s">
        <v>1394</v>
      </c>
      <c r="B77" s="9">
        <v>300</v>
      </c>
      <c r="C77" s="32">
        <v>31002</v>
      </c>
      <c r="D77" s="72" t="s">
        <v>1079</v>
      </c>
      <c r="E77" s="56" t="s">
        <v>1479</v>
      </c>
      <c r="F77" s="68" t="s">
        <v>1482</v>
      </c>
      <c r="G77" s="67"/>
    </row>
    <row r="78" spans="1:7" ht="15.75" customHeight="1">
      <c r="A78" s="9" t="s">
        <v>1394</v>
      </c>
      <c r="B78" s="9">
        <v>300</v>
      </c>
      <c r="C78" s="32">
        <v>32000</v>
      </c>
      <c r="D78" s="72" t="s">
        <v>1079</v>
      </c>
      <c r="E78" s="56" t="s">
        <v>1483</v>
      </c>
      <c r="F78" s="68" t="s">
        <v>1484</v>
      </c>
      <c r="G78" s="67"/>
    </row>
    <row r="79" spans="1:7" ht="15.75" customHeight="1">
      <c r="A79" s="9" t="s">
        <v>1394</v>
      </c>
      <c r="B79" s="9">
        <v>300</v>
      </c>
      <c r="C79" s="32">
        <v>32001</v>
      </c>
      <c r="D79" s="72" t="s">
        <v>1079</v>
      </c>
      <c r="E79" s="56" t="s">
        <v>1483</v>
      </c>
      <c r="F79" s="68" t="s">
        <v>1485</v>
      </c>
      <c r="G79" s="67"/>
    </row>
    <row r="80" spans="1:7" ht="15.75" customHeight="1">
      <c r="A80" s="9" t="s">
        <v>1394</v>
      </c>
      <c r="B80" s="9">
        <v>300</v>
      </c>
      <c r="C80" s="32">
        <v>33000</v>
      </c>
      <c r="D80" s="72" t="s">
        <v>1079</v>
      </c>
      <c r="E80" s="56" t="s">
        <v>1486</v>
      </c>
      <c r="F80" s="68" t="s">
        <v>1487</v>
      </c>
      <c r="G80" s="67"/>
    </row>
    <row r="81" spans="1:7" ht="15.75" customHeight="1">
      <c r="A81" s="9" t="s">
        <v>1394</v>
      </c>
      <c r="B81" s="9">
        <v>300</v>
      </c>
      <c r="C81" s="32">
        <v>33001</v>
      </c>
      <c r="D81" s="72" t="s">
        <v>1079</v>
      </c>
      <c r="E81" s="56" t="s">
        <v>1488</v>
      </c>
      <c r="F81" s="68" t="s">
        <v>1489</v>
      </c>
      <c r="G81" s="67"/>
    </row>
    <row r="82" spans="1:7" ht="15.75" customHeight="1">
      <c r="A82" s="9" t="s">
        <v>1394</v>
      </c>
      <c r="B82" s="9">
        <v>300</v>
      </c>
      <c r="C82" s="32">
        <v>33002</v>
      </c>
      <c r="D82" s="72" t="s">
        <v>1079</v>
      </c>
      <c r="E82" s="56" t="s">
        <v>1490</v>
      </c>
      <c r="F82" s="68" t="s">
        <v>1491</v>
      </c>
      <c r="G82" s="67"/>
    </row>
    <row r="83" spans="1:7" ht="15.75" customHeight="1">
      <c r="A83" s="9" t="s">
        <v>1394</v>
      </c>
      <c r="B83" s="9">
        <v>300</v>
      </c>
      <c r="C83" s="32">
        <v>33003</v>
      </c>
      <c r="D83" s="72" t="s">
        <v>1079</v>
      </c>
      <c r="E83" s="57" t="s">
        <v>1492</v>
      </c>
      <c r="F83" s="68" t="s">
        <v>1493</v>
      </c>
      <c r="G83" s="67"/>
    </row>
    <row r="84" spans="1:7" ht="15.75" customHeight="1">
      <c r="A84" s="9" t="s">
        <v>1394</v>
      </c>
      <c r="B84" s="9">
        <v>300</v>
      </c>
      <c r="C84" s="32">
        <v>33004</v>
      </c>
      <c r="D84" s="72" t="s">
        <v>1079</v>
      </c>
      <c r="E84" s="56" t="s">
        <v>1494</v>
      </c>
      <c r="F84" s="68" t="s">
        <v>1495</v>
      </c>
      <c r="G84" s="67"/>
    </row>
    <row r="85" spans="1:7" ht="15.75" customHeight="1">
      <c r="A85" s="9" t="s">
        <v>1394</v>
      </c>
      <c r="B85" s="9">
        <v>300</v>
      </c>
      <c r="C85" s="32">
        <v>33005</v>
      </c>
      <c r="D85" s="72" t="s">
        <v>1079</v>
      </c>
      <c r="E85" s="56" t="s">
        <v>1494</v>
      </c>
      <c r="F85" s="68" t="s">
        <v>1496</v>
      </c>
      <c r="G85" s="67"/>
    </row>
    <row r="86" spans="1:7" ht="15.75" customHeight="1">
      <c r="A86" s="9" t="s">
        <v>1394</v>
      </c>
      <c r="B86" s="9">
        <v>300</v>
      </c>
      <c r="C86" s="32">
        <v>34000</v>
      </c>
      <c r="D86" s="72" t="s">
        <v>1079</v>
      </c>
      <c r="E86" s="6" t="s">
        <v>1497</v>
      </c>
      <c r="F86" s="74" t="s">
        <v>1498</v>
      </c>
      <c r="G86" s="75"/>
    </row>
    <row r="87" spans="1:7" ht="15.75" customHeight="1">
      <c r="A87" s="9" t="s">
        <v>1394</v>
      </c>
      <c r="B87" s="9">
        <v>300</v>
      </c>
      <c r="C87" s="32">
        <v>34001</v>
      </c>
      <c r="D87" s="72" t="s">
        <v>1079</v>
      </c>
      <c r="E87" s="6" t="s">
        <v>1497</v>
      </c>
      <c r="F87" s="68" t="s">
        <v>1499</v>
      </c>
      <c r="G87" s="67"/>
    </row>
    <row r="88" spans="1:7" ht="15.75" customHeight="1">
      <c r="A88" s="9" t="s">
        <v>1394</v>
      </c>
      <c r="B88" s="9">
        <v>300</v>
      </c>
      <c r="C88" s="32">
        <v>35000</v>
      </c>
      <c r="D88" s="72" t="s">
        <v>1079</v>
      </c>
      <c r="E88" s="56" t="s">
        <v>1500</v>
      </c>
      <c r="F88" s="68" t="s">
        <v>1501</v>
      </c>
      <c r="G88" s="67"/>
    </row>
    <row r="89" spans="1:7" ht="15.75" customHeight="1">
      <c r="A89" s="9" t="s">
        <v>1394</v>
      </c>
      <c r="B89" s="9">
        <v>300</v>
      </c>
      <c r="C89" s="32">
        <v>35001</v>
      </c>
      <c r="D89" s="72" t="s">
        <v>1079</v>
      </c>
      <c r="E89" s="56" t="s">
        <v>1502</v>
      </c>
      <c r="F89" s="68" t="s">
        <v>1503</v>
      </c>
      <c r="G89" s="67"/>
    </row>
    <row r="90" spans="1:7" ht="15.75" customHeight="1">
      <c r="A90" s="9" t="s">
        <v>1394</v>
      </c>
      <c r="B90" s="9">
        <v>300</v>
      </c>
      <c r="C90" s="32">
        <v>35002</v>
      </c>
      <c r="D90" s="72" t="s">
        <v>1079</v>
      </c>
      <c r="E90" s="56" t="s">
        <v>1502</v>
      </c>
      <c r="F90" s="68" t="s">
        <v>1504</v>
      </c>
      <c r="G90" s="67"/>
    </row>
    <row r="91" spans="1:7" ht="15.75" customHeight="1">
      <c r="A91" s="9" t="s">
        <v>1394</v>
      </c>
      <c r="B91" s="9">
        <v>300</v>
      </c>
      <c r="C91" s="32">
        <v>35003</v>
      </c>
      <c r="D91" s="72" t="s">
        <v>1079</v>
      </c>
      <c r="E91" s="56" t="s">
        <v>1502</v>
      </c>
      <c r="F91" s="68" t="s">
        <v>1505</v>
      </c>
      <c r="G91" s="67"/>
    </row>
    <row r="92" spans="1:7" ht="15.75" customHeight="1">
      <c r="A92" s="9" t="s">
        <v>1394</v>
      </c>
      <c r="B92" s="9">
        <v>300</v>
      </c>
      <c r="C92" s="32">
        <v>35004</v>
      </c>
      <c r="D92" s="72" t="s">
        <v>1079</v>
      </c>
      <c r="E92" s="56" t="s">
        <v>1502</v>
      </c>
      <c r="F92" s="68" t="s">
        <v>1506</v>
      </c>
      <c r="G92" s="67"/>
    </row>
    <row r="93" spans="1:7" ht="15.75" customHeight="1">
      <c r="A93" s="9" t="s">
        <v>1394</v>
      </c>
      <c r="B93" s="9">
        <v>300</v>
      </c>
      <c r="C93" s="32">
        <v>35005</v>
      </c>
      <c r="D93" s="72" t="s">
        <v>1079</v>
      </c>
      <c r="E93" s="56" t="s">
        <v>1502</v>
      </c>
      <c r="F93" s="68" t="s">
        <v>1507</v>
      </c>
      <c r="G93" s="67"/>
    </row>
    <row r="94" spans="1:7" ht="15.75" customHeight="1">
      <c r="A94" s="9" t="s">
        <v>1394</v>
      </c>
      <c r="B94" s="9">
        <v>300</v>
      </c>
      <c r="C94" s="32">
        <v>35006</v>
      </c>
      <c r="D94" s="72" t="s">
        <v>1079</v>
      </c>
      <c r="E94" s="56" t="s">
        <v>1502</v>
      </c>
      <c r="F94" s="68" t="s">
        <v>1508</v>
      </c>
      <c r="G94" s="67"/>
    </row>
    <row r="95" spans="1:7" ht="15.75" customHeight="1">
      <c r="A95" s="9" t="s">
        <v>1394</v>
      </c>
      <c r="B95" s="9">
        <v>300</v>
      </c>
      <c r="C95" s="32">
        <v>35007</v>
      </c>
      <c r="D95" s="72" t="s">
        <v>1079</v>
      </c>
      <c r="E95" s="56" t="s">
        <v>1502</v>
      </c>
      <c r="F95" s="68" t="s">
        <v>1509</v>
      </c>
      <c r="G95" s="67"/>
    </row>
    <row r="96" spans="1:7" ht="15.75" customHeight="1">
      <c r="A96" s="9" t="s">
        <v>1394</v>
      </c>
      <c r="B96" s="9">
        <v>300</v>
      </c>
      <c r="C96" s="32">
        <v>36000</v>
      </c>
      <c r="D96" s="72" t="s">
        <v>1079</v>
      </c>
      <c r="E96" s="32" t="s">
        <v>1510</v>
      </c>
      <c r="F96" s="68" t="s">
        <v>1511</v>
      </c>
      <c r="G96" s="67"/>
    </row>
    <row r="97" spans="1:7" ht="15.75" customHeight="1">
      <c r="A97" s="9" t="s">
        <v>1394</v>
      </c>
      <c r="B97" s="9">
        <v>300</v>
      </c>
      <c r="C97" s="32">
        <v>36001</v>
      </c>
      <c r="D97" s="72" t="s">
        <v>1079</v>
      </c>
      <c r="E97" s="32" t="s">
        <v>1510</v>
      </c>
      <c r="F97" s="68" t="s">
        <v>1512</v>
      </c>
      <c r="G97" s="67"/>
    </row>
    <row r="98" spans="1:7" ht="15.75" customHeight="1">
      <c r="A98" s="9" t="s">
        <v>1394</v>
      </c>
      <c r="B98" s="9">
        <v>300</v>
      </c>
      <c r="C98" s="32">
        <v>36002</v>
      </c>
      <c r="D98" s="72" t="s">
        <v>1079</v>
      </c>
      <c r="E98" s="32" t="s">
        <v>1510</v>
      </c>
      <c r="F98" s="68" t="s">
        <v>1513</v>
      </c>
      <c r="G98" s="67"/>
    </row>
    <row r="99" spans="1:7" ht="15.75" customHeight="1">
      <c r="A99" s="9" t="s">
        <v>1394</v>
      </c>
      <c r="B99" s="9">
        <v>300</v>
      </c>
      <c r="C99" s="32">
        <v>36003</v>
      </c>
      <c r="D99" s="72" t="s">
        <v>1079</v>
      </c>
      <c r="E99" s="32" t="s">
        <v>1510</v>
      </c>
      <c r="F99" s="68" t="s">
        <v>1514</v>
      </c>
      <c r="G99" s="67"/>
    </row>
    <row r="100" spans="1:7" ht="15.75" customHeight="1">
      <c r="A100" s="9" t="s">
        <v>1394</v>
      </c>
      <c r="B100" s="9">
        <v>300</v>
      </c>
      <c r="C100" s="32">
        <v>36004</v>
      </c>
      <c r="D100" s="72" t="s">
        <v>1079</v>
      </c>
      <c r="E100" s="32" t="s">
        <v>1510</v>
      </c>
      <c r="F100" s="68" t="s">
        <v>1515</v>
      </c>
      <c r="G100" s="67"/>
    </row>
    <row r="101" spans="1:7" ht="15.75" customHeight="1">
      <c r="A101" s="9" t="s">
        <v>1394</v>
      </c>
      <c r="B101" s="9">
        <v>300</v>
      </c>
      <c r="C101" s="32">
        <v>36005</v>
      </c>
      <c r="D101" s="72" t="s">
        <v>1079</v>
      </c>
      <c r="E101" s="32" t="s">
        <v>1510</v>
      </c>
      <c r="F101" s="68" t="s">
        <v>1516</v>
      </c>
      <c r="G101" s="67"/>
    </row>
    <row r="102" spans="1:7" ht="15.75" customHeight="1">
      <c r="A102" s="9" t="s">
        <v>1394</v>
      </c>
      <c r="B102" s="9">
        <v>300</v>
      </c>
      <c r="C102" s="32">
        <v>36006</v>
      </c>
      <c r="D102" s="72" t="s">
        <v>1079</v>
      </c>
      <c r="E102" s="32" t="s">
        <v>1510</v>
      </c>
      <c r="F102" s="68" t="s">
        <v>1517</v>
      </c>
      <c r="G102" s="67"/>
    </row>
    <row r="103" spans="1:7" ht="15.75" customHeight="1">
      <c r="A103" s="9" t="s">
        <v>1394</v>
      </c>
      <c r="B103" s="9">
        <v>300</v>
      </c>
      <c r="C103" s="32">
        <v>36007</v>
      </c>
      <c r="D103" s="72" t="s">
        <v>1079</v>
      </c>
      <c r="E103" s="32" t="s">
        <v>1510</v>
      </c>
      <c r="F103" s="68" t="s">
        <v>1518</v>
      </c>
      <c r="G103" s="67"/>
    </row>
    <row r="104" spans="1:7" ht="15.75" customHeight="1">
      <c r="A104" s="9" t="s">
        <v>1394</v>
      </c>
      <c r="B104" s="9">
        <v>300</v>
      </c>
      <c r="C104" s="32">
        <v>36008</v>
      </c>
      <c r="D104" s="72" t="s">
        <v>1079</v>
      </c>
      <c r="E104" s="32" t="s">
        <v>1510</v>
      </c>
      <c r="F104" s="68" t="s">
        <v>1519</v>
      </c>
      <c r="G104" s="67"/>
    </row>
    <row r="105" spans="1:7" ht="15.75" customHeight="1">
      <c r="A105" s="9" t="s">
        <v>1394</v>
      </c>
      <c r="B105" s="9">
        <v>300</v>
      </c>
      <c r="C105" s="32">
        <v>36009</v>
      </c>
      <c r="D105" s="72" t="s">
        <v>1079</v>
      </c>
      <c r="E105" s="32" t="s">
        <v>1510</v>
      </c>
      <c r="F105" s="68" t="s">
        <v>1520</v>
      </c>
      <c r="G105" s="67"/>
    </row>
    <row r="106" spans="1:7" ht="15.75" customHeight="1">
      <c r="A106" s="9" t="s">
        <v>1394</v>
      </c>
      <c r="B106" s="9">
        <v>300</v>
      </c>
      <c r="C106" s="32">
        <v>36010</v>
      </c>
      <c r="D106" s="72" t="s">
        <v>1079</v>
      </c>
      <c r="E106" s="32" t="s">
        <v>1510</v>
      </c>
      <c r="F106" s="68" t="s">
        <v>1521</v>
      </c>
      <c r="G106" s="67"/>
    </row>
    <row r="107" spans="1:7" ht="15.75" customHeight="1">
      <c r="A107" s="9" t="s">
        <v>1394</v>
      </c>
      <c r="B107" s="9">
        <v>300</v>
      </c>
      <c r="C107" s="32">
        <v>36011</v>
      </c>
      <c r="D107" s="72" t="s">
        <v>1079</v>
      </c>
      <c r="E107" s="32" t="s">
        <v>1510</v>
      </c>
      <c r="F107" s="68" t="s">
        <v>1522</v>
      </c>
      <c r="G107" s="67"/>
    </row>
    <row r="108" spans="1:7" ht="15.75" customHeight="1">
      <c r="A108" s="9" t="s">
        <v>1394</v>
      </c>
      <c r="B108" s="9">
        <v>300</v>
      </c>
      <c r="C108" s="32">
        <v>37000</v>
      </c>
      <c r="D108" s="72" t="s">
        <v>1079</v>
      </c>
      <c r="E108" s="32" t="s">
        <v>1523</v>
      </c>
      <c r="F108" s="68" t="s">
        <v>1524</v>
      </c>
      <c r="G108" s="67"/>
    </row>
    <row r="109" spans="1:7" ht="15.75" customHeight="1">
      <c r="A109" s="9" t="s">
        <v>1394</v>
      </c>
      <c r="B109" s="9">
        <v>300</v>
      </c>
      <c r="C109" s="32">
        <v>37001</v>
      </c>
      <c r="D109" s="72" t="s">
        <v>1079</v>
      </c>
      <c r="E109" s="32" t="s">
        <v>1523</v>
      </c>
      <c r="F109" s="68" t="s">
        <v>1525</v>
      </c>
      <c r="G109" s="67"/>
    </row>
    <row r="110" spans="1:7" ht="15.75" customHeight="1">
      <c r="A110" s="9" t="s">
        <v>1394</v>
      </c>
      <c r="B110" s="9">
        <v>300</v>
      </c>
      <c r="C110" s="32">
        <v>37002</v>
      </c>
      <c r="D110" s="72" t="s">
        <v>1079</v>
      </c>
      <c r="E110" s="32" t="s">
        <v>1523</v>
      </c>
      <c r="F110" s="68" t="s">
        <v>1526</v>
      </c>
      <c r="G110" s="67"/>
    </row>
    <row r="111" spans="1:7" ht="15.75" customHeight="1">
      <c r="A111" s="9" t="s">
        <v>1394</v>
      </c>
      <c r="B111" s="9">
        <v>300</v>
      </c>
      <c r="C111" s="32">
        <v>37003</v>
      </c>
      <c r="D111" s="72" t="s">
        <v>1079</v>
      </c>
      <c r="E111" s="32" t="s">
        <v>1523</v>
      </c>
      <c r="F111" s="68" t="s">
        <v>1527</v>
      </c>
      <c r="G111" s="67"/>
    </row>
    <row r="112" spans="1:7" ht="15.75" customHeight="1">
      <c r="A112" s="9" t="s">
        <v>1394</v>
      </c>
      <c r="B112" s="9">
        <v>300</v>
      </c>
      <c r="C112" s="32">
        <v>37004</v>
      </c>
      <c r="D112" s="72" t="s">
        <v>1079</v>
      </c>
      <c r="E112" s="32" t="s">
        <v>1523</v>
      </c>
      <c r="F112" s="68" t="s">
        <v>1528</v>
      </c>
      <c r="G112" s="67"/>
    </row>
    <row r="113" spans="1:7" ht="15.75" customHeight="1">
      <c r="A113" s="9" t="s">
        <v>1394</v>
      </c>
      <c r="B113" s="9">
        <v>300</v>
      </c>
      <c r="C113" s="32">
        <v>37005</v>
      </c>
      <c r="D113" s="72" t="s">
        <v>1079</v>
      </c>
      <c r="E113" s="32" t="s">
        <v>1523</v>
      </c>
      <c r="F113" s="68" t="s">
        <v>1529</v>
      </c>
      <c r="G113" s="67"/>
    </row>
    <row r="114" spans="1:7" ht="15.75" customHeight="1">
      <c r="A114" s="9" t="s">
        <v>1394</v>
      </c>
      <c r="B114" s="9">
        <v>300</v>
      </c>
      <c r="C114" s="32">
        <v>37006</v>
      </c>
      <c r="D114" s="72" t="s">
        <v>1079</v>
      </c>
      <c r="E114" s="32" t="s">
        <v>1523</v>
      </c>
      <c r="F114" s="68" t="s">
        <v>1530</v>
      </c>
      <c r="G114" s="67"/>
    </row>
    <row r="115" spans="1:7" ht="15.75" customHeight="1">
      <c r="A115" s="9" t="s">
        <v>1394</v>
      </c>
      <c r="B115" s="9">
        <v>300</v>
      </c>
      <c r="C115" s="32">
        <v>37007</v>
      </c>
      <c r="D115" s="72" t="s">
        <v>1079</v>
      </c>
      <c r="E115" s="32" t="s">
        <v>1523</v>
      </c>
      <c r="F115" s="68" t="s">
        <v>1531</v>
      </c>
      <c r="G115" s="67"/>
    </row>
    <row r="116" spans="1:7" ht="15.75" customHeight="1">
      <c r="A116" s="9" t="s">
        <v>1394</v>
      </c>
      <c r="B116" s="9">
        <v>300</v>
      </c>
      <c r="C116" s="32">
        <v>37008</v>
      </c>
      <c r="D116" s="72" t="s">
        <v>1079</v>
      </c>
      <c r="E116" s="32" t="s">
        <v>1523</v>
      </c>
      <c r="F116" s="68" t="s">
        <v>1532</v>
      </c>
      <c r="G116" s="67"/>
    </row>
    <row r="117" spans="1:7" ht="15.75" customHeight="1">
      <c r="A117" s="9" t="s">
        <v>1394</v>
      </c>
      <c r="B117" s="9">
        <v>300</v>
      </c>
      <c r="C117" s="32">
        <v>38000</v>
      </c>
      <c r="D117" s="72" t="s">
        <v>1079</v>
      </c>
      <c r="E117" s="32" t="s">
        <v>1533</v>
      </c>
      <c r="F117" s="68" t="s">
        <v>1534</v>
      </c>
      <c r="G117" s="67"/>
    </row>
    <row r="118" spans="1:7" ht="15.75" customHeight="1">
      <c r="A118" s="9" t="s">
        <v>1394</v>
      </c>
      <c r="B118" s="9">
        <v>300</v>
      </c>
      <c r="C118" s="32">
        <v>38001</v>
      </c>
      <c r="D118" s="72" t="s">
        <v>1079</v>
      </c>
      <c r="E118" s="32" t="s">
        <v>1533</v>
      </c>
      <c r="F118" s="68" t="s">
        <v>1535</v>
      </c>
      <c r="G118" s="67"/>
    </row>
    <row r="119" spans="1:7" ht="15.75" customHeight="1">
      <c r="A119" s="9" t="s">
        <v>1394</v>
      </c>
      <c r="B119" s="9">
        <v>300</v>
      </c>
      <c r="C119" s="32">
        <v>38002</v>
      </c>
      <c r="D119" s="72" t="s">
        <v>1079</v>
      </c>
      <c r="E119" s="32" t="s">
        <v>1533</v>
      </c>
      <c r="F119" s="68" t="s">
        <v>1536</v>
      </c>
      <c r="G119" s="67"/>
    </row>
    <row r="120" spans="1:7" ht="15.75" customHeight="1">
      <c r="A120" s="9" t="s">
        <v>1394</v>
      </c>
      <c r="B120" s="9">
        <v>300</v>
      </c>
      <c r="C120" s="32">
        <v>38003</v>
      </c>
      <c r="D120" s="72" t="s">
        <v>1079</v>
      </c>
      <c r="E120" s="32" t="s">
        <v>1533</v>
      </c>
      <c r="F120" s="68" t="s">
        <v>1537</v>
      </c>
      <c r="G120" s="67"/>
    </row>
    <row r="121" spans="1:7" ht="15.75" customHeight="1">
      <c r="A121" s="9" t="s">
        <v>1394</v>
      </c>
      <c r="B121" s="9">
        <v>300</v>
      </c>
      <c r="C121" s="32">
        <v>38004</v>
      </c>
      <c r="D121" s="72" t="s">
        <v>1079</v>
      </c>
      <c r="E121" s="32" t="s">
        <v>1533</v>
      </c>
      <c r="F121" s="68" t="s">
        <v>1538</v>
      </c>
      <c r="G121" s="67"/>
    </row>
    <row r="122" spans="1:7" ht="15.75" customHeight="1">
      <c r="A122" s="9" t="s">
        <v>1394</v>
      </c>
      <c r="B122" s="9">
        <v>300</v>
      </c>
      <c r="C122" s="32">
        <v>38005</v>
      </c>
      <c r="D122" s="72" t="s">
        <v>1079</v>
      </c>
      <c r="E122" s="32" t="s">
        <v>1533</v>
      </c>
      <c r="F122" s="68" t="s">
        <v>1539</v>
      </c>
      <c r="G122" s="67"/>
    </row>
    <row r="123" spans="1:7" ht="15.75" customHeight="1">
      <c r="A123" s="9" t="s">
        <v>1394</v>
      </c>
      <c r="B123" s="9">
        <v>300</v>
      </c>
      <c r="C123" s="32">
        <v>38006</v>
      </c>
      <c r="D123" s="72" t="s">
        <v>1079</v>
      </c>
      <c r="E123" s="32" t="s">
        <v>1533</v>
      </c>
      <c r="F123" s="68" t="s">
        <v>1540</v>
      </c>
      <c r="G123" s="67"/>
    </row>
    <row r="124" spans="1:7" ht="15.75" customHeight="1">
      <c r="A124" s="9" t="s">
        <v>1394</v>
      </c>
      <c r="B124" s="9">
        <v>300</v>
      </c>
      <c r="C124" s="32">
        <v>38007</v>
      </c>
      <c r="D124" s="72" t="s">
        <v>1079</v>
      </c>
      <c r="E124" s="32" t="s">
        <v>1533</v>
      </c>
      <c r="F124" s="68" t="s">
        <v>1541</v>
      </c>
      <c r="G124" s="67"/>
    </row>
    <row r="125" spans="1:7" ht="15.75" customHeight="1">
      <c r="A125" s="9" t="s">
        <v>1394</v>
      </c>
      <c r="B125" s="9">
        <v>300</v>
      </c>
      <c r="C125" s="32">
        <v>38008</v>
      </c>
      <c r="D125" s="72" t="s">
        <v>1079</v>
      </c>
      <c r="E125" s="32" t="s">
        <v>1533</v>
      </c>
      <c r="F125" s="68" t="s">
        <v>1542</v>
      </c>
      <c r="G125" s="67"/>
    </row>
    <row r="126" spans="1:7" ht="15.75" customHeight="1">
      <c r="A126" s="9" t="s">
        <v>1394</v>
      </c>
      <c r="B126" s="9">
        <v>300</v>
      </c>
      <c r="C126" s="32">
        <v>38009</v>
      </c>
      <c r="D126" s="72" t="s">
        <v>1079</v>
      </c>
      <c r="E126" s="32" t="s">
        <v>1533</v>
      </c>
      <c r="F126" s="68" t="s">
        <v>1543</v>
      </c>
      <c r="G126" s="67"/>
    </row>
    <row r="127" spans="1:7" ht="15.75" customHeight="1">
      <c r="A127" s="9" t="s">
        <v>1394</v>
      </c>
      <c r="B127" s="9">
        <v>300</v>
      </c>
      <c r="C127" s="32">
        <v>38010</v>
      </c>
      <c r="D127" s="72" t="s">
        <v>1079</v>
      </c>
      <c r="E127" s="32" t="s">
        <v>1533</v>
      </c>
      <c r="F127" s="68" t="s">
        <v>1544</v>
      </c>
      <c r="G127" s="67"/>
    </row>
    <row r="128" spans="1:7" ht="15.75" customHeight="1">
      <c r="A128" s="69" t="s">
        <v>1394</v>
      </c>
      <c r="B128" s="69">
        <v>300</v>
      </c>
      <c r="C128" s="35">
        <v>38011</v>
      </c>
      <c r="D128" s="76" t="s">
        <v>1079</v>
      </c>
      <c r="E128" s="35" t="s">
        <v>1533</v>
      </c>
      <c r="F128" s="70" t="s">
        <v>1545</v>
      </c>
      <c r="G128" s="67"/>
    </row>
    <row r="129" spans="1:7" ht="15.75" customHeight="1">
      <c r="A129" s="65" t="s">
        <v>1394</v>
      </c>
      <c r="B129" s="65">
        <v>400</v>
      </c>
      <c r="C129" s="29">
        <v>40100</v>
      </c>
      <c r="D129" s="29" t="s">
        <v>1316</v>
      </c>
      <c r="E129" s="29" t="s">
        <v>1546</v>
      </c>
      <c r="F129" s="66" t="s">
        <v>1547</v>
      </c>
      <c r="G129" s="67"/>
    </row>
    <row r="130" spans="1:7" ht="15.75" customHeight="1">
      <c r="A130" s="9" t="s">
        <v>1394</v>
      </c>
      <c r="B130" s="9">
        <v>400</v>
      </c>
      <c r="C130" s="32">
        <v>40101</v>
      </c>
      <c r="D130" s="32" t="s">
        <v>1316</v>
      </c>
      <c r="E130" s="32" t="s">
        <v>1546</v>
      </c>
      <c r="F130" s="68" t="s">
        <v>1548</v>
      </c>
      <c r="G130" s="67"/>
    </row>
    <row r="131" spans="1:7" ht="15.75" customHeight="1">
      <c r="A131" s="9" t="s">
        <v>1394</v>
      </c>
      <c r="B131" s="9">
        <v>400</v>
      </c>
      <c r="C131" s="32">
        <v>40102</v>
      </c>
      <c r="D131" s="32" t="s">
        <v>1316</v>
      </c>
      <c r="E131" s="32" t="s">
        <v>1546</v>
      </c>
      <c r="F131" s="68" t="s">
        <v>1549</v>
      </c>
      <c r="G131" s="67"/>
    </row>
    <row r="132" spans="1:7" ht="15.75" customHeight="1">
      <c r="A132" s="9" t="s">
        <v>1394</v>
      </c>
      <c r="B132" s="9">
        <v>400</v>
      </c>
      <c r="C132" s="32">
        <v>40103</v>
      </c>
      <c r="D132" s="32" t="s">
        <v>1316</v>
      </c>
      <c r="E132" s="32" t="s">
        <v>1546</v>
      </c>
      <c r="F132" s="68" t="s">
        <v>1550</v>
      </c>
      <c r="G132" s="67"/>
    </row>
    <row r="133" spans="1:7" ht="15.75" customHeight="1">
      <c r="A133" s="9" t="s">
        <v>1394</v>
      </c>
      <c r="B133" s="9">
        <v>400</v>
      </c>
      <c r="C133" s="32">
        <v>40104</v>
      </c>
      <c r="D133" s="32" t="s">
        <v>1316</v>
      </c>
      <c r="E133" s="32" t="s">
        <v>1546</v>
      </c>
      <c r="F133" s="68" t="s">
        <v>1551</v>
      </c>
      <c r="G133" s="67"/>
    </row>
    <row r="134" spans="1:7" ht="15.75" customHeight="1">
      <c r="A134" s="9" t="s">
        <v>1394</v>
      </c>
      <c r="B134" s="9">
        <v>400</v>
      </c>
      <c r="C134" s="32">
        <v>40105</v>
      </c>
      <c r="D134" s="32" t="s">
        <v>1316</v>
      </c>
      <c r="E134" s="32" t="s">
        <v>1546</v>
      </c>
      <c r="F134" s="68" t="s">
        <v>1552</v>
      </c>
      <c r="G134" s="67"/>
    </row>
    <row r="135" spans="1:7" ht="15.75" customHeight="1">
      <c r="A135" s="9" t="s">
        <v>1394</v>
      </c>
      <c r="B135" s="9">
        <v>400</v>
      </c>
      <c r="C135" s="32">
        <v>40106</v>
      </c>
      <c r="D135" s="32" t="s">
        <v>1316</v>
      </c>
      <c r="E135" s="32" t="s">
        <v>1546</v>
      </c>
      <c r="F135" s="68" t="s">
        <v>1553</v>
      </c>
      <c r="G135" s="67"/>
    </row>
    <row r="136" spans="1:7" ht="15.75" customHeight="1">
      <c r="A136" s="9" t="s">
        <v>1394</v>
      </c>
      <c r="B136" s="9">
        <v>400</v>
      </c>
      <c r="C136" s="32">
        <v>40107</v>
      </c>
      <c r="D136" s="32" t="s">
        <v>1316</v>
      </c>
      <c r="E136" s="32" t="s">
        <v>1546</v>
      </c>
      <c r="F136" s="68" t="s">
        <v>1554</v>
      </c>
      <c r="G136" s="67"/>
    </row>
    <row r="137" spans="1:7" ht="15.75" customHeight="1">
      <c r="A137" s="9" t="s">
        <v>1394</v>
      </c>
      <c r="B137" s="9">
        <v>400</v>
      </c>
      <c r="C137" s="32">
        <v>40108</v>
      </c>
      <c r="D137" s="32" t="s">
        <v>1316</v>
      </c>
      <c r="E137" s="32" t="s">
        <v>1546</v>
      </c>
      <c r="F137" s="68" t="s">
        <v>1555</v>
      </c>
      <c r="G137" s="67"/>
    </row>
    <row r="138" spans="1:7" ht="15.75" customHeight="1">
      <c r="A138" s="9" t="s">
        <v>1394</v>
      </c>
      <c r="B138" s="9">
        <v>400</v>
      </c>
      <c r="C138" s="32">
        <v>40109</v>
      </c>
      <c r="D138" s="32" t="s">
        <v>1316</v>
      </c>
      <c r="E138" s="32" t="s">
        <v>1546</v>
      </c>
      <c r="F138" s="68" t="s">
        <v>1556</v>
      </c>
      <c r="G138" s="67"/>
    </row>
    <row r="139" spans="1:7" ht="15.75" customHeight="1">
      <c r="A139" s="9" t="s">
        <v>1394</v>
      </c>
      <c r="B139" s="9">
        <v>400</v>
      </c>
      <c r="C139" s="32">
        <v>40110</v>
      </c>
      <c r="D139" s="32" t="s">
        <v>1316</v>
      </c>
      <c r="E139" s="32" t="s">
        <v>1546</v>
      </c>
      <c r="F139" s="68" t="s">
        <v>1557</v>
      </c>
      <c r="G139" s="67"/>
    </row>
    <row r="140" spans="1:7" ht="15.75" customHeight="1">
      <c r="A140" s="9" t="s">
        <v>1394</v>
      </c>
      <c r="B140" s="9">
        <v>400</v>
      </c>
      <c r="C140" s="32">
        <v>40111</v>
      </c>
      <c r="D140" s="32" t="s">
        <v>1316</v>
      </c>
      <c r="E140" s="32" t="s">
        <v>1546</v>
      </c>
      <c r="F140" s="68" t="s">
        <v>1558</v>
      </c>
      <c r="G140" s="67"/>
    </row>
    <row r="141" spans="1:7" ht="15.75" customHeight="1">
      <c r="A141" s="9" t="s">
        <v>1394</v>
      </c>
      <c r="B141" s="9">
        <v>400</v>
      </c>
      <c r="C141" s="32">
        <v>40112</v>
      </c>
      <c r="D141" s="32" t="s">
        <v>1316</v>
      </c>
      <c r="E141" s="32" t="s">
        <v>1546</v>
      </c>
      <c r="F141" s="68" t="s">
        <v>1559</v>
      </c>
      <c r="G141" s="67"/>
    </row>
    <row r="142" spans="1:7" ht="15.75" customHeight="1">
      <c r="A142" s="9" t="s">
        <v>1394</v>
      </c>
      <c r="B142" s="9">
        <v>400</v>
      </c>
      <c r="C142" s="32">
        <v>40113</v>
      </c>
      <c r="D142" s="32" t="s">
        <v>1316</v>
      </c>
      <c r="E142" s="32" t="s">
        <v>1546</v>
      </c>
      <c r="F142" s="68" t="s">
        <v>1560</v>
      </c>
      <c r="G142" s="67"/>
    </row>
    <row r="143" spans="1:7" ht="15.75" customHeight="1">
      <c r="A143" s="9" t="s">
        <v>1394</v>
      </c>
      <c r="B143" s="9">
        <v>400</v>
      </c>
      <c r="C143" s="32">
        <v>40114</v>
      </c>
      <c r="D143" s="32" t="s">
        <v>1316</v>
      </c>
      <c r="E143" s="32" t="s">
        <v>1546</v>
      </c>
      <c r="F143" s="68" t="s">
        <v>1561</v>
      </c>
      <c r="G143" s="67"/>
    </row>
    <row r="144" spans="1:7" ht="15.75" customHeight="1">
      <c r="A144" s="9" t="s">
        <v>1394</v>
      </c>
      <c r="B144" s="9">
        <v>400</v>
      </c>
      <c r="C144" s="32">
        <v>40115</v>
      </c>
      <c r="D144" s="32" t="s">
        <v>1316</v>
      </c>
      <c r="E144" s="32" t="s">
        <v>1546</v>
      </c>
      <c r="F144" s="68" t="s">
        <v>1562</v>
      </c>
      <c r="G144" s="67"/>
    </row>
    <row r="145" spans="1:7" ht="15.75" customHeight="1">
      <c r="A145" s="9" t="s">
        <v>1394</v>
      </c>
      <c r="B145" s="9">
        <v>400</v>
      </c>
      <c r="C145" s="32">
        <v>40116</v>
      </c>
      <c r="D145" s="32" t="s">
        <v>1316</v>
      </c>
      <c r="E145" s="32" t="s">
        <v>1546</v>
      </c>
      <c r="F145" s="68" t="s">
        <v>1563</v>
      </c>
      <c r="G145" s="67"/>
    </row>
    <row r="146" spans="1:7" ht="15.75" customHeight="1">
      <c r="A146" s="9" t="s">
        <v>1394</v>
      </c>
      <c r="B146" s="9">
        <v>400</v>
      </c>
      <c r="C146" s="32">
        <v>40117</v>
      </c>
      <c r="D146" s="32" t="s">
        <v>1316</v>
      </c>
      <c r="E146" s="32" t="s">
        <v>1546</v>
      </c>
      <c r="F146" s="68" t="s">
        <v>1564</v>
      </c>
      <c r="G146" s="67"/>
    </row>
    <row r="147" spans="1:7" ht="15.75" customHeight="1">
      <c r="A147" s="9" t="s">
        <v>1394</v>
      </c>
      <c r="B147" s="9">
        <v>400</v>
      </c>
      <c r="C147" s="32">
        <v>40118</v>
      </c>
      <c r="D147" s="32" t="s">
        <v>1316</v>
      </c>
      <c r="E147" s="32" t="s">
        <v>1546</v>
      </c>
      <c r="F147" s="68" t="s">
        <v>1565</v>
      </c>
      <c r="G147" s="67"/>
    </row>
    <row r="148" spans="1:7" ht="15.75" customHeight="1">
      <c r="A148" s="9" t="s">
        <v>1394</v>
      </c>
      <c r="B148" s="9">
        <v>400</v>
      </c>
      <c r="C148" s="32">
        <v>40119</v>
      </c>
      <c r="D148" s="32" t="s">
        <v>1316</v>
      </c>
      <c r="E148" s="32" t="s">
        <v>1546</v>
      </c>
      <c r="F148" s="68" t="s">
        <v>1566</v>
      </c>
      <c r="G148" s="67"/>
    </row>
    <row r="149" spans="1:7" ht="15.75" customHeight="1">
      <c r="A149" s="9" t="s">
        <v>1394</v>
      </c>
      <c r="B149" s="9">
        <v>400</v>
      </c>
      <c r="C149" s="32">
        <v>40120</v>
      </c>
      <c r="D149" s="32" t="s">
        <v>1316</v>
      </c>
      <c r="E149" s="32" t="s">
        <v>1546</v>
      </c>
      <c r="F149" s="68" t="s">
        <v>1567</v>
      </c>
      <c r="G149" s="67"/>
    </row>
    <row r="150" spans="1:7" ht="15.75" customHeight="1">
      <c r="A150" s="9" t="s">
        <v>1394</v>
      </c>
      <c r="B150" s="9">
        <v>400</v>
      </c>
      <c r="C150" s="32">
        <v>40200</v>
      </c>
      <c r="D150" s="32" t="s">
        <v>1316</v>
      </c>
      <c r="E150" s="32" t="s">
        <v>1568</v>
      </c>
      <c r="F150" s="68" t="s">
        <v>1569</v>
      </c>
      <c r="G150" s="67"/>
    </row>
    <row r="151" spans="1:7" ht="15.75" customHeight="1">
      <c r="A151" s="9" t="s">
        <v>1394</v>
      </c>
      <c r="B151" s="9">
        <v>400</v>
      </c>
      <c r="C151" s="32">
        <v>40201</v>
      </c>
      <c r="D151" s="32" t="s">
        <v>1316</v>
      </c>
      <c r="E151" s="32" t="s">
        <v>1568</v>
      </c>
      <c r="F151" s="68" t="s">
        <v>1570</v>
      </c>
      <c r="G151" s="67"/>
    </row>
    <row r="152" spans="1:7" ht="15.75" customHeight="1">
      <c r="A152" s="9" t="s">
        <v>1394</v>
      </c>
      <c r="B152" s="9">
        <v>400</v>
      </c>
      <c r="C152" s="32">
        <v>40202</v>
      </c>
      <c r="D152" s="32" t="s">
        <v>1316</v>
      </c>
      <c r="E152" s="32" t="s">
        <v>1568</v>
      </c>
      <c r="F152" s="68" t="s">
        <v>1571</v>
      </c>
      <c r="G152" s="67"/>
    </row>
    <row r="153" spans="1:7" ht="15.75" customHeight="1">
      <c r="A153" s="9" t="s">
        <v>1394</v>
      </c>
      <c r="B153" s="9">
        <v>400</v>
      </c>
      <c r="C153" s="32">
        <v>40203</v>
      </c>
      <c r="D153" s="32" t="s">
        <v>1316</v>
      </c>
      <c r="E153" s="32" t="s">
        <v>1568</v>
      </c>
      <c r="F153" s="68" t="s">
        <v>1572</v>
      </c>
      <c r="G153" s="67"/>
    </row>
    <row r="154" spans="1:7" ht="15.75" customHeight="1">
      <c r="A154" s="9" t="s">
        <v>1394</v>
      </c>
      <c r="B154" s="9">
        <v>400</v>
      </c>
      <c r="C154" s="32">
        <v>40204</v>
      </c>
      <c r="D154" s="32" t="s">
        <v>1316</v>
      </c>
      <c r="E154" s="32" t="s">
        <v>1568</v>
      </c>
      <c r="F154" s="68" t="s">
        <v>1573</v>
      </c>
      <c r="G154" s="67"/>
    </row>
    <row r="155" spans="1:7" ht="15.75" customHeight="1">
      <c r="A155" s="9" t="s">
        <v>1394</v>
      </c>
      <c r="B155" s="9">
        <v>400</v>
      </c>
      <c r="C155" s="32">
        <v>40205</v>
      </c>
      <c r="D155" s="32" t="s">
        <v>1316</v>
      </c>
      <c r="E155" s="32" t="s">
        <v>1568</v>
      </c>
      <c r="F155" s="68" t="s">
        <v>1574</v>
      </c>
      <c r="G155" s="67"/>
    </row>
    <row r="156" spans="1:7" ht="15.75" customHeight="1">
      <c r="A156" s="9" t="s">
        <v>1394</v>
      </c>
      <c r="B156" s="9">
        <v>400</v>
      </c>
      <c r="C156" s="32">
        <v>40206</v>
      </c>
      <c r="D156" s="32" t="s">
        <v>1316</v>
      </c>
      <c r="E156" s="32" t="s">
        <v>1568</v>
      </c>
      <c r="F156" s="68" t="s">
        <v>1575</v>
      </c>
      <c r="G156" s="67"/>
    </row>
    <row r="157" spans="1:7" ht="15.75" customHeight="1">
      <c r="A157" s="9" t="s">
        <v>1394</v>
      </c>
      <c r="B157" s="9">
        <v>400</v>
      </c>
      <c r="C157" s="32">
        <v>40207</v>
      </c>
      <c r="D157" s="32" t="s">
        <v>1316</v>
      </c>
      <c r="E157" s="32" t="s">
        <v>1568</v>
      </c>
      <c r="F157" s="68" t="s">
        <v>1576</v>
      </c>
      <c r="G157" s="67"/>
    </row>
    <row r="158" spans="1:7" ht="15.75" customHeight="1">
      <c r="A158" s="9" t="s">
        <v>1394</v>
      </c>
      <c r="B158" s="9">
        <v>400</v>
      </c>
      <c r="C158" s="32">
        <v>40208</v>
      </c>
      <c r="D158" s="32" t="s">
        <v>1316</v>
      </c>
      <c r="E158" s="32" t="s">
        <v>1568</v>
      </c>
      <c r="F158" s="68" t="s">
        <v>1577</v>
      </c>
      <c r="G158" s="67"/>
    </row>
    <row r="159" spans="1:7" ht="15.75" customHeight="1">
      <c r="A159" s="9" t="s">
        <v>1394</v>
      </c>
      <c r="B159" s="9">
        <v>400</v>
      </c>
      <c r="C159" s="32">
        <v>40209</v>
      </c>
      <c r="D159" s="32" t="s">
        <v>1316</v>
      </c>
      <c r="E159" s="32" t="s">
        <v>1568</v>
      </c>
      <c r="F159" s="68" t="s">
        <v>1578</v>
      </c>
      <c r="G159" s="67"/>
    </row>
    <row r="160" spans="1:7" ht="15.75" customHeight="1">
      <c r="A160" s="9" t="s">
        <v>1394</v>
      </c>
      <c r="B160" s="9">
        <v>400</v>
      </c>
      <c r="C160" s="32">
        <v>40210</v>
      </c>
      <c r="D160" s="32" t="s">
        <v>1316</v>
      </c>
      <c r="E160" s="32" t="s">
        <v>1568</v>
      </c>
      <c r="F160" s="68" t="s">
        <v>1579</v>
      </c>
      <c r="G160" s="67"/>
    </row>
    <row r="161" spans="1:7" ht="15.75" customHeight="1">
      <c r="A161" s="9" t="s">
        <v>1394</v>
      </c>
      <c r="B161" s="9">
        <v>400</v>
      </c>
      <c r="C161" s="32">
        <v>40211</v>
      </c>
      <c r="D161" s="32" t="s">
        <v>1316</v>
      </c>
      <c r="E161" s="32" t="s">
        <v>1568</v>
      </c>
      <c r="F161" s="68" t="s">
        <v>1580</v>
      </c>
      <c r="G161" s="67"/>
    </row>
    <row r="162" spans="1:7" ht="15.75" customHeight="1">
      <c r="A162" s="9" t="s">
        <v>1394</v>
      </c>
      <c r="B162" s="9">
        <v>400</v>
      </c>
      <c r="C162" s="32">
        <v>40212</v>
      </c>
      <c r="D162" s="32" t="s">
        <v>1316</v>
      </c>
      <c r="E162" s="32" t="s">
        <v>1568</v>
      </c>
      <c r="F162" s="68" t="s">
        <v>1581</v>
      </c>
      <c r="G162" s="67"/>
    </row>
    <row r="163" spans="1:7" ht="15.75" customHeight="1">
      <c r="A163" s="9" t="s">
        <v>1394</v>
      </c>
      <c r="B163" s="9">
        <v>400</v>
      </c>
      <c r="C163" s="32">
        <v>40213</v>
      </c>
      <c r="D163" s="32" t="s">
        <v>1316</v>
      </c>
      <c r="E163" s="32" t="s">
        <v>1568</v>
      </c>
      <c r="F163" s="68" t="s">
        <v>1582</v>
      </c>
      <c r="G163" s="67"/>
    </row>
    <row r="164" spans="1:7" ht="15.75" customHeight="1">
      <c r="A164" s="9" t="s">
        <v>1394</v>
      </c>
      <c r="B164" s="9">
        <v>400</v>
      </c>
      <c r="C164" s="32">
        <v>40300</v>
      </c>
      <c r="D164" s="32" t="s">
        <v>1316</v>
      </c>
      <c r="E164" s="32" t="s">
        <v>1583</v>
      </c>
      <c r="F164" s="68" t="s">
        <v>1584</v>
      </c>
      <c r="G164" s="67"/>
    </row>
    <row r="165" spans="1:7" ht="15.75" customHeight="1">
      <c r="A165" s="9" t="s">
        <v>1394</v>
      </c>
      <c r="B165" s="9">
        <v>400</v>
      </c>
      <c r="C165" s="32">
        <v>40301</v>
      </c>
      <c r="D165" s="32" t="s">
        <v>1316</v>
      </c>
      <c r="E165" s="32" t="s">
        <v>1583</v>
      </c>
      <c r="F165" s="68" t="s">
        <v>1585</v>
      </c>
      <c r="G165" s="67"/>
    </row>
    <row r="166" spans="1:7" ht="15.75" customHeight="1">
      <c r="A166" s="9" t="s">
        <v>1394</v>
      </c>
      <c r="B166" s="9">
        <v>400</v>
      </c>
      <c r="C166" s="32">
        <v>40302</v>
      </c>
      <c r="D166" s="32" t="s">
        <v>1316</v>
      </c>
      <c r="E166" s="32" t="s">
        <v>1583</v>
      </c>
      <c r="F166" s="68" t="s">
        <v>1586</v>
      </c>
      <c r="G166" s="67"/>
    </row>
    <row r="167" spans="1:7" ht="15.75" customHeight="1">
      <c r="A167" s="9" t="s">
        <v>1394</v>
      </c>
      <c r="B167" s="9">
        <v>400</v>
      </c>
      <c r="C167" s="32">
        <v>40303</v>
      </c>
      <c r="D167" s="32" t="s">
        <v>1316</v>
      </c>
      <c r="E167" s="32" t="s">
        <v>1583</v>
      </c>
      <c r="F167" s="68" t="s">
        <v>1587</v>
      </c>
      <c r="G167" s="67"/>
    </row>
    <row r="168" spans="1:7" ht="15.75" customHeight="1">
      <c r="A168" s="9" t="s">
        <v>1394</v>
      </c>
      <c r="B168" s="9">
        <v>400</v>
      </c>
      <c r="C168" s="32">
        <v>40304</v>
      </c>
      <c r="D168" s="32" t="s">
        <v>1316</v>
      </c>
      <c r="E168" s="32" t="s">
        <v>1583</v>
      </c>
      <c r="F168" s="68" t="s">
        <v>1588</v>
      </c>
      <c r="G168" s="67"/>
    </row>
    <row r="169" spans="1:7" ht="15.75" customHeight="1">
      <c r="A169" s="9" t="s">
        <v>1394</v>
      </c>
      <c r="B169" s="9">
        <v>400</v>
      </c>
      <c r="C169" s="32">
        <v>40305</v>
      </c>
      <c r="D169" s="32" t="s">
        <v>1316</v>
      </c>
      <c r="E169" s="32" t="s">
        <v>1583</v>
      </c>
      <c r="F169" s="68" t="s">
        <v>1589</v>
      </c>
      <c r="G169" s="67"/>
    </row>
    <row r="170" spans="1:7" ht="15.75" customHeight="1">
      <c r="A170" s="9" t="s">
        <v>1394</v>
      </c>
      <c r="B170" s="9">
        <v>400</v>
      </c>
      <c r="C170" s="32">
        <v>40400</v>
      </c>
      <c r="D170" s="32" t="s">
        <v>1316</v>
      </c>
      <c r="E170" s="32" t="s">
        <v>1110</v>
      </c>
      <c r="F170" s="68" t="s">
        <v>1590</v>
      </c>
      <c r="G170" s="67"/>
    </row>
    <row r="171" spans="1:7" ht="15.75" customHeight="1">
      <c r="A171" s="9" t="s">
        <v>1394</v>
      </c>
      <c r="B171" s="9">
        <v>400</v>
      </c>
      <c r="C171" s="32">
        <v>40401</v>
      </c>
      <c r="D171" s="32" t="s">
        <v>1316</v>
      </c>
      <c r="E171" s="32" t="s">
        <v>1110</v>
      </c>
      <c r="F171" s="68" t="s">
        <v>1591</v>
      </c>
      <c r="G171" s="67"/>
    </row>
    <row r="172" spans="1:7" ht="15.75" customHeight="1">
      <c r="A172" s="9" t="s">
        <v>1394</v>
      </c>
      <c r="B172" s="9">
        <v>400</v>
      </c>
      <c r="C172" s="32">
        <v>40402</v>
      </c>
      <c r="D172" s="32" t="s">
        <v>1316</v>
      </c>
      <c r="E172" s="32" t="s">
        <v>1110</v>
      </c>
      <c r="F172" s="68" t="s">
        <v>1592</v>
      </c>
      <c r="G172" s="67"/>
    </row>
    <row r="173" spans="1:7" ht="15.75" customHeight="1">
      <c r="A173" s="9" t="s">
        <v>1394</v>
      </c>
      <c r="B173" s="9">
        <v>400</v>
      </c>
      <c r="C173" s="32">
        <v>40403</v>
      </c>
      <c r="D173" s="32" t="s">
        <v>1316</v>
      </c>
      <c r="E173" s="32" t="s">
        <v>1110</v>
      </c>
      <c r="F173" s="68" t="s">
        <v>1593</v>
      </c>
      <c r="G173" s="67"/>
    </row>
    <row r="174" spans="1:7" ht="15.75" customHeight="1">
      <c r="A174" s="9" t="s">
        <v>1394</v>
      </c>
      <c r="B174" s="9">
        <v>400</v>
      </c>
      <c r="C174" s="32">
        <v>40404</v>
      </c>
      <c r="D174" s="32" t="s">
        <v>1316</v>
      </c>
      <c r="E174" s="32" t="s">
        <v>1110</v>
      </c>
      <c r="F174" s="68" t="s">
        <v>1594</v>
      </c>
      <c r="G174" s="67"/>
    </row>
    <row r="175" spans="1:7" ht="15.75" customHeight="1">
      <c r="A175" s="69" t="s">
        <v>1394</v>
      </c>
      <c r="B175" s="69">
        <v>400</v>
      </c>
      <c r="C175" s="35">
        <v>40405</v>
      </c>
      <c r="D175" s="35" t="s">
        <v>1316</v>
      </c>
      <c r="E175" s="35" t="s">
        <v>1110</v>
      </c>
      <c r="F175" s="70" t="s">
        <v>1595</v>
      </c>
      <c r="G175" s="67"/>
    </row>
    <row r="176" spans="1:7" ht="15.75" customHeight="1">
      <c r="A176" s="65" t="s">
        <v>1394</v>
      </c>
      <c r="B176" s="65">
        <v>500</v>
      </c>
      <c r="C176" s="29">
        <v>50001</v>
      </c>
      <c r="D176" s="29" t="s">
        <v>1116</v>
      </c>
      <c r="E176" s="29" t="s">
        <v>1596</v>
      </c>
      <c r="F176" s="66" t="s">
        <v>1597</v>
      </c>
      <c r="G176" s="67"/>
    </row>
    <row r="177" spans="1:7" ht="15.75" customHeight="1">
      <c r="A177" s="9" t="s">
        <v>1394</v>
      </c>
      <c r="B177" s="9">
        <v>500</v>
      </c>
      <c r="C177" s="32">
        <v>50002</v>
      </c>
      <c r="D177" s="32" t="s">
        <v>1116</v>
      </c>
      <c r="E177" s="32" t="s">
        <v>1596</v>
      </c>
      <c r="F177" s="68" t="s">
        <v>1598</v>
      </c>
      <c r="G177" s="67"/>
    </row>
    <row r="178" spans="1:7" ht="15.75" customHeight="1">
      <c r="A178" s="9" t="s">
        <v>1394</v>
      </c>
      <c r="B178" s="9">
        <v>500</v>
      </c>
      <c r="C178" s="32">
        <v>50003</v>
      </c>
      <c r="D178" s="32" t="s">
        <v>1116</v>
      </c>
      <c r="E178" s="32" t="s">
        <v>1596</v>
      </c>
      <c r="F178" s="68" t="s">
        <v>1599</v>
      </c>
      <c r="G178" s="67"/>
    </row>
    <row r="179" spans="1:7" ht="15.75" customHeight="1">
      <c r="A179" s="9" t="s">
        <v>1394</v>
      </c>
      <c r="B179" s="9">
        <v>500</v>
      </c>
      <c r="C179" s="32">
        <v>50004</v>
      </c>
      <c r="D179" s="32" t="s">
        <v>1116</v>
      </c>
      <c r="E179" s="32" t="s">
        <v>1596</v>
      </c>
      <c r="F179" s="68" t="s">
        <v>1600</v>
      </c>
      <c r="G179" s="67"/>
    </row>
    <row r="180" spans="1:7" ht="15.75" customHeight="1">
      <c r="A180" s="9" t="s">
        <v>1394</v>
      </c>
      <c r="B180" s="9">
        <v>500</v>
      </c>
      <c r="C180" s="32">
        <v>50100</v>
      </c>
      <c r="D180" s="32" t="s">
        <v>1116</v>
      </c>
      <c r="E180" s="32" t="s">
        <v>1601</v>
      </c>
      <c r="F180" s="68" t="s">
        <v>1602</v>
      </c>
      <c r="G180" s="67"/>
    </row>
    <row r="181" spans="1:7" ht="15.75" customHeight="1">
      <c r="A181" s="9" t="s">
        <v>1394</v>
      </c>
      <c r="B181" s="9">
        <v>500</v>
      </c>
      <c r="C181" s="32">
        <v>50101</v>
      </c>
      <c r="D181" s="32" t="s">
        <v>1116</v>
      </c>
      <c r="E181" s="32" t="s">
        <v>1601</v>
      </c>
      <c r="F181" s="68" t="s">
        <v>1603</v>
      </c>
      <c r="G181" s="67"/>
    </row>
    <row r="182" spans="1:7" ht="15.75" customHeight="1">
      <c r="A182" s="9" t="s">
        <v>1394</v>
      </c>
      <c r="B182" s="9">
        <v>500</v>
      </c>
      <c r="C182" s="32">
        <v>50102</v>
      </c>
      <c r="D182" s="32" t="s">
        <v>1116</v>
      </c>
      <c r="E182" s="32" t="s">
        <v>1601</v>
      </c>
      <c r="F182" s="68" t="s">
        <v>1604</v>
      </c>
      <c r="G182" s="67"/>
    </row>
    <row r="183" spans="1:7" ht="15.75" customHeight="1">
      <c r="A183" s="9" t="s">
        <v>1394</v>
      </c>
      <c r="B183" s="9">
        <v>500</v>
      </c>
      <c r="C183" s="32">
        <v>50103</v>
      </c>
      <c r="D183" s="32" t="s">
        <v>1116</v>
      </c>
      <c r="E183" s="32" t="s">
        <v>1601</v>
      </c>
      <c r="F183" s="68" t="s">
        <v>1605</v>
      </c>
      <c r="G183" s="67"/>
    </row>
    <row r="184" spans="1:7" ht="15.75" customHeight="1">
      <c r="A184" s="9" t="s">
        <v>1394</v>
      </c>
      <c r="B184" s="9">
        <v>500</v>
      </c>
      <c r="C184" s="32">
        <v>50104</v>
      </c>
      <c r="D184" s="32" t="s">
        <v>1116</v>
      </c>
      <c r="E184" s="32" t="s">
        <v>1601</v>
      </c>
      <c r="F184" s="68" t="s">
        <v>1606</v>
      </c>
      <c r="G184" s="67"/>
    </row>
    <row r="185" spans="1:7" ht="15.75" customHeight="1">
      <c r="A185" s="9" t="s">
        <v>1394</v>
      </c>
      <c r="B185" s="9">
        <v>500</v>
      </c>
      <c r="C185" s="32">
        <v>50105</v>
      </c>
      <c r="D185" s="32" t="s">
        <v>1116</v>
      </c>
      <c r="E185" s="32" t="s">
        <v>1601</v>
      </c>
      <c r="F185" s="68" t="s">
        <v>1607</v>
      </c>
      <c r="G185" s="67"/>
    </row>
    <row r="186" spans="1:7" ht="15.75" customHeight="1">
      <c r="A186" s="9" t="s">
        <v>1394</v>
      </c>
      <c r="B186" s="9">
        <v>500</v>
      </c>
      <c r="C186" s="32">
        <v>50106</v>
      </c>
      <c r="D186" s="32" t="s">
        <v>1116</v>
      </c>
      <c r="E186" s="32" t="s">
        <v>1601</v>
      </c>
      <c r="F186" s="68" t="s">
        <v>1608</v>
      </c>
      <c r="G186" s="67"/>
    </row>
    <row r="187" spans="1:7" ht="15.75" customHeight="1">
      <c r="A187" s="9" t="s">
        <v>1394</v>
      </c>
      <c r="B187" s="9">
        <v>500</v>
      </c>
      <c r="C187" s="32">
        <v>50107</v>
      </c>
      <c r="D187" s="32" t="s">
        <v>1116</v>
      </c>
      <c r="E187" s="32" t="s">
        <v>1601</v>
      </c>
      <c r="F187" s="68" t="s">
        <v>1609</v>
      </c>
      <c r="G187" s="67"/>
    </row>
    <row r="188" spans="1:7" ht="15.75" customHeight="1">
      <c r="A188" s="9" t="s">
        <v>1394</v>
      </c>
      <c r="B188" s="9">
        <v>500</v>
      </c>
      <c r="C188" s="32">
        <v>50108</v>
      </c>
      <c r="D188" s="32" t="s">
        <v>1116</v>
      </c>
      <c r="E188" s="32" t="s">
        <v>1601</v>
      </c>
      <c r="F188" s="68" t="s">
        <v>1610</v>
      </c>
      <c r="G188" s="67"/>
    </row>
    <row r="189" spans="1:7" ht="15.75" customHeight="1">
      <c r="A189" s="9" t="s">
        <v>1394</v>
      </c>
      <c r="B189" s="9">
        <v>500</v>
      </c>
      <c r="C189" s="32">
        <v>50109</v>
      </c>
      <c r="D189" s="32" t="s">
        <v>1116</v>
      </c>
      <c r="E189" s="32" t="s">
        <v>1601</v>
      </c>
      <c r="F189" s="68" t="s">
        <v>1611</v>
      </c>
      <c r="G189" s="67"/>
    </row>
    <row r="190" spans="1:7" ht="15.75" customHeight="1">
      <c r="A190" s="9" t="s">
        <v>1394</v>
      </c>
      <c r="B190" s="9">
        <v>500</v>
      </c>
      <c r="C190" s="32">
        <v>50200</v>
      </c>
      <c r="D190" s="32" t="s">
        <v>1116</v>
      </c>
      <c r="E190" s="32" t="s">
        <v>1612</v>
      </c>
      <c r="F190" s="68" t="s">
        <v>1613</v>
      </c>
      <c r="G190" s="67"/>
    </row>
    <row r="191" spans="1:7" ht="15.75" customHeight="1">
      <c r="A191" s="9" t="s">
        <v>1394</v>
      </c>
      <c r="B191" s="9">
        <v>500</v>
      </c>
      <c r="C191" s="32">
        <v>50201</v>
      </c>
      <c r="D191" s="32" t="s">
        <v>1116</v>
      </c>
      <c r="E191" s="32" t="s">
        <v>1612</v>
      </c>
      <c r="F191" s="68" t="s">
        <v>1614</v>
      </c>
      <c r="G191" s="67"/>
    </row>
    <row r="192" spans="1:7" ht="15.75" customHeight="1">
      <c r="A192" s="9" t="s">
        <v>1394</v>
      </c>
      <c r="B192" s="9">
        <v>500</v>
      </c>
      <c r="C192" s="32">
        <v>50202</v>
      </c>
      <c r="D192" s="32" t="s">
        <v>1116</v>
      </c>
      <c r="E192" s="32" t="s">
        <v>1612</v>
      </c>
      <c r="F192" s="68" t="s">
        <v>1615</v>
      </c>
      <c r="G192" s="67"/>
    </row>
    <row r="193" spans="1:7" ht="15.75" customHeight="1">
      <c r="A193" s="9" t="s">
        <v>1394</v>
      </c>
      <c r="B193" s="9">
        <v>500</v>
      </c>
      <c r="C193" s="32">
        <v>50203</v>
      </c>
      <c r="D193" s="32" t="s">
        <v>1116</v>
      </c>
      <c r="E193" s="32" t="s">
        <v>1612</v>
      </c>
      <c r="F193" s="68" t="s">
        <v>1616</v>
      </c>
      <c r="G193" s="67"/>
    </row>
    <row r="194" spans="1:7" ht="15.75" customHeight="1">
      <c r="A194" s="9" t="s">
        <v>1394</v>
      </c>
      <c r="B194" s="9">
        <v>500</v>
      </c>
      <c r="C194" s="32">
        <v>50204</v>
      </c>
      <c r="D194" s="32" t="s">
        <v>1116</v>
      </c>
      <c r="E194" s="32" t="s">
        <v>1612</v>
      </c>
      <c r="F194" s="68" t="s">
        <v>1617</v>
      </c>
      <c r="G194" s="67"/>
    </row>
    <row r="195" spans="1:7" ht="15.75" customHeight="1">
      <c r="A195" s="9" t="s">
        <v>1394</v>
      </c>
      <c r="B195" s="9">
        <v>500</v>
      </c>
      <c r="C195" s="32">
        <v>50205</v>
      </c>
      <c r="D195" s="32" t="s">
        <v>1116</v>
      </c>
      <c r="E195" s="32" t="s">
        <v>1612</v>
      </c>
      <c r="F195" s="68" t="s">
        <v>1618</v>
      </c>
      <c r="G195" s="67"/>
    </row>
    <row r="196" spans="1:7" ht="15.75" customHeight="1">
      <c r="A196" s="9" t="s">
        <v>1394</v>
      </c>
      <c r="B196" s="9">
        <v>500</v>
      </c>
      <c r="C196" s="32">
        <v>50206</v>
      </c>
      <c r="D196" s="32" t="s">
        <v>1116</v>
      </c>
      <c r="E196" s="32" t="s">
        <v>1612</v>
      </c>
      <c r="F196" s="68" t="s">
        <v>1619</v>
      </c>
      <c r="G196" s="67"/>
    </row>
    <row r="197" spans="1:7" ht="15.75" customHeight="1">
      <c r="A197" s="9" t="s">
        <v>1394</v>
      </c>
      <c r="B197" s="9">
        <v>500</v>
      </c>
      <c r="C197" s="32">
        <v>50207</v>
      </c>
      <c r="D197" s="32" t="s">
        <v>1116</v>
      </c>
      <c r="E197" s="32" t="s">
        <v>1612</v>
      </c>
      <c r="F197" s="68" t="s">
        <v>1620</v>
      </c>
      <c r="G197" s="67"/>
    </row>
    <row r="198" spans="1:7" ht="15.75" customHeight="1">
      <c r="A198" s="9" t="s">
        <v>1394</v>
      </c>
      <c r="B198" s="9">
        <v>500</v>
      </c>
      <c r="C198" s="32">
        <v>50208</v>
      </c>
      <c r="D198" s="32" t="s">
        <v>1116</v>
      </c>
      <c r="E198" s="32" t="s">
        <v>1612</v>
      </c>
      <c r="F198" s="68" t="s">
        <v>1621</v>
      </c>
      <c r="G198" s="67"/>
    </row>
    <row r="199" spans="1:7" ht="15.75" customHeight="1">
      <c r="A199" s="9" t="s">
        <v>1394</v>
      </c>
      <c r="B199" s="9">
        <v>500</v>
      </c>
      <c r="C199" s="32">
        <v>50209</v>
      </c>
      <c r="D199" s="32" t="s">
        <v>1116</v>
      </c>
      <c r="E199" s="32" t="s">
        <v>1612</v>
      </c>
      <c r="F199" s="68" t="s">
        <v>1622</v>
      </c>
      <c r="G199" s="67"/>
    </row>
    <row r="200" spans="1:7" ht="15.75" customHeight="1">
      <c r="A200" s="9" t="s">
        <v>1394</v>
      </c>
      <c r="B200" s="9">
        <v>500</v>
      </c>
      <c r="C200" s="32">
        <v>50210</v>
      </c>
      <c r="D200" s="32" t="s">
        <v>1116</v>
      </c>
      <c r="E200" s="32" t="s">
        <v>1612</v>
      </c>
      <c r="F200" s="68" t="s">
        <v>1623</v>
      </c>
      <c r="G200" s="67"/>
    </row>
    <row r="201" spans="1:7" ht="15.75" customHeight="1">
      <c r="A201" s="9" t="s">
        <v>1394</v>
      </c>
      <c r="B201" s="9">
        <v>500</v>
      </c>
      <c r="C201" s="32">
        <v>50211</v>
      </c>
      <c r="D201" s="32" t="s">
        <v>1116</v>
      </c>
      <c r="E201" s="32" t="s">
        <v>1612</v>
      </c>
      <c r="F201" s="68" t="s">
        <v>1624</v>
      </c>
      <c r="G201" s="67"/>
    </row>
    <row r="202" spans="1:7" ht="15.75" customHeight="1">
      <c r="A202" s="9" t="s">
        <v>1394</v>
      </c>
      <c r="B202" s="9">
        <v>500</v>
      </c>
      <c r="C202" s="32">
        <v>50212</v>
      </c>
      <c r="D202" s="32" t="s">
        <v>1116</v>
      </c>
      <c r="E202" s="32" t="s">
        <v>1612</v>
      </c>
      <c r="F202" s="68" t="s">
        <v>1625</v>
      </c>
      <c r="G202" s="67"/>
    </row>
    <row r="203" spans="1:7" ht="15.75" customHeight="1">
      <c r="A203" s="9" t="s">
        <v>1394</v>
      </c>
      <c r="B203" s="9">
        <v>500</v>
      </c>
      <c r="C203" s="32">
        <v>50213</v>
      </c>
      <c r="D203" s="32" t="s">
        <v>1116</v>
      </c>
      <c r="E203" s="32" t="s">
        <v>1612</v>
      </c>
      <c r="F203" s="68" t="s">
        <v>1626</v>
      </c>
      <c r="G203" s="67"/>
    </row>
    <row r="204" spans="1:7" ht="15.75" customHeight="1">
      <c r="A204" s="9" t="s">
        <v>1394</v>
      </c>
      <c r="B204" s="9">
        <v>500</v>
      </c>
      <c r="C204" s="32">
        <v>50214</v>
      </c>
      <c r="D204" s="32" t="s">
        <v>1116</v>
      </c>
      <c r="E204" s="32" t="s">
        <v>1612</v>
      </c>
      <c r="F204" s="68" t="s">
        <v>1627</v>
      </c>
      <c r="G204" s="67"/>
    </row>
    <row r="205" spans="1:7" ht="15.75" customHeight="1">
      <c r="A205" s="9" t="s">
        <v>1394</v>
      </c>
      <c r="B205" s="9">
        <v>500</v>
      </c>
      <c r="C205" s="32">
        <v>50215</v>
      </c>
      <c r="D205" s="32" t="s">
        <v>1116</v>
      </c>
      <c r="E205" s="32" t="s">
        <v>1612</v>
      </c>
      <c r="F205" s="68" t="s">
        <v>1628</v>
      </c>
      <c r="G205" s="67"/>
    </row>
    <row r="206" spans="1:7" ht="15.75" customHeight="1">
      <c r="A206" s="9" t="s">
        <v>1394</v>
      </c>
      <c r="B206" s="9">
        <v>500</v>
      </c>
      <c r="C206" s="32">
        <v>50216</v>
      </c>
      <c r="D206" s="32" t="s">
        <v>1116</v>
      </c>
      <c r="E206" s="32" t="s">
        <v>1612</v>
      </c>
      <c r="F206" s="68" t="s">
        <v>1629</v>
      </c>
      <c r="G206" s="67"/>
    </row>
    <row r="207" spans="1:7" ht="15.75" customHeight="1">
      <c r="A207" s="9" t="s">
        <v>1394</v>
      </c>
      <c r="B207" s="9">
        <v>500</v>
      </c>
      <c r="C207" s="32">
        <v>50217</v>
      </c>
      <c r="D207" s="32" t="s">
        <v>1116</v>
      </c>
      <c r="E207" s="32" t="s">
        <v>1612</v>
      </c>
      <c r="F207" s="68" t="s">
        <v>1630</v>
      </c>
      <c r="G207" s="67"/>
    </row>
    <row r="208" spans="1:7" ht="15.75" customHeight="1">
      <c r="A208" s="9" t="s">
        <v>1394</v>
      </c>
      <c r="B208" s="9">
        <v>500</v>
      </c>
      <c r="C208" s="32">
        <v>50300</v>
      </c>
      <c r="D208" s="32" t="s">
        <v>1116</v>
      </c>
      <c r="E208" s="32" t="s">
        <v>1631</v>
      </c>
      <c r="F208" s="68" t="s">
        <v>1632</v>
      </c>
      <c r="G208" s="67"/>
    </row>
    <row r="209" spans="1:7" ht="15.75" customHeight="1">
      <c r="A209" s="9" t="s">
        <v>1394</v>
      </c>
      <c r="B209" s="9">
        <v>500</v>
      </c>
      <c r="C209" s="32">
        <v>50301</v>
      </c>
      <c r="D209" s="32" t="s">
        <v>1116</v>
      </c>
      <c r="E209" s="32" t="s">
        <v>1631</v>
      </c>
      <c r="F209" s="68" t="s">
        <v>1633</v>
      </c>
      <c r="G209" s="67"/>
    </row>
    <row r="210" spans="1:7" ht="15.75" customHeight="1">
      <c r="A210" s="9" t="s">
        <v>1394</v>
      </c>
      <c r="B210" s="9">
        <v>500</v>
      </c>
      <c r="C210" s="32">
        <v>50302</v>
      </c>
      <c r="D210" s="32" t="s">
        <v>1116</v>
      </c>
      <c r="E210" s="32" t="s">
        <v>1631</v>
      </c>
      <c r="F210" s="68" t="s">
        <v>1634</v>
      </c>
      <c r="G210" s="67"/>
    </row>
    <row r="211" spans="1:7" ht="15.75" customHeight="1">
      <c r="A211" s="9" t="s">
        <v>1394</v>
      </c>
      <c r="B211" s="9">
        <v>500</v>
      </c>
      <c r="C211" s="32">
        <v>50303</v>
      </c>
      <c r="D211" s="32" t="s">
        <v>1116</v>
      </c>
      <c r="E211" s="32" t="s">
        <v>1631</v>
      </c>
      <c r="F211" s="68" t="s">
        <v>1635</v>
      </c>
      <c r="G211" s="67"/>
    </row>
    <row r="212" spans="1:7" ht="15.75" customHeight="1">
      <c r="A212" s="9" t="s">
        <v>1394</v>
      </c>
      <c r="B212" s="9">
        <v>500</v>
      </c>
      <c r="C212" s="32">
        <v>50304</v>
      </c>
      <c r="D212" s="32" t="s">
        <v>1116</v>
      </c>
      <c r="E212" s="32" t="s">
        <v>1631</v>
      </c>
      <c r="F212" s="68" t="s">
        <v>1636</v>
      </c>
      <c r="G212" s="67"/>
    </row>
    <row r="213" spans="1:7" ht="15.75" customHeight="1">
      <c r="A213" s="9" t="s">
        <v>1394</v>
      </c>
      <c r="B213" s="9">
        <v>500</v>
      </c>
      <c r="C213" s="32">
        <v>50305</v>
      </c>
      <c r="D213" s="32" t="s">
        <v>1116</v>
      </c>
      <c r="E213" s="32" t="s">
        <v>1631</v>
      </c>
      <c r="F213" s="68" t="s">
        <v>1637</v>
      </c>
      <c r="G213" s="67"/>
    </row>
    <row r="214" spans="1:7" ht="15.75" customHeight="1">
      <c r="A214" s="69" t="s">
        <v>1394</v>
      </c>
      <c r="B214" s="69">
        <v>500</v>
      </c>
      <c r="C214" s="35">
        <v>50306</v>
      </c>
      <c r="D214" s="35" t="s">
        <v>1116</v>
      </c>
      <c r="E214" s="35" t="s">
        <v>1631</v>
      </c>
      <c r="F214" s="70" t="s">
        <v>1638</v>
      </c>
      <c r="G214" s="67"/>
    </row>
    <row r="215" spans="1:7" ht="15.75" customHeight="1">
      <c r="A215" s="65" t="s">
        <v>1394</v>
      </c>
      <c r="B215" s="65">
        <v>600</v>
      </c>
      <c r="C215" s="29">
        <v>60100</v>
      </c>
      <c r="D215" s="29" t="s">
        <v>1367</v>
      </c>
      <c r="E215" s="29" t="s">
        <v>1639</v>
      </c>
      <c r="F215" s="66" t="s">
        <v>1640</v>
      </c>
      <c r="G215" s="67"/>
    </row>
    <row r="216" spans="1:7" ht="15.75" customHeight="1">
      <c r="A216" s="9" t="s">
        <v>1394</v>
      </c>
      <c r="B216" s="9">
        <v>600</v>
      </c>
      <c r="C216" s="32">
        <v>60101</v>
      </c>
      <c r="D216" s="32" t="s">
        <v>1367</v>
      </c>
      <c r="E216" s="32" t="s">
        <v>1639</v>
      </c>
      <c r="F216" s="68" t="s">
        <v>1641</v>
      </c>
      <c r="G216" s="67"/>
    </row>
    <row r="217" spans="1:7" ht="15.75" customHeight="1">
      <c r="A217" s="9" t="s">
        <v>1394</v>
      </c>
      <c r="B217" s="9">
        <v>600</v>
      </c>
      <c r="C217" s="32">
        <v>60102</v>
      </c>
      <c r="D217" s="32" t="s">
        <v>1367</v>
      </c>
      <c r="E217" s="32" t="s">
        <v>1639</v>
      </c>
      <c r="F217" s="68" t="s">
        <v>1642</v>
      </c>
      <c r="G217" s="67"/>
    </row>
    <row r="218" spans="1:7" ht="15.75" customHeight="1">
      <c r="A218" s="9" t="s">
        <v>1394</v>
      </c>
      <c r="B218" s="9">
        <v>600</v>
      </c>
      <c r="C218" s="32">
        <v>60103</v>
      </c>
      <c r="D218" s="32" t="s">
        <v>1367</v>
      </c>
      <c r="E218" s="32" t="s">
        <v>1639</v>
      </c>
      <c r="F218" s="68" t="s">
        <v>1643</v>
      </c>
      <c r="G218" s="67"/>
    </row>
    <row r="219" spans="1:7" ht="15.75" customHeight="1">
      <c r="A219" s="9" t="s">
        <v>1394</v>
      </c>
      <c r="B219" s="9">
        <v>600</v>
      </c>
      <c r="C219" s="32">
        <v>60104</v>
      </c>
      <c r="D219" s="32" t="s">
        <v>1367</v>
      </c>
      <c r="E219" s="32" t="s">
        <v>1639</v>
      </c>
      <c r="F219" s="68" t="s">
        <v>1644</v>
      </c>
      <c r="G219" s="67"/>
    </row>
    <row r="220" spans="1:7" ht="15.75" customHeight="1">
      <c r="A220" s="9" t="s">
        <v>1394</v>
      </c>
      <c r="B220" s="9">
        <v>600</v>
      </c>
      <c r="C220" s="32">
        <v>60105</v>
      </c>
      <c r="D220" s="32" t="s">
        <v>1367</v>
      </c>
      <c r="E220" s="32" t="s">
        <v>1639</v>
      </c>
      <c r="F220" s="68" t="s">
        <v>1645</v>
      </c>
      <c r="G220" s="67"/>
    </row>
    <row r="221" spans="1:7" ht="15.75" customHeight="1">
      <c r="A221" s="9" t="s">
        <v>1394</v>
      </c>
      <c r="B221" s="9">
        <v>600</v>
      </c>
      <c r="C221" s="32">
        <v>60106</v>
      </c>
      <c r="D221" s="32" t="s">
        <v>1367</v>
      </c>
      <c r="E221" s="32" t="s">
        <v>1639</v>
      </c>
      <c r="F221" s="68" t="s">
        <v>1646</v>
      </c>
      <c r="G221" s="67"/>
    </row>
    <row r="222" spans="1:7" ht="15.75" customHeight="1">
      <c r="A222" s="9" t="s">
        <v>1394</v>
      </c>
      <c r="B222" s="9">
        <v>600</v>
      </c>
      <c r="C222" s="32">
        <v>60107</v>
      </c>
      <c r="D222" s="32" t="s">
        <v>1367</v>
      </c>
      <c r="E222" s="32" t="s">
        <v>1639</v>
      </c>
      <c r="F222" s="68" t="s">
        <v>1647</v>
      </c>
      <c r="G222" s="67"/>
    </row>
    <row r="223" spans="1:7" ht="15.75" customHeight="1">
      <c r="A223" s="9" t="s">
        <v>1394</v>
      </c>
      <c r="B223" s="9">
        <v>600</v>
      </c>
      <c r="C223" s="32">
        <v>60108</v>
      </c>
      <c r="D223" s="32" t="s">
        <v>1367</v>
      </c>
      <c r="E223" s="32" t="s">
        <v>1639</v>
      </c>
      <c r="F223" s="68" t="s">
        <v>1648</v>
      </c>
      <c r="G223" s="67"/>
    </row>
    <row r="224" spans="1:7" ht="15.75" customHeight="1">
      <c r="A224" s="9" t="s">
        <v>1394</v>
      </c>
      <c r="B224" s="9">
        <v>600</v>
      </c>
      <c r="C224" s="32">
        <v>60109</v>
      </c>
      <c r="D224" s="32" t="s">
        <v>1367</v>
      </c>
      <c r="E224" s="32" t="s">
        <v>1639</v>
      </c>
      <c r="F224" s="68" t="s">
        <v>1649</v>
      </c>
      <c r="G224" s="67"/>
    </row>
    <row r="225" spans="1:7" ht="15.75" customHeight="1">
      <c r="A225" s="9" t="s">
        <v>1394</v>
      </c>
      <c r="B225" s="9">
        <v>600</v>
      </c>
      <c r="C225" s="32">
        <v>60110</v>
      </c>
      <c r="D225" s="32" t="s">
        <v>1367</v>
      </c>
      <c r="E225" s="32" t="s">
        <v>1639</v>
      </c>
      <c r="F225" s="68" t="s">
        <v>1650</v>
      </c>
      <c r="G225" s="67"/>
    </row>
    <row r="226" spans="1:7" ht="15.75" customHeight="1">
      <c r="A226" s="9" t="s">
        <v>1394</v>
      </c>
      <c r="B226" s="9">
        <v>600</v>
      </c>
      <c r="C226" s="32">
        <v>60111</v>
      </c>
      <c r="D226" s="32" t="s">
        <v>1367</v>
      </c>
      <c r="E226" s="32" t="s">
        <v>1639</v>
      </c>
      <c r="F226" s="68" t="s">
        <v>1651</v>
      </c>
      <c r="G226" s="67"/>
    </row>
    <row r="227" spans="1:7" ht="15.75" customHeight="1">
      <c r="A227" s="9" t="s">
        <v>1394</v>
      </c>
      <c r="B227" s="9">
        <v>600</v>
      </c>
      <c r="C227" s="32">
        <v>60112</v>
      </c>
      <c r="D227" s="32" t="s">
        <v>1367</v>
      </c>
      <c r="E227" s="32" t="s">
        <v>1639</v>
      </c>
      <c r="F227" s="68" t="s">
        <v>1652</v>
      </c>
      <c r="G227" s="67"/>
    </row>
    <row r="228" spans="1:7" ht="15.75" customHeight="1">
      <c r="A228" s="9" t="s">
        <v>1394</v>
      </c>
      <c r="B228" s="9">
        <v>600</v>
      </c>
      <c r="C228" s="32">
        <v>60113</v>
      </c>
      <c r="D228" s="32" t="s">
        <v>1367</v>
      </c>
      <c r="E228" s="32" t="s">
        <v>1639</v>
      </c>
      <c r="F228" s="68" t="s">
        <v>1653</v>
      </c>
      <c r="G228" s="67"/>
    </row>
    <row r="229" spans="1:7" ht="15.75" customHeight="1">
      <c r="A229" s="9" t="s">
        <v>1394</v>
      </c>
      <c r="B229" s="9">
        <v>600</v>
      </c>
      <c r="C229" s="32">
        <v>60114</v>
      </c>
      <c r="D229" s="32" t="s">
        <v>1367</v>
      </c>
      <c r="E229" s="32" t="s">
        <v>1639</v>
      </c>
      <c r="F229" s="68" t="s">
        <v>1654</v>
      </c>
      <c r="G229" s="67"/>
    </row>
    <row r="230" spans="1:7" ht="15.75" customHeight="1">
      <c r="A230" s="9" t="s">
        <v>1394</v>
      </c>
      <c r="B230" s="9">
        <v>600</v>
      </c>
      <c r="C230" s="32">
        <v>60115</v>
      </c>
      <c r="D230" s="32" t="s">
        <v>1367</v>
      </c>
      <c r="E230" s="32" t="s">
        <v>1639</v>
      </c>
      <c r="F230" s="68" t="s">
        <v>1655</v>
      </c>
      <c r="G230" s="67"/>
    </row>
    <row r="231" spans="1:7" ht="15.75" customHeight="1">
      <c r="A231" s="9" t="s">
        <v>1394</v>
      </c>
      <c r="B231" s="9">
        <v>600</v>
      </c>
      <c r="C231" s="32">
        <v>60116</v>
      </c>
      <c r="D231" s="32" t="s">
        <v>1367</v>
      </c>
      <c r="E231" s="32" t="s">
        <v>1639</v>
      </c>
      <c r="F231" s="68" t="s">
        <v>1656</v>
      </c>
      <c r="G231" s="67"/>
    </row>
    <row r="232" spans="1:7" ht="15.75" customHeight="1">
      <c r="A232" s="9" t="s">
        <v>1394</v>
      </c>
      <c r="B232" s="9">
        <v>600</v>
      </c>
      <c r="C232" s="32">
        <v>60117</v>
      </c>
      <c r="D232" s="32" t="s">
        <v>1367</v>
      </c>
      <c r="E232" s="32" t="s">
        <v>1639</v>
      </c>
      <c r="F232" s="68" t="s">
        <v>1657</v>
      </c>
      <c r="G232" s="67"/>
    </row>
    <row r="233" spans="1:7" ht="15.75" customHeight="1">
      <c r="A233" s="9" t="s">
        <v>1394</v>
      </c>
      <c r="B233" s="9">
        <v>600</v>
      </c>
      <c r="C233" s="32">
        <v>60118</v>
      </c>
      <c r="D233" s="32" t="s">
        <v>1367</v>
      </c>
      <c r="E233" s="32" t="s">
        <v>1639</v>
      </c>
      <c r="F233" s="68" t="s">
        <v>1658</v>
      </c>
      <c r="G233" s="67"/>
    </row>
    <row r="234" spans="1:7" ht="15.75" customHeight="1">
      <c r="A234" s="9" t="s">
        <v>1394</v>
      </c>
      <c r="B234" s="9">
        <v>600</v>
      </c>
      <c r="C234" s="32">
        <v>60119</v>
      </c>
      <c r="D234" s="32" t="s">
        <v>1367</v>
      </c>
      <c r="E234" s="32" t="s">
        <v>1639</v>
      </c>
      <c r="F234" s="68" t="s">
        <v>1659</v>
      </c>
      <c r="G234" s="67"/>
    </row>
    <row r="235" spans="1:7" ht="15.75" customHeight="1">
      <c r="A235" s="9" t="s">
        <v>1394</v>
      </c>
      <c r="B235" s="9">
        <v>600</v>
      </c>
      <c r="C235" s="32">
        <v>60120</v>
      </c>
      <c r="D235" s="32" t="s">
        <v>1367</v>
      </c>
      <c r="E235" s="32" t="s">
        <v>1639</v>
      </c>
      <c r="F235" s="68" t="s">
        <v>1660</v>
      </c>
      <c r="G235" s="67"/>
    </row>
    <row r="236" spans="1:7" ht="15.75" customHeight="1">
      <c r="A236" s="9" t="s">
        <v>1394</v>
      </c>
      <c r="B236" s="9">
        <v>600</v>
      </c>
      <c r="C236" s="32">
        <v>60121</v>
      </c>
      <c r="D236" s="32" t="s">
        <v>1367</v>
      </c>
      <c r="E236" s="32" t="s">
        <v>1639</v>
      </c>
      <c r="F236" s="68" t="s">
        <v>1661</v>
      </c>
      <c r="G236" s="67"/>
    </row>
    <row r="237" spans="1:7" ht="15.75" customHeight="1">
      <c r="A237" s="9" t="s">
        <v>1394</v>
      </c>
      <c r="B237" s="9">
        <v>600</v>
      </c>
      <c r="C237" s="32">
        <v>60200</v>
      </c>
      <c r="D237" s="32" t="s">
        <v>1367</v>
      </c>
      <c r="E237" s="32" t="s">
        <v>1662</v>
      </c>
      <c r="F237" s="68" t="s">
        <v>1640</v>
      </c>
      <c r="G237" s="67"/>
    </row>
    <row r="238" spans="1:7" ht="15.75" customHeight="1">
      <c r="A238" s="9" t="s">
        <v>1394</v>
      </c>
      <c r="B238" s="9">
        <v>600</v>
      </c>
      <c r="C238" s="32">
        <v>60201</v>
      </c>
      <c r="D238" s="32" t="s">
        <v>1367</v>
      </c>
      <c r="E238" s="32" t="s">
        <v>1662</v>
      </c>
      <c r="F238" s="77" t="s">
        <v>1663</v>
      </c>
      <c r="G238" s="78"/>
    </row>
    <row r="239" spans="1:7" ht="15.75" customHeight="1">
      <c r="A239" s="9" t="s">
        <v>1394</v>
      </c>
      <c r="B239" s="9">
        <v>600</v>
      </c>
      <c r="C239" s="32">
        <v>60202</v>
      </c>
      <c r="D239" s="32" t="s">
        <v>1367</v>
      </c>
      <c r="E239" s="32" t="s">
        <v>1662</v>
      </c>
      <c r="F239" s="77" t="s">
        <v>1664</v>
      </c>
      <c r="G239" s="78"/>
    </row>
    <row r="240" spans="1:7" ht="15.75" customHeight="1">
      <c r="A240" s="9" t="s">
        <v>1394</v>
      </c>
      <c r="B240" s="9">
        <v>600</v>
      </c>
      <c r="C240" s="32">
        <v>60203</v>
      </c>
      <c r="D240" s="32" t="s">
        <v>1367</v>
      </c>
      <c r="E240" s="32" t="s">
        <v>1662</v>
      </c>
      <c r="F240" s="77" t="s">
        <v>1665</v>
      </c>
      <c r="G240" s="78"/>
    </row>
    <row r="241" spans="1:7" ht="15.75" customHeight="1">
      <c r="A241" s="9" t="s">
        <v>1394</v>
      </c>
      <c r="B241" s="9">
        <v>600</v>
      </c>
      <c r="C241" s="32">
        <v>60204</v>
      </c>
      <c r="D241" s="32" t="s">
        <v>1367</v>
      </c>
      <c r="E241" s="32" t="s">
        <v>1662</v>
      </c>
      <c r="F241" s="77" t="s">
        <v>1666</v>
      </c>
      <c r="G241" s="78"/>
    </row>
    <row r="242" spans="1:7" ht="15.75" customHeight="1">
      <c r="A242" s="9" t="s">
        <v>1394</v>
      </c>
      <c r="B242" s="9">
        <v>600</v>
      </c>
      <c r="C242" s="32">
        <v>60205</v>
      </c>
      <c r="D242" s="32" t="s">
        <v>1367</v>
      </c>
      <c r="E242" s="32" t="s">
        <v>1662</v>
      </c>
      <c r="F242" s="77" t="s">
        <v>1667</v>
      </c>
      <c r="G242" s="78"/>
    </row>
    <row r="243" spans="1:7" ht="15.75" customHeight="1">
      <c r="A243" s="9" t="s">
        <v>1394</v>
      </c>
      <c r="B243" s="9">
        <v>600</v>
      </c>
      <c r="C243" s="32">
        <v>60206</v>
      </c>
      <c r="D243" s="32" t="s">
        <v>1367</v>
      </c>
      <c r="E243" s="32" t="s">
        <v>1662</v>
      </c>
      <c r="F243" s="77" t="s">
        <v>1668</v>
      </c>
      <c r="G243" s="78"/>
    </row>
    <row r="244" spans="1:7" ht="15.75" customHeight="1">
      <c r="A244" s="9" t="s">
        <v>1394</v>
      </c>
      <c r="B244" s="9">
        <v>600</v>
      </c>
      <c r="C244" s="32">
        <v>60207</v>
      </c>
      <c r="D244" s="32" t="s">
        <v>1367</v>
      </c>
      <c r="E244" s="32" t="s">
        <v>1662</v>
      </c>
      <c r="F244" s="77" t="s">
        <v>1669</v>
      </c>
      <c r="G244" s="78"/>
    </row>
    <row r="245" spans="1:7" ht="15.75" customHeight="1">
      <c r="A245" s="9" t="s">
        <v>1394</v>
      </c>
      <c r="B245" s="9">
        <v>600</v>
      </c>
      <c r="C245" s="32">
        <v>60208</v>
      </c>
      <c r="D245" s="32" t="s">
        <v>1367</v>
      </c>
      <c r="E245" s="32" t="s">
        <v>1662</v>
      </c>
      <c r="F245" s="77" t="s">
        <v>1670</v>
      </c>
      <c r="G245" s="78"/>
    </row>
    <row r="246" spans="1:7" ht="15.75" customHeight="1">
      <c r="A246" s="9" t="s">
        <v>1394</v>
      </c>
      <c r="B246" s="9">
        <v>600</v>
      </c>
      <c r="C246" s="32">
        <v>60209</v>
      </c>
      <c r="D246" s="32" t="s">
        <v>1367</v>
      </c>
      <c r="E246" s="32" t="s">
        <v>1662</v>
      </c>
      <c r="F246" s="77" t="s">
        <v>1671</v>
      </c>
      <c r="G246" s="78"/>
    </row>
    <row r="247" spans="1:7" ht="15.75" customHeight="1">
      <c r="A247" s="9" t="s">
        <v>1394</v>
      </c>
      <c r="B247" s="9">
        <v>600</v>
      </c>
      <c r="C247" s="32">
        <v>60210</v>
      </c>
      <c r="D247" s="32" t="s">
        <v>1367</v>
      </c>
      <c r="E247" s="32" t="s">
        <v>1662</v>
      </c>
      <c r="F247" s="77" t="s">
        <v>1672</v>
      </c>
      <c r="G247" s="78"/>
    </row>
    <row r="248" spans="1:7" ht="15.75" customHeight="1">
      <c r="A248" s="9" t="s">
        <v>1394</v>
      </c>
      <c r="B248" s="9">
        <v>600</v>
      </c>
      <c r="C248" s="32">
        <v>60211</v>
      </c>
      <c r="D248" s="32" t="s">
        <v>1367</v>
      </c>
      <c r="E248" s="32" t="s">
        <v>1662</v>
      </c>
      <c r="F248" s="77" t="s">
        <v>1673</v>
      </c>
      <c r="G248" s="78"/>
    </row>
    <row r="249" spans="1:7" ht="15.75" customHeight="1">
      <c r="A249" s="9" t="s">
        <v>1394</v>
      </c>
      <c r="B249" s="9">
        <v>600</v>
      </c>
      <c r="C249" s="32">
        <v>60212</v>
      </c>
      <c r="D249" s="32" t="s">
        <v>1367</v>
      </c>
      <c r="E249" s="32" t="s">
        <v>1662</v>
      </c>
      <c r="F249" s="77" t="s">
        <v>1674</v>
      </c>
      <c r="G249" s="78"/>
    </row>
    <row r="250" spans="1:7" ht="15.75" customHeight="1">
      <c r="A250" s="9" t="s">
        <v>1394</v>
      </c>
      <c r="B250" s="9">
        <v>600</v>
      </c>
      <c r="C250" s="32">
        <v>60213</v>
      </c>
      <c r="D250" s="32" t="s">
        <v>1367</v>
      </c>
      <c r="E250" s="32" t="s">
        <v>1662</v>
      </c>
      <c r="F250" s="77" t="s">
        <v>1675</v>
      </c>
      <c r="G250" s="78"/>
    </row>
    <row r="251" spans="1:7" ht="15.75" customHeight="1">
      <c r="A251" s="9" t="s">
        <v>1394</v>
      </c>
      <c r="B251" s="9">
        <v>600</v>
      </c>
      <c r="C251" s="6">
        <v>60300</v>
      </c>
      <c r="D251" s="32" t="s">
        <v>1367</v>
      </c>
      <c r="E251" s="6" t="s">
        <v>1676</v>
      </c>
      <c r="F251" s="79" t="s">
        <v>1677</v>
      </c>
      <c r="G251" s="80"/>
    </row>
    <row r="252" spans="1:7" ht="15.75" customHeight="1">
      <c r="A252" s="9" t="s">
        <v>1394</v>
      </c>
      <c r="B252" s="9">
        <v>600</v>
      </c>
      <c r="C252" s="6">
        <v>60301</v>
      </c>
      <c r="D252" s="32" t="s">
        <v>1367</v>
      </c>
      <c r="E252" s="6" t="s">
        <v>1676</v>
      </c>
      <c r="F252" s="79" t="s">
        <v>1678</v>
      </c>
      <c r="G252" s="80"/>
    </row>
    <row r="253" spans="1:7" ht="15.75" customHeight="1">
      <c r="A253" s="9" t="s">
        <v>1394</v>
      </c>
      <c r="B253" s="9">
        <v>600</v>
      </c>
      <c r="C253" s="6">
        <v>60302</v>
      </c>
      <c r="D253" s="32" t="s">
        <v>1367</v>
      </c>
      <c r="E253" s="6" t="s">
        <v>1676</v>
      </c>
      <c r="F253" s="79" t="s">
        <v>1679</v>
      </c>
      <c r="G253" s="80"/>
    </row>
    <row r="254" spans="1:7" ht="15.75" customHeight="1">
      <c r="A254" s="9" t="s">
        <v>1394</v>
      </c>
      <c r="B254" s="9">
        <v>600</v>
      </c>
      <c r="C254" s="6">
        <v>60303</v>
      </c>
      <c r="D254" s="32" t="s">
        <v>1367</v>
      </c>
      <c r="E254" s="6" t="s">
        <v>1676</v>
      </c>
      <c r="F254" s="79" t="s">
        <v>1680</v>
      </c>
      <c r="G254" s="80"/>
    </row>
    <row r="255" spans="1:7" ht="15.75" customHeight="1">
      <c r="A255" s="9" t="s">
        <v>1394</v>
      </c>
      <c r="B255" s="9">
        <v>600</v>
      </c>
      <c r="C255" s="6">
        <v>60304</v>
      </c>
      <c r="D255" s="32" t="s">
        <v>1367</v>
      </c>
      <c r="E255" s="6" t="s">
        <v>1676</v>
      </c>
      <c r="F255" s="79" t="s">
        <v>1681</v>
      </c>
      <c r="G255" s="80"/>
    </row>
    <row r="256" spans="1:7" ht="15.75" customHeight="1">
      <c r="A256" s="9" t="s">
        <v>1394</v>
      </c>
      <c r="B256" s="9">
        <v>600</v>
      </c>
      <c r="C256" s="6">
        <v>60305</v>
      </c>
      <c r="D256" s="32" t="s">
        <v>1367</v>
      </c>
      <c r="E256" s="6" t="s">
        <v>1676</v>
      </c>
      <c r="F256" s="79" t="s">
        <v>1682</v>
      </c>
      <c r="G256" s="80"/>
    </row>
    <row r="257" spans="1:7" ht="15.75" customHeight="1">
      <c r="A257" s="9" t="s">
        <v>1394</v>
      </c>
      <c r="B257" s="9">
        <v>600</v>
      </c>
      <c r="C257" s="6">
        <v>60306</v>
      </c>
      <c r="D257" s="32" t="s">
        <v>1367</v>
      </c>
      <c r="E257" s="6" t="s">
        <v>1676</v>
      </c>
      <c r="F257" s="79" t="s">
        <v>1683</v>
      </c>
      <c r="G257" s="80"/>
    </row>
    <row r="258" spans="1:7" ht="15.75" customHeight="1">
      <c r="A258" s="9" t="s">
        <v>1394</v>
      </c>
      <c r="B258" s="9">
        <v>600</v>
      </c>
      <c r="C258" s="6">
        <v>60400</v>
      </c>
      <c r="D258" s="32" t="s">
        <v>1367</v>
      </c>
      <c r="E258" s="6" t="s">
        <v>1388</v>
      </c>
      <c r="F258" s="79" t="s">
        <v>1684</v>
      </c>
      <c r="G258" s="80"/>
    </row>
    <row r="259" spans="1:7" ht="15.75" customHeight="1">
      <c r="A259" s="69" t="s">
        <v>1394</v>
      </c>
      <c r="B259" s="69">
        <v>600</v>
      </c>
      <c r="C259" s="8">
        <v>60401</v>
      </c>
      <c r="D259" s="35" t="s">
        <v>1367</v>
      </c>
      <c r="E259" s="8" t="s">
        <v>1388</v>
      </c>
      <c r="F259" s="81" t="s">
        <v>1685</v>
      </c>
      <c r="G259" s="80"/>
    </row>
    <row r="260" spans="1:7" ht="15">
      <c r="A260" s="82"/>
      <c r="B260" s="82"/>
      <c r="C260" s="83"/>
      <c r="D260" s="11"/>
      <c r="E260" s="11"/>
      <c r="F260" s="10"/>
      <c r="G260" s="80"/>
    </row>
    <row r="261" spans="1:7" ht="15">
      <c r="A261" s="84"/>
      <c r="B261" s="84"/>
      <c r="C261" s="12"/>
      <c r="F261" s="14"/>
      <c r="G261" s="80"/>
    </row>
    <row r="262" spans="1:7" ht="15">
      <c r="A262" s="84"/>
      <c r="B262" s="84"/>
      <c r="C262" s="12"/>
      <c r="F262" s="14"/>
      <c r="G262" s="80"/>
    </row>
    <row r="263" spans="1:7" ht="15">
      <c r="A263" s="84"/>
      <c r="B263" s="84"/>
      <c r="C263" s="12"/>
      <c r="F263" s="14"/>
      <c r="G263" s="80"/>
    </row>
    <row r="264" spans="1:7" ht="15">
      <c r="A264" s="84"/>
      <c r="B264" s="84"/>
      <c r="C264" s="12"/>
      <c r="F264" s="14"/>
      <c r="G264" s="80"/>
    </row>
    <row r="265" spans="1:7" ht="15">
      <c r="A265" s="84"/>
      <c r="B265" s="84"/>
      <c r="C265" s="12"/>
      <c r="F265" s="14"/>
      <c r="G265" s="80"/>
    </row>
    <row r="266" spans="1:7" ht="15">
      <c r="A266" s="84"/>
      <c r="B266" s="84"/>
      <c r="C266" s="12"/>
      <c r="F266" s="14"/>
      <c r="G266" s="80"/>
    </row>
    <row r="267" spans="1:7" ht="15">
      <c r="A267" s="84"/>
      <c r="B267" s="84"/>
      <c r="C267" s="12"/>
      <c r="F267" s="14"/>
      <c r="G267" s="80"/>
    </row>
    <row r="268" spans="1:7" ht="15">
      <c r="A268" s="84"/>
      <c r="B268" s="84"/>
      <c r="C268" s="12"/>
      <c r="F268" s="14"/>
      <c r="G268" s="80"/>
    </row>
    <row r="269" spans="1:7" ht="15">
      <c r="A269" s="84"/>
      <c r="B269" s="84"/>
      <c r="C269" s="12"/>
      <c r="F269" s="14"/>
      <c r="G269" s="80"/>
    </row>
    <row r="270" spans="1:7" ht="15">
      <c r="A270" s="84"/>
      <c r="B270" s="84"/>
      <c r="C270" s="12"/>
      <c r="F270" s="14"/>
      <c r="G270" s="80"/>
    </row>
    <row r="271" spans="1:7" ht="15">
      <c r="A271" s="84"/>
      <c r="B271" s="84"/>
      <c r="C271" s="12"/>
      <c r="F271" s="14"/>
      <c r="G271" s="80"/>
    </row>
    <row r="272" spans="1:7" ht="15">
      <c r="A272" s="84"/>
      <c r="B272" s="84"/>
      <c r="C272" s="12"/>
      <c r="F272" s="14"/>
      <c r="G272" s="80"/>
    </row>
    <row r="273" spans="1:7" ht="15">
      <c r="A273" s="84"/>
      <c r="B273" s="84"/>
      <c r="C273" s="12"/>
      <c r="F273" s="14"/>
      <c r="G273" s="80"/>
    </row>
    <row r="274" spans="1:7" ht="15">
      <c r="A274" s="84"/>
      <c r="B274" s="84"/>
      <c r="C274" s="12"/>
      <c r="F274" s="14"/>
      <c r="G274" s="80"/>
    </row>
    <row r="275" spans="1:7" ht="15">
      <c r="A275" s="84"/>
      <c r="B275" s="84"/>
      <c r="C275" s="12"/>
      <c r="F275" s="14"/>
      <c r="G275" s="80"/>
    </row>
    <row r="276" spans="1:7" ht="15">
      <c r="A276" s="84"/>
      <c r="B276" s="84"/>
      <c r="C276" s="12"/>
      <c r="F276" s="14"/>
      <c r="G276" s="80"/>
    </row>
    <row r="277" spans="1:7" ht="15">
      <c r="A277" s="84"/>
      <c r="B277" s="84"/>
      <c r="C277" s="12"/>
      <c r="G277" s="43"/>
    </row>
    <row r="278" spans="1:7" ht="15">
      <c r="A278" s="84"/>
      <c r="B278" s="84"/>
      <c r="C278" s="12"/>
      <c r="G278" s="43"/>
    </row>
    <row r="279" spans="1:7" ht="15">
      <c r="A279" s="84"/>
      <c r="B279" s="84"/>
      <c r="C279" s="12"/>
      <c r="G279" s="43"/>
    </row>
    <row r="280" spans="1:7" ht="15">
      <c r="A280" s="84"/>
      <c r="B280" s="84"/>
      <c r="C280" s="12"/>
      <c r="G280" s="43"/>
    </row>
    <row r="281" spans="1:7" ht="15">
      <c r="A281" s="84"/>
      <c r="B281" s="84"/>
      <c r="C281" s="85"/>
      <c r="D281" s="212"/>
      <c r="E281" s="180"/>
      <c r="F281" s="86"/>
      <c r="G281" s="87"/>
    </row>
    <row r="282" spans="1:7" ht="15">
      <c r="A282" s="84"/>
      <c r="B282" s="84"/>
      <c r="C282" s="12"/>
      <c r="F282" s="13"/>
      <c r="G282" s="88"/>
    </row>
    <row r="283" spans="1:7" ht="15">
      <c r="A283" s="84"/>
      <c r="B283" s="84"/>
      <c r="C283" s="12"/>
      <c r="F283" s="13"/>
      <c r="G283" s="88"/>
    </row>
    <row r="284" spans="1:7" ht="15">
      <c r="A284" s="84"/>
      <c r="B284" s="84"/>
      <c r="C284" s="12"/>
      <c r="F284" s="13"/>
      <c r="G284" s="88"/>
    </row>
    <row r="285" spans="1:7" ht="15">
      <c r="A285" s="84"/>
      <c r="B285" s="84"/>
      <c r="C285" s="12"/>
      <c r="F285" s="13"/>
      <c r="G285" s="88"/>
    </row>
    <row r="286" spans="1:7" ht="15">
      <c r="A286" s="84"/>
      <c r="B286" s="84"/>
      <c r="C286" s="12"/>
      <c r="F286" s="13"/>
      <c r="G286" s="88"/>
    </row>
    <row r="287" spans="1:7" ht="15">
      <c r="A287" s="84"/>
      <c r="B287" s="84"/>
      <c r="C287" s="12"/>
      <c r="F287" s="13"/>
      <c r="G287" s="88"/>
    </row>
    <row r="288" spans="1:7" ht="15">
      <c r="A288" s="84"/>
      <c r="B288" s="84"/>
      <c r="C288" s="12"/>
      <c r="F288" s="13"/>
      <c r="G288" s="88"/>
    </row>
    <row r="289" spans="1:7" ht="15">
      <c r="A289" s="84"/>
      <c r="B289" s="84"/>
      <c r="C289" s="12"/>
      <c r="F289" s="13"/>
      <c r="G289" s="88"/>
    </row>
    <row r="290" spans="1:7" ht="15">
      <c r="A290" s="84"/>
      <c r="B290" s="84"/>
      <c r="C290" s="12"/>
      <c r="F290" s="13"/>
      <c r="G290" s="88"/>
    </row>
    <row r="291" spans="1:7" ht="15">
      <c r="A291" s="84"/>
      <c r="B291" s="84"/>
      <c r="C291" s="12"/>
      <c r="F291" s="13"/>
      <c r="G291" s="88"/>
    </row>
    <row r="292" spans="1:7" ht="15">
      <c r="A292" s="84"/>
      <c r="B292" s="84"/>
      <c r="C292" s="12"/>
      <c r="F292" s="13"/>
      <c r="G292" s="88"/>
    </row>
    <row r="293" spans="1:7" ht="15">
      <c r="A293" s="84"/>
      <c r="B293" s="84"/>
      <c r="C293" s="12"/>
      <c r="F293" s="13"/>
      <c r="G293" s="88"/>
    </row>
    <row r="294" spans="1:7" ht="15">
      <c r="A294" s="84"/>
      <c r="B294" s="84"/>
      <c r="C294" s="12"/>
      <c r="F294" s="13"/>
      <c r="G294" s="88"/>
    </row>
    <row r="295" spans="1:7" ht="15">
      <c r="A295" s="84"/>
      <c r="B295" s="84"/>
      <c r="C295" s="12"/>
      <c r="F295" s="13"/>
      <c r="G295" s="88"/>
    </row>
    <row r="296" spans="1:7" ht="15">
      <c r="A296" s="84"/>
      <c r="B296" s="84"/>
      <c r="C296" s="12"/>
      <c r="F296" s="13"/>
      <c r="G296" s="88"/>
    </row>
    <row r="297" spans="1:7" ht="15">
      <c r="A297" s="84"/>
      <c r="B297" s="84"/>
      <c r="C297" s="12"/>
      <c r="F297" s="13"/>
      <c r="G297" s="88"/>
    </row>
    <row r="298" spans="1:7" ht="15">
      <c r="A298" s="84"/>
      <c r="B298" s="84"/>
      <c r="C298" s="12"/>
      <c r="F298" s="13"/>
      <c r="G298" s="88"/>
    </row>
    <row r="299" spans="1:7" ht="15">
      <c r="A299" s="84"/>
      <c r="B299" s="84"/>
      <c r="C299" s="12"/>
      <c r="F299" s="13"/>
      <c r="G299" s="88"/>
    </row>
    <row r="300" spans="1:7" ht="15">
      <c r="A300" s="84"/>
      <c r="B300" s="84"/>
      <c r="C300" s="12"/>
      <c r="F300" s="13"/>
      <c r="G300" s="88"/>
    </row>
    <row r="301" spans="1:7" ht="15">
      <c r="A301" s="84"/>
      <c r="B301" s="84"/>
      <c r="C301" s="12"/>
      <c r="F301" s="13"/>
      <c r="G301" s="88"/>
    </row>
    <row r="302" spans="1:7" ht="15">
      <c r="A302" s="84"/>
      <c r="B302" s="84"/>
      <c r="C302" s="12"/>
      <c r="F302" s="13"/>
      <c r="G302" s="88"/>
    </row>
    <row r="303" spans="1:7" ht="15">
      <c r="A303" s="84"/>
      <c r="B303" s="84"/>
      <c r="C303" s="12"/>
      <c r="F303" s="13"/>
      <c r="G303" s="88"/>
    </row>
    <row r="304" spans="1:7" ht="15">
      <c r="A304" s="84"/>
      <c r="B304" s="84"/>
      <c r="C304" s="12"/>
      <c r="F304" s="13"/>
      <c r="G304" s="88"/>
    </row>
    <row r="305" spans="1:7" ht="15">
      <c r="A305" s="84"/>
      <c r="B305" s="84"/>
      <c r="C305" s="12"/>
      <c r="F305" s="13"/>
      <c r="G305" s="88"/>
    </row>
    <row r="306" spans="1:7" ht="15">
      <c r="A306" s="84"/>
      <c r="B306" s="84"/>
      <c r="C306" s="12"/>
      <c r="F306" s="13"/>
      <c r="G306" s="88"/>
    </row>
    <row r="307" spans="1:7" ht="15">
      <c r="A307" s="84"/>
      <c r="B307" s="84"/>
      <c r="C307" s="12"/>
      <c r="F307" s="13"/>
      <c r="G307" s="88"/>
    </row>
    <row r="308" spans="1:7" ht="15">
      <c r="A308" s="84"/>
      <c r="B308" s="84"/>
      <c r="C308" s="12"/>
      <c r="F308" s="13"/>
      <c r="G308" s="88"/>
    </row>
    <row r="309" spans="1:7" ht="15">
      <c r="A309" s="84"/>
      <c r="B309" s="84"/>
      <c r="C309" s="12"/>
      <c r="F309" s="13"/>
      <c r="G309" s="88"/>
    </row>
    <row r="310" spans="1:7" ht="15">
      <c r="A310" s="84"/>
      <c r="B310" s="84"/>
      <c r="C310" s="12"/>
      <c r="F310" s="13"/>
      <c r="G310" s="88"/>
    </row>
    <row r="311" spans="1:7" ht="15">
      <c r="A311" s="84"/>
      <c r="B311" s="84"/>
      <c r="C311" s="12"/>
      <c r="F311" s="13"/>
      <c r="G311" s="88"/>
    </row>
    <row r="312" spans="1:7" ht="15">
      <c r="A312" s="84"/>
      <c r="B312" s="84"/>
      <c r="C312" s="12"/>
      <c r="F312" s="13"/>
      <c r="G312" s="88"/>
    </row>
    <row r="313" spans="1:7" ht="15">
      <c r="A313" s="84"/>
      <c r="B313" s="84"/>
      <c r="C313" s="12"/>
      <c r="F313" s="13"/>
      <c r="G313" s="88"/>
    </row>
    <row r="314" spans="1:7" ht="15">
      <c r="A314" s="84"/>
      <c r="B314" s="84"/>
      <c r="C314" s="12"/>
      <c r="F314" s="13"/>
      <c r="G314" s="88"/>
    </row>
    <row r="315" spans="1:7" ht="15">
      <c r="A315" s="84"/>
      <c r="B315" s="84"/>
      <c r="C315" s="12"/>
      <c r="F315" s="13"/>
      <c r="G315" s="88"/>
    </row>
    <row r="316" spans="1:7" ht="15">
      <c r="A316" s="84"/>
      <c r="B316" s="84"/>
      <c r="C316" s="12"/>
      <c r="F316" s="13"/>
      <c r="G316" s="88"/>
    </row>
    <row r="317" spans="1:7" ht="15">
      <c r="A317" s="84"/>
      <c r="B317" s="84"/>
      <c r="C317" s="12"/>
      <c r="F317" s="13"/>
      <c r="G317" s="88"/>
    </row>
    <row r="318" spans="1:7" ht="15">
      <c r="A318" s="84"/>
      <c r="B318" s="84"/>
      <c r="C318" s="12"/>
      <c r="F318" s="13"/>
      <c r="G318" s="88"/>
    </row>
    <row r="319" spans="1:7" ht="15">
      <c r="A319" s="84"/>
      <c r="B319" s="84"/>
      <c r="C319" s="12"/>
      <c r="F319" s="13"/>
      <c r="G319" s="88"/>
    </row>
    <row r="320" spans="1:7" ht="15">
      <c r="A320" s="84"/>
      <c r="B320" s="84"/>
      <c r="C320" s="12"/>
      <c r="F320" s="13"/>
      <c r="G320" s="88"/>
    </row>
    <row r="321" spans="1:7" ht="15">
      <c r="A321" s="84"/>
      <c r="B321" s="84"/>
      <c r="C321" s="12"/>
      <c r="F321" s="13"/>
      <c r="G321" s="88"/>
    </row>
    <row r="322" spans="1:7" ht="15">
      <c r="A322" s="84"/>
      <c r="B322" s="84"/>
      <c r="C322" s="12"/>
      <c r="F322" s="13"/>
      <c r="G322" s="88"/>
    </row>
    <row r="323" spans="1:7" ht="15">
      <c r="A323" s="84"/>
      <c r="B323" s="84"/>
      <c r="C323" s="12"/>
      <c r="F323" s="13"/>
      <c r="G323" s="88"/>
    </row>
    <row r="324" spans="1:7" ht="15">
      <c r="A324" s="84"/>
      <c r="B324" s="84"/>
      <c r="C324" s="12"/>
      <c r="F324" s="13"/>
      <c r="G324" s="88"/>
    </row>
    <row r="325" spans="1:7" ht="15">
      <c r="A325" s="84"/>
      <c r="B325" s="84"/>
      <c r="C325" s="12"/>
      <c r="F325" s="13"/>
      <c r="G325" s="88"/>
    </row>
    <row r="326" spans="1:7" ht="15">
      <c r="A326" s="84"/>
      <c r="B326" s="84"/>
      <c r="C326" s="12"/>
      <c r="F326" s="13"/>
      <c r="G326" s="88"/>
    </row>
    <row r="327" spans="1:7" ht="15">
      <c r="A327" s="84"/>
      <c r="B327" s="84"/>
      <c r="C327" s="12"/>
      <c r="F327" s="13"/>
      <c r="G327" s="88"/>
    </row>
    <row r="328" spans="1:7" ht="15">
      <c r="A328" s="84"/>
      <c r="B328" s="84"/>
      <c r="C328" s="12"/>
      <c r="F328" s="13"/>
      <c r="G328" s="88"/>
    </row>
    <row r="329" spans="1:7" ht="15">
      <c r="A329" s="84"/>
      <c r="B329" s="84"/>
      <c r="C329" s="12"/>
      <c r="F329" s="13"/>
      <c r="G329" s="88"/>
    </row>
    <row r="330" spans="1:7" ht="15">
      <c r="A330" s="84"/>
      <c r="B330" s="84"/>
      <c r="C330" s="12"/>
      <c r="F330" s="13"/>
      <c r="G330" s="88"/>
    </row>
    <row r="331" spans="1:7" ht="15">
      <c r="A331" s="84"/>
      <c r="B331" s="84"/>
      <c r="C331" s="12"/>
      <c r="F331" s="13"/>
      <c r="G331" s="88"/>
    </row>
    <row r="332" spans="1:7" ht="15">
      <c r="A332" s="84"/>
      <c r="B332" s="84"/>
      <c r="C332" s="12"/>
      <c r="F332" s="13"/>
      <c r="G332" s="88"/>
    </row>
    <row r="333" spans="1:7" ht="15">
      <c r="A333" s="84"/>
      <c r="B333" s="84"/>
      <c r="C333" s="12"/>
      <c r="F333" s="13"/>
      <c r="G333" s="88"/>
    </row>
    <row r="334" spans="1:7" ht="15">
      <c r="A334" s="84"/>
      <c r="B334" s="84"/>
      <c r="C334" s="12"/>
      <c r="F334" s="13"/>
      <c r="G334" s="88"/>
    </row>
    <row r="335" spans="1:7" ht="15">
      <c r="A335" s="84"/>
      <c r="B335" s="84"/>
      <c r="C335" s="12"/>
      <c r="F335" s="13"/>
      <c r="G335" s="88"/>
    </row>
    <row r="336" spans="1:7" ht="15">
      <c r="A336" s="84"/>
      <c r="B336" s="84"/>
      <c r="C336" s="12"/>
      <c r="F336" s="13"/>
      <c r="G336" s="88"/>
    </row>
    <row r="337" spans="1:7" ht="15">
      <c r="A337" s="84"/>
      <c r="B337" s="84"/>
      <c r="C337" s="12"/>
      <c r="F337" s="13"/>
      <c r="G337" s="88"/>
    </row>
    <row r="338" spans="1:7" ht="15">
      <c r="A338" s="84"/>
      <c r="B338" s="84"/>
      <c r="C338" s="12"/>
      <c r="F338" s="13"/>
      <c r="G338" s="88"/>
    </row>
    <row r="339" spans="1:7" ht="15">
      <c r="A339" s="84"/>
      <c r="B339" s="84"/>
      <c r="C339" s="12"/>
      <c r="F339" s="13"/>
      <c r="G339" s="88"/>
    </row>
    <row r="340" spans="1:7" ht="15">
      <c r="A340" s="84"/>
      <c r="B340" s="84"/>
      <c r="C340" s="12"/>
      <c r="F340" s="13"/>
      <c r="G340" s="88"/>
    </row>
    <row r="341" spans="1:7" ht="15">
      <c r="A341" s="84"/>
      <c r="B341" s="84"/>
      <c r="C341" s="12"/>
      <c r="F341" s="13"/>
      <c r="G341" s="88"/>
    </row>
    <row r="342" spans="1:7" ht="15">
      <c r="A342" s="84"/>
      <c r="B342" s="84"/>
      <c r="C342" s="12"/>
      <c r="F342" s="13"/>
      <c r="G342" s="88"/>
    </row>
    <row r="343" spans="1:7" ht="15">
      <c r="A343" s="84"/>
      <c r="B343" s="84"/>
      <c r="C343" s="12"/>
      <c r="F343" s="13"/>
      <c r="G343" s="88"/>
    </row>
    <row r="344" spans="1:7" ht="15">
      <c r="A344" s="84"/>
      <c r="B344" s="84"/>
      <c r="C344" s="12"/>
      <c r="F344" s="13"/>
      <c r="G344" s="88"/>
    </row>
    <row r="345" spans="1:7" ht="15">
      <c r="A345" s="84"/>
      <c r="B345" s="84"/>
      <c r="C345" s="12"/>
      <c r="F345" s="13"/>
      <c r="G345" s="88"/>
    </row>
    <row r="346" spans="1:7" ht="15">
      <c r="A346" s="84"/>
      <c r="B346" s="84"/>
      <c r="C346" s="12"/>
      <c r="F346" s="13"/>
      <c r="G346" s="88"/>
    </row>
    <row r="347" spans="1:7" ht="15">
      <c r="A347" s="84"/>
      <c r="B347" s="84"/>
      <c r="C347" s="12"/>
      <c r="F347" s="13"/>
      <c r="G347" s="88"/>
    </row>
    <row r="348" spans="1:7" ht="15">
      <c r="A348" s="84"/>
      <c r="B348" s="84"/>
      <c r="C348" s="12"/>
      <c r="F348" s="13"/>
      <c r="G348" s="88"/>
    </row>
    <row r="349" spans="1:7" ht="15">
      <c r="A349" s="84"/>
      <c r="B349" s="84"/>
      <c r="C349" s="12"/>
      <c r="F349" s="13"/>
      <c r="G349" s="88"/>
    </row>
    <row r="350" spans="1:7" ht="15">
      <c r="A350" s="84"/>
      <c r="B350" s="84"/>
      <c r="C350" s="12"/>
      <c r="F350" s="13"/>
      <c r="G350" s="88"/>
    </row>
    <row r="351" spans="1:7" ht="15">
      <c r="A351" s="84"/>
      <c r="B351" s="84"/>
      <c r="C351" s="12"/>
      <c r="F351" s="13"/>
      <c r="G351" s="88"/>
    </row>
    <row r="352" spans="1:7" ht="15">
      <c r="A352" s="84"/>
      <c r="B352" s="84"/>
      <c r="C352" s="12"/>
      <c r="F352" s="13"/>
      <c r="G352" s="88"/>
    </row>
    <row r="353" spans="1:7" ht="15">
      <c r="A353" s="84"/>
      <c r="B353" s="84"/>
      <c r="C353" s="12"/>
      <c r="F353" s="13"/>
      <c r="G353" s="88"/>
    </row>
    <row r="354" spans="1:7" ht="15">
      <c r="A354" s="84"/>
      <c r="B354" s="84"/>
      <c r="C354" s="12"/>
      <c r="F354" s="13"/>
      <c r="G354" s="88"/>
    </row>
    <row r="355" spans="1:7" ht="15">
      <c r="A355" s="84"/>
      <c r="B355" s="84"/>
      <c r="C355" s="12"/>
      <c r="F355" s="13"/>
      <c r="G355" s="88"/>
    </row>
    <row r="356" spans="1:7" ht="15">
      <c r="A356" s="84"/>
      <c r="B356" s="84"/>
      <c r="C356" s="12"/>
      <c r="F356" s="13"/>
      <c r="G356" s="88"/>
    </row>
    <row r="357" spans="1:7" ht="15">
      <c r="A357" s="84"/>
      <c r="B357" s="84"/>
      <c r="C357" s="12"/>
      <c r="F357" s="13"/>
      <c r="G357" s="88"/>
    </row>
    <row r="358" spans="1:7" ht="15">
      <c r="A358" s="84"/>
      <c r="B358" s="84"/>
      <c r="C358" s="12"/>
      <c r="F358" s="13"/>
      <c r="G358" s="88"/>
    </row>
    <row r="359" spans="1:7" ht="15">
      <c r="A359" s="84"/>
      <c r="B359" s="84"/>
      <c r="C359" s="12"/>
      <c r="F359" s="13"/>
      <c r="G359" s="88"/>
    </row>
    <row r="360" spans="1:7" ht="15">
      <c r="A360" s="84"/>
      <c r="B360" s="84"/>
      <c r="C360" s="12"/>
      <c r="F360" s="13"/>
      <c r="G360" s="88"/>
    </row>
    <row r="361" spans="1:7" ht="15">
      <c r="A361" s="84"/>
      <c r="B361" s="84"/>
      <c r="C361" s="12"/>
      <c r="F361" s="13"/>
      <c r="G361" s="88"/>
    </row>
    <row r="362" spans="1:7" ht="15">
      <c r="A362" s="84"/>
      <c r="B362" s="84"/>
      <c r="C362" s="12"/>
      <c r="F362" s="13"/>
      <c r="G362" s="88"/>
    </row>
    <row r="363" spans="1:7" ht="15">
      <c r="A363" s="84"/>
      <c r="B363" s="84"/>
      <c r="C363" s="12"/>
      <c r="F363" s="13"/>
      <c r="G363" s="88"/>
    </row>
    <row r="364" spans="1:7" ht="15">
      <c r="A364" s="84"/>
      <c r="B364" s="84"/>
      <c r="C364" s="12"/>
      <c r="F364" s="13"/>
      <c r="G364" s="88"/>
    </row>
    <row r="365" spans="1:7" ht="15">
      <c r="A365" s="84"/>
      <c r="B365" s="84"/>
      <c r="C365" s="12"/>
      <c r="F365" s="13"/>
      <c r="G365" s="88"/>
    </row>
    <row r="366" spans="1:7" ht="15">
      <c r="A366" s="84"/>
      <c r="B366" s="84"/>
      <c r="C366" s="12"/>
      <c r="F366" s="13"/>
      <c r="G366" s="88"/>
    </row>
    <row r="367" spans="1:7" ht="15">
      <c r="A367" s="84"/>
      <c r="B367" s="84"/>
      <c r="C367" s="12"/>
      <c r="F367" s="13"/>
      <c r="G367" s="88"/>
    </row>
    <row r="368" spans="1:7" ht="15">
      <c r="A368" s="84"/>
      <c r="B368" s="84"/>
      <c r="C368" s="12"/>
      <c r="F368" s="13"/>
      <c r="G368" s="88"/>
    </row>
    <row r="369" spans="1:7" ht="15">
      <c r="A369" s="84"/>
      <c r="B369" s="84"/>
      <c r="C369" s="12"/>
      <c r="F369" s="13"/>
      <c r="G369" s="88"/>
    </row>
    <row r="370" spans="1:7" ht="15">
      <c r="A370" s="84"/>
      <c r="B370" s="84"/>
      <c r="C370" s="12"/>
      <c r="F370" s="13"/>
      <c r="G370" s="88"/>
    </row>
    <row r="371" spans="1:7" ht="15">
      <c r="A371" s="84"/>
      <c r="B371" s="84"/>
      <c r="C371" s="12"/>
      <c r="F371" s="13"/>
      <c r="G371" s="88"/>
    </row>
    <row r="372" spans="1:7" ht="15">
      <c r="A372" s="84"/>
      <c r="B372" s="84"/>
      <c r="C372" s="12"/>
      <c r="F372" s="13"/>
      <c r="G372" s="88"/>
    </row>
    <row r="373" spans="1:7" ht="15">
      <c r="A373" s="84"/>
      <c r="B373" s="84"/>
      <c r="C373" s="12"/>
      <c r="F373" s="13"/>
      <c r="G373" s="88"/>
    </row>
    <row r="374" spans="1:7" ht="15">
      <c r="A374" s="84"/>
      <c r="B374" s="84"/>
      <c r="C374" s="12"/>
      <c r="F374" s="13"/>
      <c r="G374" s="88"/>
    </row>
    <row r="375" spans="1:7" ht="15">
      <c r="A375" s="84"/>
      <c r="B375" s="84"/>
      <c r="C375" s="12"/>
      <c r="F375" s="13"/>
      <c r="G375" s="88"/>
    </row>
    <row r="376" spans="1:7" ht="15">
      <c r="A376" s="84"/>
      <c r="B376" s="84"/>
      <c r="C376" s="12"/>
      <c r="F376" s="13"/>
      <c r="G376" s="88"/>
    </row>
    <row r="377" spans="1:7" ht="15">
      <c r="A377" s="84"/>
      <c r="B377" s="84"/>
      <c r="C377" s="12"/>
      <c r="F377" s="13"/>
      <c r="G377" s="88"/>
    </row>
    <row r="378" spans="1:7" ht="15">
      <c r="A378" s="84"/>
      <c r="B378" s="84"/>
      <c r="C378" s="12"/>
      <c r="F378" s="13"/>
      <c r="G378" s="88"/>
    </row>
    <row r="379" spans="1:7" ht="15">
      <c r="A379" s="84"/>
      <c r="B379" s="84"/>
      <c r="C379" s="12"/>
      <c r="F379" s="13"/>
      <c r="G379" s="88"/>
    </row>
    <row r="380" spans="1:7" ht="15">
      <c r="A380" s="84"/>
      <c r="B380" s="84"/>
      <c r="C380" s="12"/>
      <c r="F380" s="13"/>
      <c r="G380" s="88"/>
    </row>
    <row r="381" spans="1:7" ht="15">
      <c r="A381" s="84"/>
      <c r="B381" s="84"/>
      <c r="C381" s="12"/>
      <c r="F381" s="13"/>
      <c r="G381" s="88"/>
    </row>
    <row r="382" spans="1:7" ht="15">
      <c r="A382" s="84"/>
      <c r="B382" s="84"/>
      <c r="C382" s="12"/>
      <c r="F382" s="13"/>
      <c r="G382" s="88"/>
    </row>
    <row r="383" spans="1:7" ht="15">
      <c r="A383" s="84"/>
      <c r="B383" s="84"/>
      <c r="C383" s="12"/>
      <c r="F383" s="13"/>
      <c r="G383" s="88"/>
    </row>
    <row r="384" spans="1:7" ht="15">
      <c r="A384" s="84"/>
      <c r="B384" s="84"/>
      <c r="C384" s="12"/>
      <c r="F384" s="13"/>
      <c r="G384" s="88"/>
    </row>
    <row r="385" spans="1:7" ht="15">
      <c r="A385" s="84"/>
      <c r="B385" s="84"/>
      <c r="C385" s="12"/>
      <c r="F385" s="13"/>
      <c r="G385" s="88"/>
    </row>
    <row r="386" spans="1:7" ht="15">
      <c r="A386" s="84"/>
      <c r="B386" s="84"/>
      <c r="C386" s="12"/>
      <c r="F386" s="13"/>
      <c r="G386" s="88"/>
    </row>
    <row r="387" spans="1:7" ht="15">
      <c r="A387" s="84"/>
      <c r="B387" s="84"/>
      <c r="C387" s="12"/>
      <c r="F387" s="13"/>
      <c r="G387" s="88"/>
    </row>
    <row r="388" spans="1:7" ht="15">
      <c r="A388" s="84"/>
      <c r="B388" s="84"/>
      <c r="C388" s="12"/>
      <c r="F388" s="13"/>
      <c r="G388" s="88"/>
    </row>
    <row r="389" spans="1:7" ht="15">
      <c r="A389" s="84"/>
      <c r="B389" s="84"/>
      <c r="C389" s="12"/>
      <c r="F389" s="13"/>
      <c r="G389" s="88"/>
    </row>
    <row r="390" spans="1:7" ht="15">
      <c r="A390" s="84"/>
      <c r="B390" s="84"/>
      <c r="C390" s="12"/>
      <c r="F390" s="13"/>
      <c r="G390" s="88"/>
    </row>
    <row r="391" spans="1:7" ht="15">
      <c r="A391" s="84"/>
      <c r="B391" s="84"/>
      <c r="C391" s="12"/>
      <c r="F391" s="13"/>
      <c r="G391" s="88"/>
    </row>
    <row r="392" spans="1:7" ht="15">
      <c r="A392" s="84"/>
      <c r="B392" s="84"/>
      <c r="C392" s="12"/>
      <c r="F392" s="13"/>
      <c r="G392" s="88"/>
    </row>
    <row r="393" spans="1:7" ht="15">
      <c r="A393" s="84"/>
      <c r="B393" s="84"/>
      <c r="C393" s="12"/>
      <c r="F393" s="13"/>
      <c r="G393" s="88"/>
    </row>
    <row r="394" spans="1:7" ht="15">
      <c r="A394" s="84"/>
      <c r="B394" s="84"/>
      <c r="C394" s="12"/>
      <c r="F394" s="13"/>
      <c r="G394" s="88"/>
    </row>
    <row r="395" spans="1:7" ht="15">
      <c r="A395" s="84"/>
      <c r="B395" s="84"/>
      <c r="C395" s="12"/>
      <c r="F395" s="13"/>
      <c r="G395" s="88"/>
    </row>
    <row r="396" spans="1:7" ht="15">
      <c r="A396" s="84"/>
      <c r="B396" s="84"/>
      <c r="C396" s="12"/>
      <c r="F396" s="13"/>
      <c r="G396" s="88"/>
    </row>
    <row r="397" spans="1:7" ht="15">
      <c r="A397" s="84"/>
      <c r="B397" s="84"/>
      <c r="C397" s="12"/>
      <c r="F397" s="13"/>
      <c r="G397" s="88"/>
    </row>
    <row r="398" spans="1:7" ht="15">
      <c r="A398" s="84"/>
      <c r="B398" s="84"/>
      <c r="C398" s="12"/>
      <c r="F398" s="13"/>
      <c r="G398" s="88"/>
    </row>
    <row r="399" spans="1:7" ht="15">
      <c r="A399" s="84"/>
      <c r="B399" s="84"/>
      <c r="C399" s="12"/>
      <c r="F399" s="13"/>
      <c r="G399" s="88"/>
    </row>
    <row r="400" spans="1:7" ht="15">
      <c r="A400" s="84"/>
      <c r="B400" s="84"/>
      <c r="C400" s="12"/>
      <c r="F400" s="13"/>
      <c r="G400" s="88"/>
    </row>
    <row r="401" spans="1:7" ht="15">
      <c r="A401" s="84"/>
      <c r="B401" s="84"/>
      <c r="C401" s="12"/>
      <c r="F401" s="13"/>
      <c r="G401" s="88"/>
    </row>
    <row r="402" spans="1:7" ht="15">
      <c r="A402" s="84"/>
      <c r="B402" s="84"/>
      <c r="C402" s="12"/>
      <c r="F402" s="13"/>
      <c r="G402" s="88"/>
    </row>
    <row r="403" spans="1:7" ht="15">
      <c r="A403" s="84"/>
      <c r="B403" s="84"/>
      <c r="C403" s="12"/>
      <c r="F403" s="13"/>
      <c r="G403" s="88"/>
    </row>
    <row r="404" spans="1:7" ht="15">
      <c r="A404" s="84"/>
      <c r="B404" s="84"/>
      <c r="C404" s="12"/>
      <c r="F404" s="13"/>
      <c r="G404" s="88"/>
    </row>
    <row r="405" spans="1:7" ht="15">
      <c r="A405" s="84"/>
      <c r="B405" s="84"/>
      <c r="C405" s="12"/>
      <c r="F405" s="13"/>
      <c r="G405" s="88"/>
    </row>
    <row r="406" spans="1:7" ht="15">
      <c r="A406" s="84"/>
      <c r="B406" s="84"/>
      <c r="C406" s="12"/>
      <c r="F406" s="13"/>
      <c r="G406" s="88"/>
    </row>
    <row r="407" spans="1:7" ht="15">
      <c r="A407" s="84"/>
      <c r="B407" s="84"/>
      <c r="C407" s="12"/>
      <c r="F407" s="13"/>
      <c r="G407" s="88"/>
    </row>
    <row r="408" spans="1:7" ht="15">
      <c r="A408" s="84"/>
      <c r="B408" s="84"/>
      <c r="C408" s="12"/>
      <c r="F408" s="13"/>
      <c r="G408" s="88"/>
    </row>
    <row r="409" spans="1:7" ht="15">
      <c r="A409" s="84"/>
      <c r="B409" s="84"/>
      <c r="C409" s="12"/>
      <c r="F409" s="13"/>
      <c r="G409" s="88"/>
    </row>
    <row r="410" spans="1:7" ht="15">
      <c r="A410" s="84"/>
      <c r="B410" s="84"/>
      <c r="C410" s="12"/>
      <c r="F410" s="13"/>
      <c r="G410" s="88"/>
    </row>
    <row r="411" spans="1:7" ht="15">
      <c r="A411" s="84"/>
      <c r="B411" s="84"/>
      <c r="C411" s="12"/>
      <c r="F411" s="13"/>
      <c r="G411" s="88"/>
    </row>
    <row r="412" spans="1:7" ht="15">
      <c r="A412" s="84"/>
      <c r="B412" s="84"/>
      <c r="C412" s="12"/>
      <c r="F412" s="13"/>
      <c r="G412" s="88"/>
    </row>
    <row r="413" spans="1:7" ht="15">
      <c r="A413" s="84"/>
      <c r="B413" s="84"/>
      <c r="C413" s="12"/>
      <c r="F413" s="13"/>
      <c r="G413" s="88"/>
    </row>
    <row r="414" spans="1:7" ht="15">
      <c r="A414" s="84"/>
      <c r="B414" s="84"/>
      <c r="C414" s="12"/>
      <c r="F414" s="13"/>
      <c r="G414" s="88"/>
    </row>
    <row r="415" spans="1:7" ht="15">
      <c r="A415" s="84"/>
      <c r="B415" s="84"/>
      <c r="C415" s="12"/>
      <c r="F415" s="13"/>
      <c r="G415" s="88"/>
    </row>
    <row r="416" spans="1:7" ht="15">
      <c r="A416" s="84"/>
      <c r="B416" s="84"/>
      <c r="C416" s="12"/>
      <c r="F416" s="13"/>
      <c r="G416" s="88"/>
    </row>
    <row r="417" spans="1:7" ht="15">
      <c r="A417" s="84"/>
      <c r="B417" s="84"/>
      <c r="C417" s="12"/>
      <c r="F417" s="13"/>
      <c r="G417" s="88"/>
    </row>
    <row r="418" spans="1:7" ht="15">
      <c r="A418" s="84"/>
      <c r="B418" s="84"/>
      <c r="C418" s="12"/>
      <c r="F418" s="13"/>
      <c r="G418" s="88"/>
    </row>
    <row r="419" spans="1:7" ht="15">
      <c r="A419" s="84"/>
      <c r="B419" s="84"/>
      <c r="C419" s="12"/>
      <c r="F419" s="13"/>
      <c r="G419" s="88"/>
    </row>
    <row r="420" spans="1:7" ht="15">
      <c r="A420" s="84"/>
      <c r="B420" s="84"/>
      <c r="C420" s="12"/>
      <c r="F420" s="13"/>
      <c r="G420" s="88"/>
    </row>
    <row r="421" spans="1:7" ht="15">
      <c r="A421" s="84"/>
      <c r="B421" s="84"/>
      <c r="C421" s="12"/>
      <c r="F421" s="13"/>
      <c r="G421" s="88"/>
    </row>
    <row r="422" spans="1:7" ht="15">
      <c r="A422" s="84"/>
      <c r="B422" s="84"/>
      <c r="C422" s="12"/>
      <c r="F422" s="13"/>
      <c r="G422" s="88"/>
    </row>
    <row r="423" spans="1:7" ht="15">
      <c r="A423" s="84"/>
      <c r="B423" s="84"/>
      <c r="C423" s="12"/>
      <c r="F423" s="13"/>
      <c r="G423" s="88"/>
    </row>
    <row r="424" spans="1:7" ht="15">
      <c r="A424" s="84"/>
      <c r="B424" s="84"/>
      <c r="C424" s="12"/>
      <c r="F424" s="13"/>
      <c r="G424" s="88"/>
    </row>
    <row r="425" spans="1:7" ht="15">
      <c r="A425" s="84"/>
      <c r="B425" s="84"/>
      <c r="C425" s="12"/>
      <c r="F425" s="13"/>
      <c r="G425" s="88"/>
    </row>
    <row r="426" spans="1:7" ht="15">
      <c r="A426" s="84"/>
      <c r="B426" s="84"/>
      <c r="C426" s="12"/>
      <c r="F426" s="13"/>
      <c r="G426" s="88"/>
    </row>
    <row r="427" spans="1:7" ht="15">
      <c r="A427" s="84"/>
      <c r="B427" s="84"/>
      <c r="C427" s="12"/>
      <c r="F427" s="13"/>
      <c r="G427" s="88"/>
    </row>
    <row r="428" spans="1:7" ht="15">
      <c r="A428" s="84"/>
      <c r="B428" s="84"/>
      <c r="C428" s="12"/>
      <c r="F428" s="13"/>
      <c r="G428" s="88"/>
    </row>
    <row r="429" spans="1:7" ht="15">
      <c r="A429" s="84"/>
      <c r="B429" s="84"/>
      <c r="C429" s="12"/>
      <c r="F429" s="13"/>
      <c r="G429" s="88"/>
    </row>
    <row r="430" spans="1:7" ht="15">
      <c r="A430" s="84"/>
      <c r="B430" s="84"/>
      <c r="C430" s="12"/>
      <c r="F430" s="13"/>
      <c r="G430" s="88"/>
    </row>
    <row r="431" spans="1:7" ht="15">
      <c r="A431" s="84"/>
      <c r="B431" s="84"/>
      <c r="C431" s="12"/>
      <c r="F431" s="13"/>
      <c r="G431" s="88"/>
    </row>
    <row r="432" spans="1:7" ht="15">
      <c r="A432" s="84"/>
      <c r="B432" s="84"/>
      <c r="C432" s="12"/>
      <c r="F432" s="13"/>
      <c r="G432" s="88"/>
    </row>
    <row r="433" spans="1:7" ht="15">
      <c r="A433" s="84"/>
      <c r="B433" s="84"/>
      <c r="C433" s="12"/>
      <c r="F433" s="13"/>
      <c r="G433" s="88"/>
    </row>
    <row r="434" spans="1:7" ht="15">
      <c r="A434" s="84"/>
      <c r="B434" s="84"/>
      <c r="C434" s="12"/>
      <c r="F434" s="13"/>
      <c r="G434" s="88"/>
    </row>
    <row r="435" spans="1:7" ht="15">
      <c r="A435" s="84"/>
      <c r="B435" s="84"/>
      <c r="C435" s="12"/>
      <c r="F435" s="13"/>
      <c r="G435" s="88"/>
    </row>
    <row r="436" spans="1:7" ht="15">
      <c r="A436" s="84"/>
      <c r="B436" s="84"/>
      <c r="C436" s="12"/>
      <c r="F436" s="13"/>
      <c r="G436" s="88"/>
    </row>
    <row r="437" spans="1:7" ht="15">
      <c r="A437" s="84"/>
      <c r="B437" s="84"/>
      <c r="C437" s="12"/>
      <c r="F437" s="13"/>
      <c r="G437" s="88"/>
    </row>
    <row r="438" spans="1:7" ht="15">
      <c r="A438" s="84"/>
      <c r="B438" s="84"/>
      <c r="C438" s="12"/>
      <c r="F438" s="13"/>
      <c r="G438" s="88"/>
    </row>
    <row r="439" spans="1:7" ht="15">
      <c r="A439" s="84"/>
      <c r="B439" s="84"/>
      <c r="C439" s="12"/>
      <c r="F439" s="13"/>
      <c r="G439" s="88"/>
    </row>
    <row r="440" spans="1:7" ht="15">
      <c r="A440" s="84"/>
      <c r="B440" s="84"/>
      <c r="C440" s="12"/>
      <c r="F440" s="13"/>
      <c r="G440" s="88"/>
    </row>
    <row r="441" spans="1:7" ht="15">
      <c r="A441" s="84"/>
      <c r="B441" s="84"/>
      <c r="C441" s="12"/>
      <c r="F441" s="13"/>
      <c r="G441" s="88"/>
    </row>
    <row r="442" spans="1:7" ht="15">
      <c r="A442" s="84"/>
      <c r="B442" s="84"/>
      <c r="C442" s="12"/>
      <c r="F442" s="13"/>
      <c r="G442" s="88"/>
    </row>
    <row r="443" spans="1:7" ht="15">
      <c r="A443" s="84"/>
      <c r="B443" s="84"/>
      <c r="C443" s="12"/>
      <c r="F443" s="13"/>
      <c r="G443" s="88"/>
    </row>
    <row r="444" spans="1:7" ht="15">
      <c r="A444" s="84"/>
      <c r="B444" s="84"/>
      <c r="C444" s="12"/>
      <c r="F444" s="13"/>
      <c r="G444" s="88"/>
    </row>
    <row r="445" spans="1:7" ht="15">
      <c r="A445" s="84"/>
      <c r="B445" s="84"/>
      <c r="C445" s="12"/>
      <c r="F445" s="13"/>
      <c r="G445" s="88"/>
    </row>
    <row r="446" spans="1:7" ht="15">
      <c r="A446" s="84"/>
      <c r="B446" s="84"/>
      <c r="C446" s="12"/>
      <c r="F446" s="13"/>
      <c r="G446" s="88"/>
    </row>
    <row r="447" spans="1:7" ht="15">
      <c r="A447" s="84"/>
      <c r="B447" s="84"/>
      <c r="C447" s="12"/>
      <c r="F447" s="13"/>
      <c r="G447" s="88"/>
    </row>
    <row r="448" spans="1:7" ht="15">
      <c r="A448" s="84"/>
      <c r="B448" s="84"/>
      <c r="C448" s="12"/>
      <c r="F448" s="13"/>
      <c r="G448" s="88"/>
    </row>
    <row r="449" spans="1:7" ht="15">
      <c r="A449" s="84"/>
      <c r="B449" s="84"/>
      <c r="C449" s="12"/>
      <c r="F449" s="13"/>
      <c r="G449" s="88"/>
    </row>
    <row r="450" spans="1:7" ht="15">
      <c r="A450" s="84"/>
      <c r="B450" s="84"/>
      <c r="C450" s="12"/>
      <c r="F450" s="13"/>
      <c r="G450" s="88"/>
    </row>
    <row r="451" spans="1:7" ht="15">
      <c r="A451" s="84"/>
      <c r="B451" s="84"/>
      <c r="C451" s="12"/>
      <c r="F451" s="13"/>
      <c r="G451" s="88"/>
    </row>
    <row r="452" spans="1:7" ht="15">
      <c r="A452" s="84"/>
      <c r="B452" s="84"/>
      <c r="C452" s="12"/>
      <c r="F452" s="13"/>
      <c r="G452" s="88"/>
    </row>
    <row r="453" spans="1:7" ht="15">
      <c r="A453" s="84"/>
      <c r="B453" s="84"/>
      <c r="C453" s="12"/>
      <c r="F453" s="13"/>
      <c r="G453" s="88"/>
    </row>
    <row r="454" spans="1:7" ht="15">
      <c r="A454" s="84"/>
      <c r="B454" s="84"/>
      <c r="C454" s="12"/>
      <c r="F454" s="13"/>
      <c r="G454" s="88"/>
    </row>
    <row r="455" spans="1:7" ht="15">
      <c r="A455" s="84"/>
      <c r="B455" s="84"/>
      <c r="C455" s="12"/>
      <c r="F455" s="13"/>
      <c r="G455" s="88"/>
    </row>
    <row r="456" spans="1:7" ht="15">
      <c r="A456" s="84"/>
      <c r="B456" s="84"/>
      <c r="C456" s="12"/>
      <c r="F456" s="13"/>
      <c r="G456" s="88"/>
    </row>
    <row r="457" spans="1:7" ht="15">
      <c r="A457" s="84"/>
      <c r="B457" s="84"/>
      <c r="C457" s="12"/>
      <c r="F457" s="13"/>
      <c r="G457" s="88"/>
    </row>
    <row r="458" spans="1:7" ht="15">
      <c r="A458" s="84"/>
      <c r="B458" s="84"/>
      <c r="C458" s="12"/>
      <c r="F458" s="13"/>
      <c r="G458" s="88"/>
    </row>
    <row r="459" spans="1:7" ht="15">
      <c r="A459" s="84"/>
      <c r="B459" s="84"/>
      <c r="C459" s="12"/>
      <c r="F459" s="13"/>
      <c r="G459" s="88"/>
    </row>
    <row r="460" spans="1:7" ht="15">
      <c r="A460" s="84"/>
      <c r="B460" s="84"/>
      <c r="C460" s="12"/>
      <c r="F460" s="13"/>
      <c r="G460" s="88"/>
    </row>
    <row r="461" spans="1:7" ht="15">
      <c r="A461" s="84"/>
      <c r="B461" s="84"/>
      <c r="C461" s="12"/>
      <c r="F461" s="13"/>
      <c r="G461" s="88"/>
    </row>
    <row r="462" spans="1:7" ht="15">
      <c r="A462" s="84"/>
      <c r="B462" s="84"/>
      <c r="C462" s="12"/>
      <c r="F462" s="13"/>
      <c r="G462" s="88"/>
    </row>
    <row r="463" spans="1:7" ht="15">
      <c r="A463" s="84"/>
      <c r="B463" s="84"/>
      <c r="C463" s="12"/>
      <c r="F463" s="13"/>
      <c r="G463" s="88"/>
    </row>
    <row r="464" spans="1:7" ht="15">
      <c r="A464" s="84"/>
      <c r="B464" s="84"/>
      <c r="C464" s="12"/>
      <c r="F464" s="13"/>
      <c r="G464" s="88"/>
    </row>
    <row r="465" spans="1:7" ht="15">
      <c r="A465" s="84"/>
      <c r="B465" s="84"/>
      <c r="C465" s="12"/>
      <c r="F465" s="13"/>
      <c r="G465" s="88"/>
    </row>
    <row r="466" spans="1:7" ht="15">
      <c r="A466" s="84"/>
      <c r="B466" s="84"/>
      <c r="C466" s="12"/>
      <c r="F466" s="13"/>
      <c r="G466" s="88"/>
    </row>
    <row r="467" spans="1:7" ht="15">
      <c r="A467" s="84"/>
      <c r="B467" s="84"/>
      <c r="C467" s="12"/>
      <c r="F467" s="13"/>
      <c r="G467" s="88"/>
    </row>
    <row r="468" spans="1:7" ht="15">
      <c r="A468" s="84"/>
      <c r="B468" s="84"/>
      <c r="C468" s="12"/>
      <c r="F468" s="13"/>
      <c r="G468" s="88"/>
    </row>
    <row r="469" spans="1:7" ht="15">
      <c r="A469" s="84"/>
      <c r="B469" s="84"/>
      <c r="C469" s="12"/>
      <c r="F469" s="13"/>
      <c r="G469" s="88"/>
    </row>
    <row r="470" spans="1:7" ht="15">
      <c r="A470" s="84"/>
      <c r="B470" s="84"/>
      <c r="C470" s="12"/>
      <c r="F470" s="13"/>
      <c r="G470" s="88"/>
    </row>
    <row r="471" spans="1:7" ht="15">
      <c r="A471" s="84"/>
      <c r="B471" s="84"/>
      <c r="C471" s="12"/>
      <c r="F471" s="13"/>
      <c r="G471" s="88"/>
    </row>
    <row r="472" spans="1:7" ht="15">
      <c r="A472" s="84"/>
      <c r="B472" s="84"/>
      <c r="C472" s="12"/>
      <c r="F472" s="13"/>
      <c r="G472" s="88"/>
    </row>
    <row r="473" spans="1:7" ht="15">
      <c r="A473" s="84"/>
      <c r="B473" s="84"/>
      <c r="C473" s="12"/>
      <c r="F473" s="13"/>
      <c r="G473" s="88"/>
    </row>
    <row r="474" spans="1:7" ht="15">
      <c r="A474" s="84"/>
      <c r="B474" s="84"/>
      <c r="C474" s="12"/>
      <c r="F474" s="13"/>
      <c r="G474" s="88"/>
    </row>
    <row r="475" spans="1:7" ht="15">
      <c r="A475" s="84"/>
      <c r="B475" s="84"/>
      <c r="C475" s="12"/>
      <c r="F475" s="13"/>
      <c r="G475" s="88"/>
    </row>
    <row r="476" spans="1:7" ht="15">
      <c r="A476" s="84"/>
      <c r="B476" s="84"/>
      <c r="C476" s="12"/>
      <c r="F476" s="13"/>
      <c r="G476" s="88"/>
    </row>
    <row r="477" spans="1:7" ht="15">
      <c r="A477" s="84"/>
      <c r="B477" s="84"/>
      <c r="C477" s="12"/>
      <c r="F477" s="13"/>
      <c r="G477" s="88"/>
    </row>
    <row r="478" spans="1:7" ht="15">
      <c r="A478" s="84"/>
      <c r="B478" s="84"/>
      <c r="C478" s="12"/>
      <c r="F478" s="13"/>
      <c r="G478" s="88"/>
    </row>
    <row r="479" spans="1:7" ht="15">
      <c r="A479" s="84"/>
      <c r="B479" s="84"/>
      <c r="C479" s="12"/>
      <c r="F479" s="13"/>
      <c r="G479" s="88"/>
    </row>
    <row r="480" spans="1:7" ht="15">
      <c r="A480" s="84"/>
      <c r="B480" s="84"/>
      <c r="C480" s="12"/>
      <c r="F480" s="13"/>
      <c r="G480" s="88"/>
    </row>
    <row r="481" spans="1:7" ht="15">
      <c r="A481" s="84"/>
      <c r="B481" s="84"/>
      <c r="C481" s="12"/>
      <c r="F481" s="13"/>
      <c r="G481" s="88"/>
    </row>
    <row r="482" spans="1:7" ht="15">
      <c r="A482" s="84"/>
      <c r="B482" s="84"/>
      <c r="C482" s="12"/>
      <c r="F482" s="13"/>
      <c r="G482" s="88"/>
    </row>
    <row r="483" spans="1:7" ht="15">
      <c r="A483" s="84"/>
      <c r="B483" s="84"/>
      <c r="C483" s="12"/>
      <c r="F483" s="13"/>
      <c r="G483" s="88"/>
    </row>
    <row r="484" spans="1:7" ht="15">
      <c r="A484" s="84"/>
      <c r="B484" s="84"/>
      <c r="C484" s="12"/>
      <c r="F484" s="13"/>
      <c r="G484" s="88"/>
    </row>
    <row r="485" spans="1:7" ht="15">
      <c r="A485" s="84"/>
      <c r="B485" s="84"/>
      <c r="C485" s="12"/>
      <c r="F485" s="13"/>
      <c r="G485" s="88"/>
    </row>
    <row r="486" spans="1:7" ht="15">
      <c r="A486" s="84"/>
      <c r="B486" s="84"/>
      <c r="C486" s="12"/>
      <c r="F486" s="13"/>
      <c r="G486" s="88"/>
    </row>
    <row r="487" spans="1:7" ht="15">
      <c r="A487" s="84"/>
      <c r="B487" s="84"/>
      <c r="C487" s="12"/>
      <c r="F487" s="13"/>
      <c r="G487" s="88"/>
    </row>
    <row r="488" spans="1:7" ht="15">
      <c r="A488" s="84"/>
      <c r="B488" s="84"/>
      <c r="C488" s="12"/>
      <c r="F488" s="13"/>
      <c r="G488" s="88"/>
    </row>
    <row r="489" spans="1:7" ht="15">
      <c r="A489" s="84"/>
      <c r="B489" s="84"/>
      <c r="C489" s="12"/>
      <c r="F489" s="13"/>
      <c r="G489" s="88"/>
    </row>
    <row r="490" spans="1:7" ht="15">
      <c r="A490" s="84"/>
      <c r="B490" s="84"/>
      <c r="C490" s="12"/>
      <c r="F490" s="13"/>
      <c r="G490" s="88"/>
    </row>
    <row r="491" spans="1:7" ht="15">
      <c r="A491" s="84"/>
      <c r="B491" s="84"/>
      <c r="C491" s="12"/>
      <c r="F491" s="13"/>
      <c r="G491" s="88"/>
    </row>
    <row r="492" spans="1:7" ht="15">
      <c r="A492" s="84"/>
      <c r="B492" s="84"/>
      <c r="C492" s="12"/>
      <c r="F492" s="13"/>
      <c r="G492" s="88"/>
    </row>
    <row r="493" spans="1:7" ht="15">
      <c r="A493" s="84"/>
      <c r="B493" s="84"/>
      <c r="C493" s="12"/>
      <c r="F493" s="13"/>
      <c r="G493" s="88"/>
    </row>
    <row r="494" spans="1:7" ht="15">
      <c r="A494" s="84"/>
      <c r="B494" s="84"/>
      <c r="C494" s="12"/>
      <c r="F494" s="13"/>
      <c r="G494" s="88"/>
    </row>
    <row r="495" spans="1:7" ht="15">
      <c r="A495" s="84"/>
      <c r="B495" s="84"/>
      <c r="C495" s="12"/>
      <c r="F495" s="13"/>
      <c r="G495" s="88"/>
    </row>
    <row r="496" spans="1:7" ht="15">
      <c r="A496" s="84"/>
      <c r="B496" s="84"/>
      <c r="C496" s="12"/>
      <c r="F496" s="13"/>
      <c r="G496" s="88"/>
    </row>
    <row r="497" spans="1:7" ht="15">
      <c r="A497" s="84"/>
      <c r="B497" s="84"/>
      <c r="C497" s="12"/>
      <c r="F497" s="13"/>
      <c r="G497" s="88"/>
    </row>
    <row r="498" spans="1:7" ht="15">
      <c r="A498" s="84"/>
      <c r="B498" s="84"/>
      <c r="C498" s="12"/>
      <c r="F498" s="13"/>
      <c r="G498" s="88"/>
    </row>
    <row r="499" spans="1:7" ht="15">
      <c r="A499" s="84"/>
      <c r="B499" s="84"/>
      <c r="C499" s="12"/>
      <c r="F499" s="13"/>
      <c r="G499" s="88"/>
    </row>
    <row r="500" spans="1:7" ht="15">
      <c r="A500" s="84"/>
      <c r="B500" s="84"/>
      <c r="C500" s="12"/>
      <c r="F500" s="13"/>
      <c r="G500" s="88"/>
    </row>
    <row r="501" spans="1:7" ht="15">
      <c r="A501" s="84"/>
      <c r="B501" s="84"/>
      <c r="C501" s="12"/>
      <c r="F501" s="13"/>
      <c r="G501" s="88"/>
    </row>
    <row r="502" spans="1:7" ht="15">
      <c r="A502" s="84"/>
      <c r="B502" s="84"/>
      <c r="C502" s="12"/>
      <c r="F502" s="13"/>
      <c r="G502" s="88"/>
    </row>
    <row r="503" spans="1:7" ht="15">
      <c r="A503" s="84"/>
      <c r="B503" s="84"/>
      <c r="C503" s="12"/>
      <c r="F503" s="13"/>
      <c r="G503" s="88"/>
    </row>
    <row r="504" spans="1:7" ht="15">
      <c r="A504" s="84"/>
      <c r="B504" s="84"/>
      <c r="C504" s="12"/>
      <c r="F504" s="13"/>
      <c r="G504" s="88"/>
    </row>
    <row r="505" spans="1:7" ht="15">
      <c r="A505" s="84"/>
      <c r="B505" s="84"/>
      <c r="C505" s="12"/>
      <c r="F505" s="13"/>
      <c r="G505" s="88"/>
    </row>
    <row r="506" spans="1:7" ht="15">
      <c r="A506" s="84"/>
      <c r="B506" s="84"/>
      <c r="C506" s="12"/>
      <c r="F506" s="13"/>
      <c r="G506" s="88"/>
    </row>
    <row r="507" spans="1:7" ht="15">
      <c r="A507" s="84"/>
      <c r="B507" s="84"/>
      <c r="C507" s="12"/>
      <c r="F507" s="13"/>
      <c r="G507" s="88"/>
    </row>
    <row r="508" spans="1:7" ht="15">
      <c r="A508" s="84"/>
      <c r="B508" s="84"/>
      <c r="C508" s="12"/>
      <c r="F508" s="13"/>
      <c r="G508" s="88"/>
    </row>
    <row r="509" spans="1:7" ht="15">
      <c r="A509" s="84"/>
      <c r="B509" s="84"/>
      <c r="C509" s="12"/>
      <c r="F509" s="13"/>
      <c r="G509" s="88"/>
    </row>
    <row r="510" spans="1:7" ht="15">
      <c r="A510" s="84"/>
      <c r="B510" s="84"/>
      <c r="C510" s="12"/>
      <c r="F510" s="13"/>
      <c r="G510" s="88"/>
    </row>
    <row r="511" spans="1:7" ht="15">
      <c r="A511" s="84"/>
      <c r="B511" s="84"/>
      <c r="C511" s="12"/>
      <c r="F511" s="13"/>
      <c r="G511" s="88"/>
    </row>
    <row r="512" spans="1:7" ht="15">
      <c r="A512" s="84"/>
      <c r="B512" s="84"/>
      <c r="C512" s="12"/>
      <c r="F512" s="13"/>
      <c r="G512" s="88"/>
    </row>
    <row r="513" spans="1:7" ht="15">
      <c r="A513" s="84"/>
      <c r="B513" s="84"/>
      <c r="C513" s="12"/>
      <c r="F513" s="13"/>
      <c r="G513" s="88"/>
    </row>
    <row r="514" spans="1:7" ht="15">
      <c r="A514" s="84"/>
      <c r="B514" s="84"/>
      <c r="C514" s="12"/>
      <c r="F514" s="13"/>
      <c r="G514" s="88"/>
    </row>
    <row r="515" spans="1:7" ht="15">
      <c r="A515" s="84"/>
      <c r="B515" s="84"/>
      <c r="C515" s="12"/>
      <c r="F515" s="13"/>
      <c r="G515" s="88"/>
    </row>
    <row r="516" spans="1:7" ht="15">
      <c r="A516" s="84"/>
      <c r="B516" s="84"/>
      <c r="C516" s="12"/>
      <c r="F516" s="13"/>
      <c r="G516" s="88"/>
    </row>
    <row r="517" spans="1:7" ht="15">
      <c r="A517" s="84"/>
      <c r="B517" s="84"/>
      <c r="C517" s="12"/>
      <c r="F517" s="13"/>
      <c r="G517" s="88"/>
    </row>
    <row r="518" spans="1:7" ht="15">
      <c r="A518" s="84"/>
      <c r="B518" s="84"/>
      <c r="C518" s="12"/>
      <c r="F518" s="13"/>
      <c r="G518" s="88"/>
    </row>
    <row r="519" spans="1:7" ht="15">
      <c r="A519" s="84"/>
      <c r="B519" s="84"/>
      <c r="C519" s="12"/>
      <c r="F519" s="13"/>
      <c r="G519" s="88"/>
    </row>
    <row r="520" spans="1:7" ht="15">
      <c r="A520" s="84"/>
      <c r="B520" s="84"/>
      <c r="C520" s="12"/>
      <c r="F520" s="13"/>
      <c r="G520" s="88"/>
    </row>
    <row r="521" spans="1:7" ht="15">
      <c r="A521" s="84"/>
      <c r="B521" s="84"/>
      <c r="C521" s="12"/>
      <c r="F521" s="13"/>
      <c r="G521" s="88"/>
    </row>
    <row r="522" spans="1:7" ht="15">
      <c r="A522" s="84"/>
      <c r="B522" s="84"/>
      <c r="C522" s="12"/>
      <c r="F522" s="13"/>
      <c r="G522" s="88"/>
    </row>
    <row r="523" spans="1:7" ht="15">
      <c r="A523" s="84"/>
      <c r="B523" s="84"/>
      <c r="C523" s="12"/>
      <c r="F523" s="13"/>
      <c r="G523" s="88"/>
    </row>
    <row r="524" spans="1:7" ht="15">
      <c r="A524" s="84"/>
      <c r="B524" s="84"/>
      <c r="C524" s="12"/>
      <c r="F524" s="13"/>
      <c r="G524" s="88"/>
    </row>
    <row r="525" spans="1:7" ht="15">
      <c r="A525" s="84"/>
      <c r="B525" s="84"/>
      <c r="C525" s="12"/>
      <c r="F525" s="13"/>
      <c r="G525" s="88"/>
    </row>
    <row r="526" spans="1:7" ht="15">
      <c r="A526" s="84"/>
      <c r="B526" s="84"/>
      <c r="C526" s="12"/>
      <c r="F526" s="13"/>
      <c r="G526" s="88"/>
    </row>
    <row r="527" spans="1:7" ht="15">
      <c r="A527" s="84"/>
      <c r="B527" s="84"/>
      <c r="C527" s="12"/>
      <c r="F527" s="13"/>
      <c r="G527" s="88"/>
    </row>
    <row r="528" spans="1:7" ht="15">
      <c r="A528" s="84"/>
      <c r="B528" s="84"/>
      <c r="C528" s="12"/>
      <c r="F528" s="13"/>
      <c r="G528" s="88"/>
    </row>
    <row r="529" spans="1:7" ht="15">
      <c r="A529" s="84"/>
      <c r="B529" s="84"/>
      <c r="C529" s="12"/>
      <c r="F529" s="13"/>
      <c r="G529" s="88"/>
    </row>
    <row r="530" spans="1:7" ht="15">
      <c r="A530" s="84"/>
      <c r="B530" s="84"/>
      <c r="C530" s="12"/>
      <c r="F530" s="13"/>
      <c r="G530" s="88"/>
    </row>
    <row r="531" spans="1:7" ht="15">
      <c r="A531" s="84"/>
      <c r="B531" s="84"/>
      <c r="C531" s="12"/>
      <c r="F531" s="13"/>
      <c r="G531" s="88"/>
    </row>
    <row r="532" spans="1:7" ht="15">
      <c r="A532" s="84"/>
      <c r="B532" s="84"/>
      <c r="C532" s="12"/>
      <c r="F532" s="13"/>
      <c r="G532" s="88"/>
    </row>
    <row r="533" spans="1:7" ht="15">
      <c r="A533" s="84"/>
      <c r="B533" s="84"/>
      <c r="C533" s="12"/>
      <c r="F533" s="13"/>
      <c r="G533" s="88"/>
    </row>
    <row r="534" spans="1:7" ht="15">
      <c r="A534" s="84"/>
      <c r="B534" s="84"/>
      <c r="C534" s="12"/>
      <c r="F534" s="13"/>
      <c r="G534" s="88"/>
    </row>
    <row r="535" spans="1:7" ht="15">
      <c r="A535" s="84"/>
      <c r="B535" s="84"/>
      <c r="C535" s="12"/>
      <c r="F535" s="13"/>
      <c r="G535" s="88"/>
    </row>
    <row r="536" spans="1:7" ht="15">
      <c r="A536" s="84"/>
      <c r="B536" s="84"/>
      <c r="C536" s="12"/>
      <c r="F536" s="13"/>
      <c r="G536" s="88"/>
    </row>
    <row r="537" spans="1:7" ht="15">
      <c r="A537" s="84"/>
      <c r="B537" s="84"/>
      <c r="C537" s="12"/>
      <c r="F537" s="13"/>
      <c r="G537" s="88"/>
    </row>
    <row r="538" spans="1:7" ht="15">
      <c r="A538" s="84"/>
      <c r="B538" s="84"/>
      <c r="C538" s="12"/>
      <c r="F538" s="13"/>
      <c r="G538" s="88"/>
    </row>
    <row r="539" spans="1:7" ht="15">
      <c r="A539" s="84"/>
      <c r="B539" s="84"/>
      <c r="C539" s="12"/>
      <c r="F539" s="13"/>
      <c r="G539" s="88"/>
    </row>
    <row r="540" spans="1:7" ht="15">
      <c r="A540" s="84"/>
      <c r="B540" s="84"/>
      <c r="C540" s="12"/>
      <c r="F540" s="13"/>
      <c r="G540" s="88"/>
    </row>
    <row r="541" spans="1:7" ht="15">
      <c r="A541" s="84"/>
      <c r="B541" s="84"/>
      <c r="C541" s="12"/>
      <c r="F541" s="13"/>
      <c r="G541" s="88"/>
    </row>
    <row r="542" spans="1:7" ht="15">
      <c r="A542" s="84"/>
      <c r="B542" s="84"/>
      <c r="C542" s="12"/>
      <c r="F542" s="13"/>
      <c r="G542" s="88"/>
    </row>
    <row r="543" spans="1:7" ht="15">
      <c r="A543" s="84"/>
      <c r="B543" s="84"/>
      <c r="C543" s="12"/>
      <c r="F543" s="13"/>
      <c r="G543" s="88"/>
    </row>
    <row r="544" spans="1:7" ht="15">
      <c r="A544" s="84"/>
      <c r="B544" s="84"/>
      <c r="C544" s="12"/>
      <c r="F544" s="13"/>
      <c r="G544" s="88"/>
    </row>
    <row r="545" spans="1:7" ht="15">
      <c r="A545" s="84"/>
      <c r="B545" s="84"/>
      <c r="C545" s="12"/>
      <c r="F545" s="13"/>
      <c r="G545" s="88"/>
    </row>
    <row r="546" spans="1:7" ht="15">
      <c r="A546" s="84"/>
      <c r="B546" s="84"/>
      <c r="C546" s="12"/>
      <c r="F546" s="13"/>
      <c r="G546" s="88"/>
    </row>
    <row r="547" spans="1:7" ht="15">
      <c r="A547" s="84"/>
      <c r="B547" s="84"/>
      <c r="C547" s="12"/>
      <c r="F547" s="13"/>
      <c r="G547" s="88"/>
    </row>
    <row r="548" spans="1:7" ht="15">
      <c r="A548" s="84"/>
      <c r="B548" s="84"/>
      <c r="C548" s="12"/>
      <c r="F548" s="13"/>
      <c r="G548" s="88"/>
    </row>
    <row r="549" spans="1:7" ht="15">
      <c r="A549" s="84"/>
      <c r="B549" s="84"/>
      <c r="C549" s="12"/>
      <c r="F549" s="13"/>
      <c r="G549" s="88"/>
    </row>
    <row r="550" spans="1:7" ht="15">
      <c r="A550" s="84"/>
      <c r="B550" s="84"/>
      <c r="C550" s="12"/>
      <c r="F550" s="13"/>
      <c r="G550" s="88"/>
    </row>
    <row r="551" spans="1:7" ht="15">
      <c r="A551" s="84"/>
      <c r="B551" s="84"/>
      <c r="C551" s="12"/>
      <c r="F551" s="13"/>
      <c r="G551" s="88"/>
    </row>
    <row r="552" spans="1:7" ht="15">
      <c r="A552" s="84"/>
      <c r="B552" s="84"/>
      <c r="C552" s="12"/>
      <c r="F552" s="13"/>
      <c r="G552" s="88"/>
    </row>
    <row r="553" spans="1:7" ht="15">
      <c r="A553" s="84"/>
      <c r="B553" s="84"/>
      <c r="C553" s="12"/>
      <c r="F553" s="13"/>
      <c r="G553" s="88"/>
    </row>
    <row r="554" spans="1:7" ht="15">
      <c r="A554" s="84"/>
      <c r="B554" s="84"/>
      <c r="C554" s="12"/>
      <c r="F554" s="13"/>
      <c r="G554" s="88"/>
    </row>
    <row r="555" spans="1:7" ht="15">
      <c r="A555" s="84"/>
      <c r="B555" s="84"/>
      <c r="C555" s="12"/>
      <c r="F555" s="13"/>
      <c r="G555" s="88"/>
    </row>
    <row r="556" spans="1:7" ht="15">
      <c r="A556" s="84"/>
      <c r="B556" s="84"/>
      <c r="C556" s="12"/>
      <c r="F556" s="13"/>
      <c r="G556" s="88"/>
    </row>
    <row r="557" spans="1:7" ht="15">
      <c r="A557" s="84"/>
      <c r="B557" s="84"/>
      <c r="C557" s="12"/>
      <c r="F557" s="13"/>
      <c r="G557" s="88"/>
    </row>
    <row r="558" spans="1:7" ht="15">
      <c r="A558" s="84"/>
      <c r="B558" s="84"/>
      <c r="C558" s="12"/>
      <c r="F558" s="13"/>
      <c r="G558" s="88"/>
    </row>
    <row r="559" spans="1:7" ht="15">
      <c r="A559" s="84"/>
      <c r="B559" s="84"/>
      <c r="C559" s="12"/>
      <c r="F559" s="13"/>
      <c r="G559" s="88"/>
    </row>
    <row r="560" spans="1:7" ht="15">
      <c r="A560" s="84"/>
      <c r="B560" s="84"/>
      <c r="C560" s="12"/>
      <c r="F560" s="13"/>
      <c r="G560" s="88"/>
    </row>
    <row r="561" spans="1:7" ht="15">
      <c r="A561" s="84"/>
      <c r="B561" s="84"/>
      <c r="C561" s="12"/>
      <c r="F561" s="13"/>
      <c r="G561" s="88"/>
    </row>
    <row r="562" spans="1:7" ht="15">
      <c r="A562" s="84"/>
      <c r="B562" s="84"/>
      <c r="C562" s="12"/>
      <c r="F562" s="13"/>
      <c r="G562" s="88"/>
    </row>
    <row r="563" spans="1:7" ht="15">
      <c r="A563" s="84"/>
      <c r="B563" s="84"/>
      <c r="C563" s="12"/>
      <c r="F563" s="13"/>
      <c r="G563" s="88"/>
    </row>
    <row r="564" spans="1:7" ht="15">
      <c r="A564" s="84"/>
      <c r="B564" s="84"/>
      <c r="C564" s="12"/>
      <c r="F564" s="13"/>
      <c r="G564" s="88"/>
    </row>
    <row r="565" spans="1:7" ht="15">
      <c r="A565" s="84"/>
      <c r="B565" s="84"/>
      <c r="C565" s="12"/>
      <c r="F565" s="13"/>
      <c r="G565" s="88"/>
    </row>
    <row r="566" spans="1:7" ht="15">
      <c r="A566" s="84"/>
      <c r="B566" s="84"/>
      <c r="C566" s="12"/>
      <c r="F566" s="13"/>
      <c r="G566" s="88"/>
    </row>
    <row r="567" spans="1:7" ht="15">
      <c r="A567" s="84"/>
      <c r="B567" s="84"/>
      <c r="C567" s="12"/>
      <c r="F567" s="13"/>
      <c r="G567" s="88"/>
    </row>
    <row r="568" spans="1:7" ht="15">
      <c r="A568" s="84"/>
      <c r="B568" s="84"/>
      <c r="C568" s="12"/>
      <c r="F568" s="13"/>
      <c r="G568" s="88"/>
    </row>
    <row r="569" spans="1:7" ht="15">
      <c r="A569" s="84"/>
      <c r="B569" s="84"/>
      <c r="C569" s="12"/>
      <c r="F569" s="13"/>
      <c r="G569" s="88"/>
    </row>
    <row r="570" spans="1:7" ht="15">
      <c r="A570" s="84"/>
      <c r="B570" s="84"/>
      <c r="C570" s="12"/>
      <c r="F570" s="13"/>
      <c r="G570" s="88"/>
    </row>
    <row r="571" spans="1:7" ht="15">
      <c r="A571" s="84"/>
      <c r="B571" s="84"/>
      <c r="C571" s="12"/>
      <c r="F571" s="13"/>
      <c r="G571" s="88"/>
    </row>
    <row r="572" spans="1:7" ht="15">
      <c r="A572" s="84"/>
      <c r="B572" s="84"/>
      <c r="C572" s="12"/>
      <c r="F572" s="13"/>
      <c r="G572" s="88"/>
    </row>
    <row r="573" spans="1:7" ht="15">
      <c r="A573" s="84"/>
      <c r="B573" s="84"/>
      <c r="C573" s="12"/>
      <c r="F573" s="13"/>
      <c r="G573" s="88"/>
    </row>
    <row r="574" spans="1:7" ht="15">
      <c r="A574" s="84"/>
      <c r="B574" s="84"/>
      <c r="C574" s="12"/>
      <c r="F574" s="13"/>
      <c r="G574" s="88"/>
    </row>
    <row r="575" spans="1:7" ht="15">
      <c r="A575" s="84"/>
      <c r="B575" s="84"/>
      <c r="C575" s="12"/>
      <c r="F575" s="13"/>
      <c r="G575" s="88"/>
    </row>
    <row r="576" spans="1:7" ht="15">
      <c r="A576" s="84"/>
      <c r="B576" s="84"/>
      <c r="C576" s="12"/>
      <c r="F576" s="13"/>
      <c r="G576" s="88"/>
    </row>
    <row r="577" spans="1:7" ht="15">
      <c r="A577" s="84"/>
      <c r="B577" s="84"/>
      <c r="C577" s="12"/>
      <c r="F577" s="13"/>
      <c r="G577" s="88"/>
    </row>
    <row r="578" spans="1:7" ht="15">
      <c r="A578" s="84"/>
      <c r="B578" s="84"/>
      <c r="C578" s="12"/>
      <c r="F578" s="13"/>
      <c r="G578" s="88"/>
    </row>
    <row r="579" spans="1:7" ht="15">
      <c r="A579" s="84"/>
      <c r="B579" s="84"/>
      <c r="C579" s="12"/>
      <c r="F579" s="13"/>
      <c r="G579" s="88"/>
    </row>
    <row r="580" spans="1:7" ht="15">
      <c r="A580" s="84"/>
      <c r="B580" s="84"/>
      <c r="C580" s="12"/>
      <c r="F580" s="13"/>
      <c r="G580" s="88"/>
    </row>
    <row r="581" spans="1:7" ht="15">
      <c r="A581" s="84"/>
      <c r="B581" s="84"/>
      <c r="C581" s="12"/>
      <c r="F581" s="13"/>
      <c r="G581" s="88"/>
    </row>
    <row r="582" spans="1:7" ht="15">
      <c r="A582" s="84"/>
      <c r="B582" s="84"/>
      <c r="C582" s="12"/>
      <c r="F582" s="13"/>
      <c r="G582" s="88"/>
    </row>
    <row r="583" spans="1:7" ht="15">
      <c r="A583" s="84"/>
      <c r="B583" s="84"/>
      <c r="C583" s="12"/>
      <c r="F583" s="13"/>
      <c r="G583" s="88"/>
    </row>
    <row r="584" spans="1:7" ht="15">
      <c r="A584" s="84"/>
      <c r="B584" s="84"/>
      <c r="C584" s="12"/>
      <c r="F584" s="13"/>
      <c r="G584" s="88"/>
    </row>
    <row r="585" spans="1:7" ht="15">
      <c r="A585" s="84"/>
      <c r="B585" s="84"/>
      <c r="C585" s="12"/>
      <c r="F585" s="13"/>
      <c r="G585" s="88"/>
    </row>
    <row r="586" spans="1:7" ht="15">
      <c r="A586" s="84"/>
      <c r="B586" s="84"/>
      <c r="C586" s="12"/>
      <c r="F586" s="13"/>
      <c r="G586" s="88"/>
    </row>
    <row r="587" spans="1:7" ht="15">
      <c r="A587" s="84"/>
      <c r="B587" s="84"/>
      <c r="C587" s="12"/>
      <c r="F587" s="13"/>
      <c r="G587" s="88"/>
    </row>
    <row r="588" spans="1:7" ht="15">
      <c r="A588" s="84"/>
      <c r="B588" s="84"/>
      <c r="C588" s="12"/>
      <c r="F588" s="13"/>
      <c r="G588" s="88"/>
    </row>
    <row r="589" spans="1:7" ht="15">
      <c r="A589" s="84"/>
      <c r="B589" s="84"/>
      <c r="C589" s="12"/>
      <c r="F589" s="13"/>
      <c r="G589" s="88"/>
    </row>
    <row r="590" spans="1:7" ht="15">
      <c r="A590" s="84"/>
      <c r="B590" s="84"/>
      <c r="C590" s="12"/>
      <c r="F590" s="13"/>
      <c r="G590" s="88"/>
    </row>
    <row r="591" spans="1:7" ht="15">
      <c r="A591" s="84"/>
      <c r="B591" s="84"/>
      <c r="C591" s="12"/>
      <c r="F591" s="13"/>
      <c r="G591" s="88"/>
    </row>
    <row r="592" spans="1:7" ht="15">
      <c r="A592" s="84"/>
      <c r="B592" s="84"/>
      <c r="C592" s="12"/>
      <c r="F592" s="13"/>
      <c r="G592" s="88"/>
    </row>
    <row r="593" spans="1:7" ht="15">
      <c r="A593" s="84"/>
      <c r="B593" s="84"/>
      <c r="C593" s="12"/>
      <c r="F593" s="13"/>
      <c r="G593" s="88"/>
    </row>
    <row r="594" spans="1:7" ht="15">
      <c r="A594" s="84"/>
      <c r="B594" s="84"/>
      <c r="C594" s="12"/>
      <c r="F594" s="13"/>
      <c r="G594" s="88"/>
    </row>
    <row r="595" spans="1:7" ht="15">
      <c r="A595" s="84"/>
      <c r="B595" s="84"/>
      <c r="C595" s="12"/>
      <c r="F595" s="13"/>
      <c r="G595" s="88"/>
    </row>
    <row r="596" spans="1:7" ht="15">
      <c r="A596" s="84"/>
      <c r="B596" s="84"/>
      <c r="C596" s="12"/>
      <c r="F596" s="13"/>
      <c r="G596" s="88"/>
    </row>
    <row r="597" spans="1:7" ht="15">
      <c r="A597" s="84"/>
      <c r="B597" s="84"/>
      <c r="C597" s="12"/>
      <c r="F597" s="13"/>
      <c r="G597" s="88"/>
    </row>
    <row r="598" spans="1:7" ht="15">
      <c r="A598" s="84"/>
      <c r="B598" s="84"/>
      <c r="C598" s="12"/>
      <c r="F598" s="13"/>
      <c r="G598" s="88"/>
    </row>
    <row r="599" spans="1:7" ht="15">
      <c r="A599" s="84"/>
      <c r="B599" s="84"/>
      <c r="C599" s="12"/>
      <c r="F599" s="13"/>
      <c r="G599" s="88"/>
    </row>
    <row r="600" spans="1:7" ht="15">
      <c r="A600" s="84"/>
      <c r="B600" s="84"/>
      <c r="C600" s="12"/>
      <c r="F600" s="13"/>
      <c r="G600" s="88"/>
    </row>
    <row r="601" spans="1:7" ht="15">
      <c r="A601" s="84"/>
      <c r="B601" s="84"/>
      <c r="C601" s="12"/>
      <c r="F601" s="13"/>
      <c r="G601" s="88"/>
    </row>
    <row r="602" spans="1:7" ht="15">
      <c r="A602" s="84"/>
      <c r="B602" s="84"/>
      <c r="C602" s="12"/>
      <c r="F602" s="13"/>
      <c r="G602" s="88"/>
    </row>
    <row r="603" spans="1:7" ht="15">
      <c r="A603" s="84"/>
      <c r="B603" s="84"/>
      <c r="C603" s="12"/>
      <c r="F603" s="13"/>
      <c r="G603" s="88"/>
    </row>
    <row r="604" spans="1:7" ht="15">
      <c r="A604" s="84"/>
      <c r="B604" s="84"/>
      <c r="C604" s="12"/>
      <c r="F604" s="13"/>
      <c r="G604" s="88"/>
    </row>
    <row r="605" spans="1:7" ht="15">
      <c r="A605" s="84"/>
      <c r="B605" s="84"/>
      <c r="C605" s="12"/>
      <c r="F605" s="13"/>
      <c r="G605" s="88"/>
    </row>
    <row r="606" spans="1:7" ht="15">
      <c r="A606" s="84"/>
      <c r="B606" s="84"/>
      <c r="C606" s="12"/>
      <c r="F606" s="13"/>
      <c r="G606" s="88"/>
    </row>
    <row r="607" spans="1:7" ht="15">
      <c r="A607" s="84"/>
      <c r="B607" s="84"/>
      <c r="C607" s="12"/>
      <c r="F607" s="13"/>
      <c r="G607" s="88"/>
    </row>
    <row r="608" spans="1:7" ht="15">
      <c r="A608" s="84"/>
      <c r="B608" s="84"/>
      <c r="C608" s="12"/>
      <c r="F608" s="13"/>
      <c r="G608" s="88"/>
    </row>
    <row r="609" spans="1:7" ht="15">
      <c r="A609" s="84"/>
      <c r="B609" s="84"/>
      <c r="C609" s="12"/>
      <c r="F609" s="13"/>
      <c r="G609" s="88"/>
    </row>
    <row r="610" spans="1:7" ht="15">
      <c r="A610" s="84"/>
      <c r="B610" s="84"/>
      <c r="C610" s="12"/>
      <c r="F610" s="13"/>
      <c r="G610" s="88"/>
    </row>
    <row r="611" spans="1:7" ht="15">
      <c r="A611" s="84"/>
      <c r="B611" s="84"/>
      <c r="C611" s="12"/>
      <c r="F611" s="13"/>
      <c r="G611" s="88"/>
    </row>
    <row r="612" spans="1:7" ht="15">
      <c r="A612" s="84"/>
      <c r="B612" s="84"/>
      <c r="C612" s="12"/>
      <c r="F612" s="13"/>
      <c r="G612" s="88"/>
    </row>
    <row r="613" spans="1:7" ht="15">
      <c r="A613" s="84"/>
      <c r="B613" s="84"/>
      <c r="C613" s="12"/>
      <c r="F613" s="13"/>
      <c r="G613" s="88"/>
    </row>
    <row r="614" spans="1:7" ht="15">
      <c r="A614" s="84"/>
      <c r="B614" s="84"/>
      <c r="C614" s="12"/>
      <c r="F614" s="13"/>
      <c r="G614" s="88"/>
    </row>
    <row r="615" spans="1:7" ht="15">
      <c r="A615" s="84"/>
      <c r="B615" s="84"/>
      <c r="C615" s="12"/>
      <c r="F615" s="13"/>
      <c r="G615" s="88"/>
    </row>
    <row r="616" spans="1:7" ht="15">
      <c r="A616" s="84"/>
      <c r="B616" s="84"/>
      <c r="C616" s="12"/>
      <c r="F616" s="13"/>
      <c r="G616" s="88"/>
    </row>
    <row r="617" spans="1:7" ht="15">
      <c r="A617" s="84"/>
      <c r="B617" s="84"/>
      <c r="C617" s="12"/>
      <c r="F617" s="13"/>
      <c r="G617" s="88"/>
    </row>
    <row r="618" spans="1:7" ht="15">
      <c r="A618" s="84"/>
      <c r="B618" s="84"/>
      <c r="C618" s="12"/>
      <c r="F618" s="13"/>
      <c r="G618" s="88"/>
    </row>
    <row r="619" spans="1:7" ht="15">
      <c r="A619" s="84"/>
      <c r="B619" s="84"/>
      <c r="C619" s="12"/>
      <c r="F619" s="13"/>
      <c r="G619" s="88"/>
    </row>
    <row r="620" spans="1:7" ht="15">
      <c r="A620" s="84"/>
      <c r="B620" s="84"/>
      <c r="C620" s="12"/>
      <c r="F620" s="13"/>
      <c r="G620" s="88"/>
    </row>
    <row r="621" spans="1:7" ht="15">
      <c r="A621" s="84"/>
      <c r="B621" s="84"/>
      <c r="C621" s="12"/>
      <c r="F621" s="13"/>
      <c r="G621" s="88"/>
    </row>
    <row r="622" spans="1:7" ht="15">
      <c r="A622" s="84"/>
      <c r="B622" s="84"/>
      <c r="C622" s="12"/>
      <c r="F622" s="13"/>
      <c r="G622" s="88"/>
    </row>
    <row r="623" spans="1:7" ht="15">
      <c r="A623" s="84"/>
      <c r="B623" s="84"/>
      <c r="C623" s="12"/>
      <c r="F623" s="13"/>
      <c r="G623" s="88"/>
    </row>
    <row r="624" spans="1:7" ht="15">
      <c r="A624" s="84"/>
      <c r="B624" s="84"/>
      <c r="C624" s="12"/>
      <c r="F624" s="13"/>
      <c r="G624" s="88"/>
    </row>
    <row r="625" spans="1:7" ht="15">
      <c r="A625" s="84"/>
      <c r="B625" s="84"/>
      <c r="C625" s="12"/>
      <c r="F625" s="13"/>
      <c r="G625" s="88"/>
    </row>
    <row r="626" spans="1:7" ht="15">
      <c r="A626" s="84"/>
      <c r="B626" s="84"/>
      <c r="C626" s="12"/>
      <c r="F626" s="13"/>
      <c r="G626" s="88"/>
    </row>
    <row r="627" spans="1:7" ht="15">
      <c r="A627" s="84"/>
      <c r="B627" s="84"/>
      <c r="C627" s="12"/>
      <c r="F627" s="13"/>
      <c r="G627" s="88"/>
    </row>
    <row r="628" spans="1:7" ht="15">
      <c r="A628" s="84"/>
      <c r="B628" s="84"/>
      <c r="C628" s="12"/>
      <c r="F628" s="13"/>
      <c r="G628" s="88"/>
    </row>
    <row r="629" spans="1:7" ht="15">
      <c r="A629" s="84"/>
      <c r="B629" s="84"/>
      <c r="C629" s="12"/>
      <c r="F629" s="13"/>
      <c r="G629" s="88"/>
    </row>
    <row r="630" spans="1:7" ht="15">
      <c r="A630" s="84"/>
      <c r="B630" s="84"/>
      <c r="C630" s="12"/>
      <c r="F630" s="13"/>
      <c r="G630" s="88"/>
    </row>
    <row r="631" spans="1:7" ht="15">
      <c r="A631" s="84"/>
      <c r="B631" s="84"/>
      <c r="C631" s="12"/>
      <c r="F631" s="13"/>
      <c r="G631" s="88"/>
    </row>
    <row r="632" spans="1:7" ht="15">
      <c r="A632" s="84"/>
      <c r="B632" s="84"/>
      <c r="C632" s="12"/>
      <c r="F632" s="13"/>
      <c r="G632" s="88"/>
    </row>
    <row r="633" spans="1:7" ht="15">
      <c r="A633" s="84"/>
      <c r="B633" s="84"/>
      <c r="C633" s="12"/>
      <c r="F633" s="13"/>
      <c r="G633" s="88"/>
    </row>
    <row r="634" spans="1:7" ht="15">
      <c r="A634" s="84"/>
      <c r="B634" s="84"/>
      <c r="C634" s="12"/>
      <c r="F634" s="13"/>
      <c r="G634" s="88"/>
    </row>
    <row r="635" spans="1:7" ht="15">
      <c r="A635" s="84"/>
      <c r="B635" s="84"/>
      <c r="C635" s="12"/>
      <c r="F635" s="13"/>
      <c r="G635" s="88"/>
    </row>
    <row r="636" spans="1:7" ht="15">
      <c r="A636" s="84"/>
      <c r="B636" s="84"/>
      <c r="C636" s="12"/>
      <c r="F636" s="13"/>
      <c r="G636" s="88"/>
    </row>
    <row r="637" spans="1:7" ht="15">
      <c r="A637" s="84"/>
      <c r="B637" s="84"/>
      <c r="C637" s="12"/>
      <c r="F637" s="13"/>
      <c r="G637" s="88"/>
    </row>
    <row r="638" spans="1:7" ht="15">
      <c r="A638" s="84"/>
      <c r="B638" s="84"/>
      <c r="C638" s="12"/>
      <c r="F638" s="13"/>
      <c r="G638" s="88"/>
    </row>
    <row r="639" spans="1:7" ht="15">
      <c r="A639" s="84"/>
      <c r="B639" s="84"/>
      <c r="C639" s="12"/>
      <c r="F639" s="13"/>
      <c r="G639" s="88"/>
    </row>
    <row r="640" spans="1:7" ht="15">
      <c r="A640" s="84"/>
      <c r="B640" s="84"/>
      <c r="C640" s="12"/>
      <c r="F640" s="13"/>
      <c r="G640" s="88"/>
    </row>
    <row r="641" spans="1:7" ht="15">
      <c r="A641" s="84"/>
      <c r="B641" s="84"/>
      <c r="C641" s="12"/>
      <c r="F641" s="13"/>
      <c r="G641" s="88"/>
    </row>
    <row r="642" spans="1:7" ht="15">
      <c r="A642" s="84"/>
      <c r="B642" s="84"/>
      <c r="C642" s="12"/>
      <c r="F642" s="13"/>
      <c r="G642" s="88"/>
    </row>
    <row r="643" spans="1:7" ht="15">
      <c r="A643" s="84"/>
      <c r="B643" s="84"/>
      <c r="C643" s="12"/>
      <c r="F643" s="13"/>
      <c r="G643" s="88"/>
    </row>
    <row r="644" spans="1:7" ht="15">
      <c r="A644" s="84"/>
      <c r="B644" s="84"/>
      <c r="C644" s="12"/>
      <c r="F644" s="13"/>
      <c r="G644" s="88"/>
    </row>
    <row r="645" spans="1:7" ht="15">
      <c r="A645" s="84"/>
      <c r="B645" s="84"/>
      <c r="C645" s="12"/>
      <c r="F645" s="13"/>
      <c r="G645" s="88"/>
    </row>
    <row r="646" spans="1:7" ht="15">
      <c r="A646" s="84"/>
      <c r="B646" s="84"/>
      <c r="C646" s="12"/>
      <c r="F646" s="13"/>
      <c r="G646" s="88"/>
    </row>
    <row r="647" spans="1:7" ht="15">
      <c r="A647" s="84"/>
      <c r="B647" s="84"/>
      <c r="C647" s="12"/>
      <c r="F647" s="13"/>
      <c r="G647" s="88"/>
    </row>
    <row r="648" spans="1:7" ht="15">
      <c r="A648" s="84"/>
      <c r="B648" s="84"/>
      <c r="C648" s="12"/>
      <c r="F648" s="13"/>
      <c r="G648" s="88"/>
    </row>
    <row r="649" spans="1:7" ht="15">
      <c r="A649" s="84"/>
      <c r="B649" s="84"/>
      <c r="C649" s="12"/>
      <c r="F649" s="13"/>
      <c r="G649" s="88"/>
    </row>
    <row r="650" spans="1:7" ht="15">
      <c r="A650" s="84"/>
      <c r="B650" s="84"/>
      <c r="C650" s="12"/>
      <c r="F650" s="13"/>
      <c r="G650" s="88"/>
    </row>
    <row r="651" spans="1:7" ht="15">
      <c r="A651" s="84"/>
      <c r="B651" s="84"/>
      <c r="C651" s="12"/>
      <c r="F651" s="13"/>
      <c r="G651" s="88"/>
    </row>
    <row r="652" spans="1:7" ht="15">
      <c r="A652" s="84"/>
      <c r="B652" s="84"/>
      <c r="C652" s="12"/>
      <c r="F652" s="13"/>
      <c r="G652" s="88"/>
    </row>
    <row r="653" spans="1:7" ht="15">
      <c r="A653" s="84"/>
      <c r="B653" s="84"/>
      <c r="C653" s="12"/>
      <c r="F653" s="13"/>
      <c r="G653" s="88"/>
    </row>
    <row r="654" spans="1:7" ht="15">
      <c r="A654" s="84"/>
      <c r="B654" s="84"/>
      <c r="C654" s="12"/>
      <c r="F654" s="13"/>
      <c r="G654" s="88"/>
    </row>
    <row r="655" spans="1:7" ht="15">
      <c r="A655" s="84"/>
      <c r="B655" s="84"/>
      <c r="C655" s="12"/>
      <c r="F655" s="13"/>
      <c r="G655" s="88"/>
    </row>
    <row r="656" spans="1:7" ht="15">
      <c r="A656" s="84"/>
      <c r="B656" s="84"/>
      <c r="C656" s="12"/>
      <c r="F656" s="13"/>
      <c r="G656" s="88"/>
    </row>
    <row r="657" spans="1:7" ht="15">
      <c r="A657" s="84"/>
      <c r="B657" s="84"/>
      <c r="C657" s="12"/>
      <c r="F657" s="13"/>
      <c r="G657" s="88"/>
    </row>
    <row r="658" spans="1:7" ht="15">
      <c r="A658" s="84"/>
      <c r="B658" s="84"/>
      <c r="C658" s="12"/>
      <c r="F658" s="13"/>
      <c r="G658" s="88"/>
    </row>
    <row r="659" spans="1:7" ht="15">
      <c r="A659" s="84"/>
      <c r="B659" s="84"/>
      <c r="C659" s="12"/>
      <c r="F659" s="13"/>
      <c r="G659" s="88"/>
    </row>
    <row r="660" spans="1:7" ht="15">
      <c r="A660" s="84"/>
      <c r="B660" s="84"/>
      <c r="C660" s="12"/>
      <c r="F660" s="13"/>
      <c r="G660" s="88"/>
    </row>
    <row r="661" spans="1:7" ht="15">
      <c r="A661" s="84"/>
      <c r="B661" s="84"/>
      <c r="C661" s="12"/>
      <c r="F661" s="13"/>
      <c r="G661" s="88"/>
    </row>
    <row r="662" spans="1:7" ht="15">
      <c r="A662" s="84"/>
      <c r="B662" s="84"/>
      <c r="C662" s="12"/>
      <c r="F662" s="13"/>
      <c r="G662" s="88"/>
    </row>
    <row r="663" spans="1:7" ht="15">
      <c r="A663" s="84"/>
      <c r="B663" s="84"/>
      <c r="C663" s="12"/>
      <c r="F663" s="13"/>
      <c r="G663" s="88"/>
    </row>
    <row r="664" spans="1:7" ht="15">
      <c r="A664" s="84"/>
      <c r="B664" s="84"/>
      <c r="C664" s="12"/>
      <c r="F664" s="13"/>
      <c r="G664" s="88"/>
    </row>
    <row r="665" spans="1:7" ht="15">
      <c r="A665" s="84"/>
      <c r="B665" s="84"/>
      <c r="C665" s="12"/>
      <c r="F665" s="13"/>
      <c r="G665" s="88"/>
    </row>
    <row r="666" spans="1:7" ht="15">
      <c r="A666" s="84"/>
      <c r="B666" s="84"/>
      <c r="C666" s="12"/>
      <c r="F666" s="13"/>
      <c r="G666" s="88"/>
    </row>
    <row r="667" spans="1:7" ht="15">
      <c r="A667" s="84"/>
      <c r="B667" s="84"/>
      <c r="C667" s="12"/>
      <c r="F667" s="13"/>
      <c r="G667" s="88"/>
    </row>
    <row r="668" spans="1:7" ht="15">
      <c r="A668" s="84"/>
      <c r="B668" s="84"/>
      <c r="C668" s="12"/>
      <c r="F668" s="13"/>
      <c r="G668" s="88"/>
    </row>
    <row r="669" spans="1:7" ht="15">
      <c r="A669" s="84"/>
      <c r="B669" s="84"/>
      <c r="C669" s="12"/>
      <c r="F669" s="13"/>
      <c r="G669" s="88"/>
    </row>
    <row r="670" spans="1:7" ht="15">
      <c r="A670" s="84"/>
      <c r="B670" s="84"/>
      <c r="C670" s="12"/>
      <c r="F670" s="13"/>
      <c r="G670" s="88"/>
    </row>
    <row r="671" spans="1:7" ht="15">
      <c r="A671" s="84"/>
      <c r="B671" s="84"/>
      <c r="C671" s="12"/>
      <c r="F671" s="13"/>
      <c r="G671" s="88"/>
    </row>
    <row r="672" spans="1:7" ht="15">
      <c r="A672" s="84"/>
      <c r="B672" s="84"/>
      <c r="C672" s="12"/>
      <c r="F672" s="13"/>
      <c r="G672" s="88"/>
    </row>
    <row r="673" spans="1:7" ht="15">
      <c r="A673" s="84"/>
      <c r="B673" s="84"/>
      <c r="C673" s="12"/>
      <c r="F673" s="13"/>
      <c r="G673" s="88"/>
    </row>
    <row r="674" spans="1:7" ht="15">
      <c r="A674" s="84"/>
      <c r="B674" s="84"/>
      <c r="C674" s="12"/>
      <c r="F674" s="13"/>
      <c r="G674" s="88"/>
    </row>
    <row r="675" spans="1:7" ht="15">
      <c r="A675" s="84"/>
      <c r="B675" s="84"/>
      <c r="C675" s="12"/>
      <c r="F675" s="13"/>
      <c r="G675" s="88"/>
    </row>
    <row r="676" spans="1:7" ht="15">
      <c r="A676" s="84"/>
      <c r="B676" s="84"/>
      <c r="C676" s="12"/>
      <c r="F676" s="13"/>
      <c r="G676" s="88"/>
    </row>
    <row r="677" spans="1:7" ht="15">
      <c r="A677" s="84"/>
      <c r="B677" s="84"/>
      <c r="C677" s="12"/>
      <c r="F677" s="13"/>
      <c r="G677" s="88"/>
    </row>
    <row r="678" spans="1:7" ht="15">
      <c r="A678" s="84"/>
      <c r="B678" s="84"/>
      <c r="C678" s="12"/>
      <c r="F678" s="13"/>
      <c r="G678" s="88"/>
    </row>
    <row r="679" spans="1:7" ht="15">
      <c r="A679" s="84"/>
      <c r="B679" s="84"/>
      <c r="C679" s="12"/>
      <c r="F679" s="13"/>
      <c r="G679" s="88"/>
    </row>
    <row r="680" spans="1:7" ht="15">
      <c r="A680" s="84"/>
      <c r="B680" s="84"/>
      <c r="C680" s="12"/>
      <c r="F680" s="13"/>
      <c r="G680" s="88"/>
    </row>
    <row r="681" spans="1:7" ht="15">
      <c r="A681" s="84"/>
      <c r="B681" s="84"/>
      <c r="C681" s="12"/>
      <c r="F681" s="13"/>
      <c r="G681" s="88"/>
    </row>
    <row r="682" spans="1:7" ht="15">
      <c r="A682" s="84"/>
      <c r="B682" s="84"/>
      <c r="C682" s="12"/>
      <c r="F682" s="13"/>
      <c r="G682" s="88"/>
    </row>
    <row r="683" spans="1:7" ht="15">
      <c r="A683" s="84"/>
      <c r="B683" s="84"/>
      <c r="C683" s="12"/>
      <c r="F683" s="13"/>
      <c r="G683" s="88"/>
    </row>
    <row r="684" spans="1:7" ht="15">
      <c r="A684" s="84"/>
      <c r="B684" s="84"/>
      <c r="C684" s="12"/>
      <c r="F684" s="13"/>
      <c r="G684" s="88"/>
    </row>
    <row r="685" spans="1:7" ht="15">
      <c r="A685" s="84"/>
      <c r="B685" s="84"/>
      <c r="C685" s="12"/>
      <c r="F685" s="13"/>
      <c r="G685" s="88"/>
    </row>
    <row r="686" spans="1:7" ht="15">
      <c r="A686" s="84"/>
      <c r="B686" s="84"/>
      <c r="C686" s="12"/>
      <c r="F686" s="13"/>
      <c r="G686" s="88"/>
    </row>
    <row r="687" spans="1:7" ht="15">
      <c r="A687" s="84"/>
      <c r="B687" s="84"/>
      <c r="C687" s="12"/>
      <c r="F687" s="13"/>
      <c r="G687" s="88"/>
    </row>
    <row r="688" spans="1:7" ht="15">
      <c r="A688" s="84"/>
      <c r="B688" s="84"/>
      <c r="C688" s="12"/>
      <c r="F688" s="13"/>
      <c r="G688" s="88"/>
    </row>
    <row r="689" spans="1:7" ht="15">
      <c r="A689" s="84"/>
      <c r="B689" s="84"/>
      <c r="C689" s="12"/>
      <c r="F689" s="13"/>
      <c r="G689" s="88"/>
    </row>
    <row r="690" spans="1:7" ht="15">
      <c r="A690" s="84"/>
      <c r="B690" s="84"/>
      <c r="C690" s="12"/>
      <c r="F690" s="13"/>
      <c r="G690" s="88"/>
    </row>
    <row r="691" spans="1:7" ht="15">
      <c r="A691" s="84"/>
      <c r="B691" s="84"/>
      <c r="C691" s="12"/>
      <c r="F691" s="13"/>
      <c r="G691" s="88"/>
    </row>
    <row r="692" spans="1:7" ht="15">
      <c r="A692" s="84"/>
      <c r="B692" s="84"/>
      <c r="C692" s="12"/>
      <c r="F692" s="13"/>
      <c r="G692" s="88"/>
    </row>
    <row r="693" spans="1:7" ht="15">
      <c r="A693" s="84"/>
      <c r="B693" s="84"/>
      <c r="C693" s="12"/>
      <c r="F693" s="13"/>
      <c r="G693" s="88"/>
    </row>
    <row r="694" spans="1:7" ht="15">
      <c r="A694" s="84"/>
      <c r="B694" s="84"/>
      <c r="C694" s="12"/>
      <c r="F694" s="13"/>
      <c r="G694" s="88"/>
    </row>
    <row r="695" spans="1:7" ht="15">
      <c r="A695" s="84"/>
      <c r="B695" s="84"/>
      <c r="C695" s="12"/>
      <c r="F695" s="13"/>
      <c r="G695" s="88"/>
    </row>
    <row r="696" spans="1:7" ht="15">
      <c r="A696" s="84"/>
      <c r="B696" s="84"/>
      <c r="C696" s="12"/>
      <c r="F696" s="13"/>
      <c r="G696" s="88"/>
    </row>
    <row r="697" spans="1:7" ht="15">
      <c r="A697" s="84"/>
      <c r="B697" s="84"/>
      <c r="C697" s="12"/>
      <c r="F697" s="13"/>
      <c r="G697" s="88"/>
    </row>
    <row r="698" spans="1:7" ht="15">
      <c r="A698" s="84"/>
      <c r="B698" s="84"/>
      <c r="C698" s="12"/>
      <c r="F698" s="13"/>
      <c r="G698" s="88"/>
    </row>
    <row r="699" spans="1:7" ht="15">
      <c r="A699" s="84"/>
      <c r="B699" s="84"/>
      <c r="C699" s="12"/>
      <c r="F699" s="13"/>
      <c r="G699" s="88"/>
    </row>
    <row r="700" spans="1:7" ht="15">
      <c r="A700" s="84"/>
      <c r="B700" s="84"/>
      <c r="C700" s="12"/>
      <c r="F700" s="13"/>
      <c r="G700" s="88"/>
    </row>
    <row r="701" spans="1:7" ht="15">
      <c r="A701" s="84"/>
      <c r="B701" s="84"/>
      <c r="C701" s="12"/>
      <c r="F701" s="13"/>
      <c r="G701" s="88"/>
    </row>
    <row r="702" spans="1:7" ht="15">
      <c r="A702" s="84"/>
      <c r="B702" s="84"/>
      <c r="C702" s="12"/>
      <c r="F702" s="13"/>
      <c r="G702" s="88"/>
    </row>
    <row r="703" spans="1:7" ht="15">
      <c r="A703" s="84"/>
      <c r="B703" s="84"/>
      <c r="C703" s="12"/>
      <c r="F703" s="13"/>
      <c r="G703" s="88"/>
    </row>
    <row r="704" spans="1:7" ht="15">
      <c r="A704" s="84"/>
      <c r="B704" s="84"/>
      <c r="C704" s="12"/>
      <c r="F704" s="13"/>
      <c r="G704" s="88"/>
    </row>
    <row r="705" spans="1:7" ht="15">
      <c r="A705" s="84"/>
      <c r="B705" s="84"/>
      <c r="C705" s="12"/>
      <c r="F705" s="13"/>
      <c r="G705" s="88"/>
    </row>
    <row r="706" spans="1:7" ht="15">
      <c r="A706" s="84"/>
      <c r="B706" s="84"/>
      <c r="C706" s="12"/>
      <c r="F706" s="13"/>
      <c r="G706" s="88"/>
    </row>
    <row r="707" spans="1:7" ht="15">
      <c r="A707" s="84"/>
      <c r="B707" s="84"/>
      <c r="C707" s="12"/>
      <c r="F707" s="13"/>
      <c r="G707" s="88"/>
    </row>
    <row r="708" spans="1:7" ht="15">
      <c r="A708" s="84"/>
      <c r="B708" s="84"/>
      <c r="C708" s="12"/>
      <c r="F708" s="13"/>
      <c r="G708" s="88"/>
    </row>
    <row r="709" spans="1:7" ht="15">
      <c r="A709" s="84"/>
      <c r="B709" s="84"/>
      <c r="C709" s="12"/>
      <c r="F709" s="13"/>
      <c r="G709" s="88"/>
    </row>
    <row r="710" spans="1:7" ht="15">
      <c r="A710" s="84"/>
      <c r="B710" s="84"/>
      <c r="C710" s="12"/>
      <c r="F710" s="13"/>
      <c r="G710" s="88"/>
    </row>
    <row r="711" spans="1:7" ht="15">
      <c r="A711" s="84"/>
      <c r="B711" s="84"/>
      <c r="C711" s="12"/>
      <c r="F711" s="13"/>
      <c r="G711" s="88"/>
    </row>
    <row r="712" spans="1:7" ht="15">
      <c r="A712" s="84"/>
      <c r="B712" s="84"/>
      <c r="C712" s="12"/>
      <c r="F712" s="13"/>
      <c r="G712" s="88"/>
    </row>
    <row r="713" spans="1:7" ht="15">
      <c r="A713" s="84"/>
      <c r="B713" s="84"/>
      <c r="C713" s="12"/>
      <c r="F713" s="13"/>
      <c r="G713" s="88"/>
    </row>
    <row r="714" spans="1:7" ht="15">
      <c r="A714" s="84"/>
      <c r="B714" s="84"/>
      <c r="C714" s="12"/>
      <c r="F714" s="13"/>
      <c r="G714" s="88"/>
    </row>
    <row r="715" spans="1:7" ht="15">
      <c r="A715" s="84"/>
      <c r="B715" s="84"/>
      <c r="C715" s="12"/>
      <c r="F715" s="13"/>
      <c r="G715" s="88"/>
    </row>
    <row r="716" spans="1:7" ht="15">
      <c r="A716" s="84"/>
      <c r="B716" s="84"/>
      <c r="C716" s="12"/>
      <c r="F716" s="13"/>
      <c r="G716" s="88"/>
    </row>
    <row r="717" spans="1:7" ht="15">
      <c r="A717" s="84"/>
      <c r="B717" s="84"/>
      <c r="C717" s="12"/>
      <c r="F717" s="13"/>
      <c r="G717" s="88"/>
    </row>
    <row r="718" spans="1:7" ht="15">
      <c r="A718" s="84"/>
      <c r="B718" s="84"/>
      <c r="C718" s="12"/>
      <c r="F718" s="13"/>
      <c r="G718" s="88"/>
    </row>
    <row r="719" spans="1:7" ht="15">
      <c r="A719" s="84"/>
      <c r="B719" s="84"/>
      <c r="C719" s="12"/>
      <c r="F719" s="13"/>
      <c r="G719" s="88"/>
    </row>
    <row r="720" spans="1:7" ht="15">
      <c r="A720" s="84"/>
      <c r="B720" s="84"/>
      <c r="C720" s="12"/>
      <c r="F720" s="13"/>
      <c r="G720" s="88"/>
    </row>
    <row r="721" spans="1:7" ht="15">
      <c r="A721" s="84"/>
      <c r="B721" s="84"/>
      <c r="C721" s="12"/>
      <c r="F721" s="13"/>
      <c r="G721" s="88"/>
    </row>
    <row r="722" spans="1:7" ht="15">
      <c r="A722" s="84"/>
      <c r="B722" s="84"/>
      <c r="C722" s="12"/>
      <c r="F722" s="13"/>
      <c r="G722" s="88"/>
    </row>
    <row r="723" spans="1:7" ht="15">
      <c r="A723" s="84"/>
      <c r="B723" s="84"/>
      <c r="C723" s="12"/>
      <c r="F723" s="13"/>
      <c r="G723" s="88"/>
    </row>
    <row r="724" spans="1:7" ht="15">
      <c r="A724" s="84"/>
      <c r="B724" s="84"/>
      <c r="C724" s="12"/>
      <c r="F724" s="13"/>
      <c r="G724" s="88"/>
    </row>
    <row r="725" spans="1:7" ht="15">
      <c r="A725" s="84"/>
      <c r="B725" s="84"/>
      <c r="C725" s="12"/>
      <c r="F725" s="13"/>
      <c r="G725" s="88"/>
    </row>
    <row r="726" spans="1:7" ht="15">
      <c r="A726" s="84"/>
      <c r="B726" s="84"/>
      <c r="C726" s="12"/>
      <c r="F726" s="13"/>
      <c r="G726" s="88"/>
    </row>
    <row r="727" spans="1:7" ht="15">
      <c r="A727" s="84"/>
      <c r="B727" s="84"/>
      <c r="C727" s="12"/>
      <c r="F727" s="13"/>
      <c r="G727" s="88"/>
    </row>
    <row r="728" spans="1:7" ht="15">
      <c r="A728" s="84"/>
      <c r="B728" s="84"/>
      <c r="C728" s="12"/>
      <c r="F728" s="13"/>
      <c r="G728" s="88"/>
    </row>
    <row r="729" spans="1:7" ht="15">
      <c r="A729" s="84"/>
      <c r="B729" s="84"/>
      <c r="C729" s="12"/>
      <c r="F729" s="13"/>
      <c r="G729" s="88"/>
    </row>
    <row r="730" spans="1:7" ht="15">
      <c r="A730" s="84"/>
      <c r="B730" s="84"/>
      <c r="C730" s="12"/>
      <c r="F730" s="13"/>
      <c r="G730" s="88"/>
    </row>
    <row r="731" spans="1:7" ht="15">
      <c r="A731" s="84"/>
      <c r="B731" s="84"/>
      <c r="C731" s="12"/>
      <c r="F731" s="13"/>
      <c r="G731" s="88"/>
    </row>
    <row r="732" spans="1:7" ht="15">
      <c r="A732" s="84"/>
      <c r="B732" s="84"/>
      <c r="C732" s="12"/>
      <c r="F732" s="13"/>
      <c r="G732" s="88"/>
    </row>
    <row r="733" spans="1:7" ht="15">
      <c r="A733" s="84"/>
      <c r="B733" s="84"/>
      <c r="C733" s="12"/>
      <c r="F733" s="13"/>
      <c r="G733" s="88"/>
    </row>
    <row r="734" spans="1:7" ht="15">
      <c r="A734" s="84"/>
      <c r="B734" s="84"/>
      <c r="C734" s="12"/>
      <c r="F734" s="13"/>
      <c r="G734" s="88"/>
    </row>
    <row r="735" spans="1:7" ht="15">
      <c r="A735" s="84"/>
      <c r="B735" s="84"/>
      <c r="C735" s="12"/>
      <c r="F735" s="13"/>
      <c r="G735" s="88"/>
    </row>
    <row r="736" spans="1:7" ht="15">
      <c r="A736" s="84"/>
      <c r="B736" s="84"/>
      <c r="C736" s="12"/>
      <c r="F736" s="13"/>
      <c r="G736" s="88"/>
    </row>
    <row r="737" spans="1:7" ht="15">
      <c r="A737" s="84"/>
      <c r="B737" s="84"/>
      <c r="C737" s="12"/>
      <c r="F737" s="13"/>
      <c r="G737" s="88"/>
    </row>
    <row r="738" spans="1:7" ht="15">
      <c r="A738" s="84"/>
      <c r="B738" s="84"/>
      <c r="C738" s="12"/>
      <c r="F738" s="13"/>
      <c r="G738" s="88"/>
    </row>
    <row r="739" spans="1:7" ht="15">
      <c r="A739" s="84"/>
      <c r="B739" s="84"/>
      <c r="C739" s="12"/>
      <c r="F739" s="13"/>
      <c r="G739" s="88"/>
    </row>
    <row r="740" spans="1:7" ht="15">
      <c r="A740" s="84"/>
      <c r="B740" s="84"/>
      <c r="C740" s="12"/>
      <c r="F740" s="13"/>
      <c r="G740" s="88"/>
    </row>
    <row r="741" spans="1:7" ht="15">
      <c r="A741" s="84"/>
      <c r="B741" s="84"/>
      <c r="C741" s="12"/>
      <c r="F741" s="13"/>
      <c r="G741" s="88"/>
    </row>
    <row r="742" spans="1:7" ht="15">
      <c r="A742" s="84"/>
      <c r="B742" s="84"/>
      <c r="C742" s="12"/>
      <c r="F742" s="13"/>
      <c r="G742" s="88"/>
    </row>
    <row r="743" spans="1:7" ht="15">
      <c r="A743" s="84"/>
      <c r="B743" s="84"/>
      <c r="C743" s="12"/>
      <c r="F743" s="13"/>
      <c r="G743" s="88"/>
    </row>
    <row r="744" spans="1:7" ht="15">
      <c r="A744" s="84"/>
      <c r="B744" s="84"/>
      <c r="C744" s="12"/>
      <c r="F744" s="13"/>
      <c r="G744" s="88"/>
    </row>
    <row r="745" spans="1:7" ht="15">
      <c r="A745" s="84"/>
      <c r="B745" s="84"/>
      <c r="C745" s="12"/>
      <c r="F745" s="13"/>
      <c r="G745" s="88"/>
    </row>
    <row r="746" spans="1:7" ht="15">
      <c r="A746" s="84"/>
      <c r="B746" s="84"/>
      <c r="C746" s="12"/>
      <c r="F746" s="13"/>
      <c r="G746" s="88"/>
    </row>
    <row r="747" spans="1:7" ht="15">
      <c r="A747" s="84"/>
      <c r="B747" s="84"/>
      <c r="C747" s="12"/>
      <c r="F747" s="13"/>
      <c r="G747" s="88"/>
    </row>
    <row r="748" spans="1:7" ht="15">
      <c r="A748" s="84"/>
      <c r="B748" s="84"/>
      <c r="C748" s="12"/>
      <c r="F748" s="13"/>
      <c r="G748" s="88"/>
    </row>
    <row r="749" spans="1:7" ht="15">
      <c r="A749" s="84"/>
      <c r="B749" s="84"/>
      <c r="C749" s="12"/>
      <c r="F749" s="13"/>
      <c r="G749" s="88"/>
    </row>
    <row r="750" spans="1:7" ht="15">
      <c r="A750" s="84"/>
      <c r="B750" s="84"/>
      <c r="C750" s="12"/>
      <c r="F750" s="13"/>
      <c r="G750" s="88"/>
    </row>
    <row r="751" spans="1:7" ht="15">
      <c r="A751" s="84"/>
      <c r="B751" s="84"/>
      <c r="C751" s="12"/>
      <c r="F751" s="13"/>
      <c r="G751" s="88"/>
    </row>
    <row r="752" spans="1:7" ht="15">
      <c r="A752" s="84"/>
      <c r="B752" s="84"/>
      <c r="C752" s="12"/>
      <c r="F752" s="13"/>
      <c r="G752" s="88"/>
    </row>
    <row r="753" spans="1:7" ht="15">
      <c r="A753" s="84"/>
      <c r="B753" s="84"/>
      <c r="C753" s="12"/>
      <c r="F753" s="13"/>
      <c r="G753" s="88"/>
    </row>
    <row r="754" spans="1:7" ht="15">
      <c r="A754" s="84"/>
      <c r="B754" s="84"/>
      <c r="C754" s="12"/>
      <c r="F754" s="13"/>
      <c r="G754" s="88"/>
    </row>
    <row r="755" spans="1:7" ht="15">
      <c r="A755" s="84"/>
      <c r="B755" s="84"/>
      <c r="C755" s="12"/>
      <c r="F755" s="13"/>
      <c r="G755" s="88"/>
    </row>
    <row r="756" spans="1:7" ht="15">
      <c r="A756" s="84"/>
      <c r="B756" s="84"/>
      <c r="C756" s="12"/>
      <c r="F756" s="13"/>
      <c r="G756" s="88"/>
    </row>
    <row r="757" spans="1:7" ht="15">
      <c r="A757" s="84"/>
      <c r="B757" s="84"/>
      <c r="C757" s="12"/>
      <c r="F757" s="13"/>
      <c r="G757" s="88"/>
    </row>
    <row r="758" spans="1:7" ht="15">
      <c r="A758" s="84"/>
      <c r="B758" s="84"/>
      <c r="C758" s="12"/>
      <c r="F758" s="13"/>
      <c r="G758" s="88"/>
    </row>
    <row r="759" spans="1:7" ht="15">
      <c r="A759" s="84"/>
      <c r="B759" s="84"/>
      <c r="C759" s="12"/>
      <c r="F759" s="13"/>
      <c r="G759" s="88"/>
    </row>
    <row r="760" spans="1:7" ht="15">
      <c r="A760" s="84"/>
      <c r="B760" s="84"/>
      <c r="C760" s="12"/>
      <c r="F760" s="13"/>
      <c r="G760" s="88"/>
    </row>
    <row r="761" spans="1:7" ht="15">
      <c r="A761" s="84"/>
      <c r="B761" s="84"/>
      <c r="C761" s="12"/>
      <c r="F761" s="13"/>
      <c r="G761" s="88"/>
    </row>
    <row r="762" spans="1:7" ht="15">
      <c r="A762" s="84"/>
      <c r="B762" s="84"/>
      <c r="C762" s="12"/>
      <c r="F762" s="13"/>
      <c r="G762" s="88"/>
    </row>
    <row r="763" spans="1:7" ht="15">
      <c r="A763" s="84"/>
      <c r="B763" s="84"/>
      <c r="C763" s="12"/>
      <c r="F763" s="13"/>
      <c r="G763" s="88"/>
    </row>
    <row r="764" spans="1:7" ht="15">
      <c r="A764" s="84"/>
      <c r="B764" s="84"/>
      <c r="C764" s="12"/>
      <c r="F764" s="13"/>
      <c r="G764" s="88"/>
    </row>
    <row r="765" spans="1:7" ht="15">
      <c r="A765" s="84"/>
      <c r="B765" s="84"/>
      <c r="C765" s="12"/>
      <c r="F765" s="13"/>
      <c r="G765" s="88"/>
    </row>
    <row r="766" spans="1:7" ht="15">
      <c r="A766" s="84"/>
      <c r="B766" s="84"/>
      <c r="C766" s="12"/>
      <c r="F766" s="13"/>
      <c r="G766" s="88"/>
    </row>
    <row r="767" spans="1:7" ht="15">
      <c r="A767" s="84"/>
      <c r="B767" s="84"/>
      <c r="C767" s="12"/>
      <c r="F767" s="13"/>
      <c r="G767" s="88"/>
    </row>
    <row r="768" spans="1:7" ht="15">
      <c r="A768" s="84"/>
      <c r="B768" s="84"/>
      <c r="C768" s="12"/>
      <c r="F768" s="13"/>
      <c r="G768" s="88"/>
    </row>
    <row r="769" spans="1:7" ht="15">
      <c r="A769" s="84"/>
      <c r="B769" s="84"/>
      <c r="C769" s="12"/>
      <c r="F769" s="13"/>
      <c r="G769" s="88"/>
    </row>
    <row r="770" spans="1:7" ht="15">
      <c r="A770" s="84"/>
      <c r="B770" s="84"/>
      <c r="C770" s="12"/>
      <c r="F770" s="13"/>
      <c r="G770" s="88"/>
    </row>
    <row r="771" spans="1:7" ht="15">
      <c r="A771" s="84"/>
      <c r="B771" s="84"/>
      <c r="C771" s="12"/>
      <c r="F771" s="13"/>
      <c r="G771" s="88"/>
    </row>
    <row r="772" spans="1:7" ht="15">
      <c r="A772" s="84"/>
      <c r="B772" s="84"/>
      <c r="C772" s="12"/>
      <c r="F772" s="13"/>
      <c r="G772" s="88"/>
    </row>
    <row r="773" spans="1:7" ht="15">
      <c r="A773" s="84"/>
      <c r="B773" s="84"/>
      <c r="C773" s="12"/>
      <c r="F773" s="13"/>
      <c r="G773" s="88"/>
    </row>
    <row r="774" spans="1:7" ht="15">
      <c r="A774" s="84"/>
      <c r="B774" s="84"/>
      <c r="C774" s="12"/>
      <c r="F774" s="13"/>
      <c r="G774" s="88"/>
    </row>
    <row r="775" spans="1:7" ht="15">
      <c r="A775" s="84"/>
      <c r="B775" s="84"/>
      <c r="C775" s="12"/>
      <c r="F775" s="13"/>
      <c r="G775" s="88"/>
    </row>
    <row r="776" spans="1:7" ht="15">
      <c r="A776" s="84"/>
      <c r="B776" s="84"/>
      <c r="C776" s="12"/>
      <c r="F776" s="13"/>
      <c r="G776" s="88"/>
    </row>
    <row r="777" spans="1:7" ht="15">
      <c r="A777" s="84"/>
      <c r="B777" s="84"/>
      <c r="C777" s="12"/>
      <c r="F777" s="13"/>
      <c r="G777" s="88"/>
    </row>
    <row r="778" spans="1:7" ht="15">
      <c r="A778" s="84"/>
      <c r="B778" s="84"/>
      <c r="C778" s="12"/>
      <c r="F778" s="13"/>
      <c r="G778" s="88"/>
    </row>
    <row r="779" spans="1:7" ht="15">
      <c r="A779" s="84"/>
      <c r="B779" s="84"/>
      <c r="C779" s="12"/>
      <c r="F779" s="13"/>
      <c r="G779" s="88"/>
    </row>
    <row r="780" spans="1:7" ht="15">
      <c r="A780" s="84"/>
      <c r="B780" s="84"/>
      <c r="C780" s="12"/>
      <c r="F780" s="13"/>
      <c r="G780" s="88"/>
    </row>
    <row r="781" spans="1:7" ht="15">
      <c r="A781" s="84"/>
      <c r="B781" s="84"/>
      <c r="C781" s="12"/>
      <c r="F781" s="13"/>
      <c r="G781" s="88"/>
    </row>
    <row r="782" spans="1:7" ht="15">
      <c r="A782" s="84"/>
      <c r="B782" s="84"/>
      <c r="C782" s="12"/>
      <c r="F782" s="13"/>
      <c r="G782" s="88"/>
    </row>
    <row r="783" spans="1:7" ht="15">
      <c r="A783" s="84"/>
      <c r="B783" s="84"/>
      <c r="C783" s="12"/>
      <c r="F783" s="13"/>
      <c r="G783" s="88"/>
    </row>
    <row r="784" spans="1:7" ht="15">
      <c r="A784" s="84"/>
      <c r="B784" s="84"/>
      <c r="C784" s="12"/>
      <c r="F784" s="13"/>
      <c r="G784" s="88"/>
    </row>
    <row r="785" spans="1:7" ht="15">
      <c r="A785" s="84"/>
      <c r="B785" s="84"/>
      <c r="C785" s="12"/>
      <c r="F785" s="13"/>
      <c r="G785" s="88"/>
    </row>
    <row r="786" spans="1:7" ht="15">
      <c r="A786" s="84"/>
      <c r="B786" s="84"/>
      <c r="C786" s="12"/>
      <c r="F786" s="13"/>
      <c r="G786" s="88"/>
    </row>
    <row r="787" spans="1:7" ht="15">
      <c r="A787" s="84"/>
      <c r="B787" s="84"/>
      <c r="C787" s="12"/>
      <c r="F787" s="13"/>
      <c r="G787" s="88"/>
    </row>
    <row r="788" spans="1:7" ht="15">
      <c r="A788" s="84"/>
      <c r="B788" s="84"/>
      <c r="C788" s="12"/>
      <c r="F788" s="13"/>
      <c r="G788" s="88"/>
    </row>
    <row r="789" spans="1:7" ht="15">
      <c r="A789" s="84"/>
      <c r="B789" s="84"/>
      <c r="C789" s="12"/>
      <c r="F789" s="13"/>
      <c r="G789" s="88"/>
    </row>
    <row r="790" spans="1:7" ht="15">
      <c r="A790" s="84"/>
      <c r="B790" s="84"/>
      <c r="C790" s="12"/>
      <c r="F790" s="13"/>
      <c r="G790" s="88"/>
    </row>
    <row r="791" spans="1:7" ht="15">
      <c r="A791" s="84"/>
      <c r="B791" s="84"/>
      <c r="C791" s="12"/>
      <c r="F791" s="13"/>
      <c r="G791" s="88"/>
    </row>
    <row r="792" spans="1:7" ht="15">
      <c r="A792" s="84"/>
      <c r="B792" s="84"/>
      <c r="C792" s="12"/>
      <c r="F792" s="13"/>
      <c r="G792" s="88"/>
    </row>
    <row r="793" spans="1:7" ht="15">
      <c r="A793" s="84"/>
      <c r="B793" s="84"/>
      <c r="C793" s="12"/>
      <c r="F793" s="13"/>
      <c r="G793" s="88"/>
    </row>
    <row r="794" spans="1:7" ht="15">
      <c r="A794" s="84"/>
      <c r="B794" s="84"/>
      <c r="C794" s="12"/>
      <c r="F794" s="13"/>
      <c r="G794" s="88"/>
    </row>
    <row r="795" spans="1:7" ht="15">
      <c r="A795" s="84"/>
      <c r="B795" s="84"/>
      <c r="C795" s="12"/>
      <c r="F795" s="13"/>
      <c r="G795" s="88"/>
    </row>
    <row r="796" spans="1:7" ht="15">
      <c r="A796" s="84"/>
      <c r="B796" s="84"/>
      <c r="C796" s="12"/>
      <c r="F796" s="13"/>
      <c r="G796" s="88"/>
    </row>
    <row r="797" spans="1:7" ht="15">
      <c r="A797" s="84"/>
      <c r="B797" s="84"/>
      <c r="C797" s="12"/>
      <c r="F797" s="13"/>
      <c r="G797" s="88"/>
    </row>
    <row r="798" spans="1:7" ht="15">
      <c r="A798" s="84"/>
      <c r="B798" s="84"/>
      <c r="C798" s="12"/>
      <c r="F798" s="13"/>
      <c r="G798" s="88"/>
    </row>
    <row r="799" spans="1:7" ht="15">
      <c r="A799" s="84"/>
      <c r="B799" s="84"/>
      <c r="C799" s="12"/>
      <c r="F799" s="13"/>
      <c r="G799" s="88"/>
    </row>
    <row r="800" spans="1:7" ht="15">
      <c r="A800" s="84"/>
      <c r="B800" s="84"/>
      <c r="C800" s="12"/>
      <c r="F800" s="13"/>
      <c r="G800" s="88"/>
    </row>
    <row r="801" spans="1:7" ht="15">
      <c r="A801" s="84"/>
      <c r="B801" s="84"/>
      <c r="C801" s="12"/>
      <c r="F801" s="13"/>
      <c r="G801" s="88"/>
    </row>
    <row r="802" spans="1:7" ht="15">
      <c r="A802" s="84"/>
      <c r="B802" s="84"/>
      <c r="C802" s="12"/>
      <c r="F802" s="13"/>
      <c r="G802" s="88"/>
    </row>
    <row r="803" spans="1:7" ht="15">
      <c r="A803" s="84"/>
      <c r="B803" s="84"/>
      <c r="C803" s="12"/>
      <c r="F803" s="13"/>
      <c r="G803" s="88"/>
    </row>
    <row r="804" spans="1:7" ht="15">
      <c r="A804" s="84"/>
      <c r="B804" s="84"/>
      <c r="C804" s="12"/>
      <c r="F804" s="13"/>
      <c r="G804" s="88"/>
    </row>
    <row r="805" spans="1:7" ht="15">
      <c r="A805" s="84"/>
      <c r="B805" s="84"/>
      <c r="C805" s="12"/>
      <c r="F805" s="13"/>
      <c r="G805" s="88"/>
    </row>
    <row r="806" spans="1:7" ht="15">
      <c r="A806" s="84"/>
      <c r="B806" s="84"/>
      <c r="C806" s="12"/>
      <c r="F806" s="13"/>
      <c r="G806" s="88"/>
    </row>
    <row r="807" spans="1:7" ht="15">
      <c r="A807" s="84"/>
      <c r="B807" s="84"/>
      <c r="C807" s="12"/>
      <c r="F807" s="13"/>
      <c r="G807" s="88"/>
    </row>
    <row r="808" spans="1:7" ht="15">
      <c r="A808" s="84"/>
      <c r="B808" s="84"/>
      <c r="C808" s="12"/>
      <c r="F808" s="13"/>
      <c r="G808" s="88"/>
    </row>
    <row r="809" spans="1:7" ht="15">
      <c r="A809" s="84"/>
      <c r="B809" s="84"/>
      <c r="C809" s="12"/>
      <c r="F809" s="13"/>
      <c r="G809" s="88"/>
    </row>
    <row r="810" spans="1:7" ht="15">
      <c r="A810" s="84"/>
      <c r="B810" s="84"/>
      <c r="C810" s="12"/>
      <c r="F810" s="13"/>
      <c r="G810" s="88"/>
    </row>
    <row r="811" spans="1:7" ht="15">
      <c r="A811" s="84"/>
      <c r="B811" s="84"/>
      <c r="C811" s="12"/>
      <c r="F811" s="13"/>
      <c r="G811" s="88"/>
    </row>
    <row r="812" spans="1:7" ht="15">
      <c r="A812" s="84"/>
      <c r="B812" s="84"/>
      <c r="C812" s="12"/>
      <c r="F812" s="13"/>
      <c r="G812" s="88"/>
    </row>
    <row r="813" spans="1:7" ht="15">
      <c r="A813" s="84"/>
      <c r="B813" s="84"/>
      <c r="C813" s="12"/>
      <c r="F813" s="13"/>
      <c r="G813" s="88"/>
    </row>
    <row r="814" spans="1:7" ht="15">
      <c r="A814" s="84"/>
      <c r="B814" s="84"/>
      <c r="C814" s="12"/>
      <c r="F814" s="13"/>
      <c r="G814" s="88"/>
    </row>
    <row r="815" spans="1:7" ht="15">
      <c r="A815" s="84"/>
      <c r="B815" s="84"/>
      <c r="C815" s="12"/>
      <c r="F815" s="13"/>
      <c r="G815" s="88"/>
    </row>
    <row r="816" spans="1:7" ht="15">
      <c r="A816" s="84"/>
      <c r="B816" s="84"/>
      <c r="C816" s="12"/>
      <c r="F816" s="13"/>
      <c r="G816" s="88"/>
    </row>
    <row r="817" spans="1:7" ht="15">
      <c r="A817" s="84"/>
      <c r="B817" s="84"/>
      <c r="C817" s="12"/>
      <c r="F817" s="13"/>
      <c r="G817" s="88"/>
    </row>
    <row r="818" spans="1:7" ht="15">
      <c r="A818" s="84"/>
      <c r="B818" s="84"/>
      <c r="C818" s="12"/>
      <c r="F818" s="13"/>
      <c r="G818" s="88"/>
    </row>
    <row r="819" spans="1:7" ht="15">
      <c r="A819" s="84"/>
      <c r="B819" s="84"/>
      <c r="C819" s="12"/>
      <c r="F819" s="13"/>
      <c r="G819" s="88"/>
    </row>
    <row r="820" spans="1:7" ht="15">
      <c r="A820" s="84"/>
      <c r="B820" s="84"/>
      <c r="C820" s="12"/>
      <c r="F820" s="13"/>
      <c r="G820" s="88"/>
    </row>
    <row r="821" spans="1:7" ht="15">
      <c r="A821" s="84"/>
      <c r="B821" s="84"/>
      <c r="C821" s="12"/>
      <c r="F821" s="13"/>
      <c r="G821" s="88"/>
    </row>
    <row r="822" spans="1:7" ht="15">
      <c r="A822" s="84"/>
      <c r="B822" s="84"/>
      <c r="C822" s="12"/>
      <c r="F822" s="13"/>
      <c r="G822" s="88"/>
    </row>
    <row r="823" spans="1:7" ht="15">
      <c r="A823" s="84"/>
      <c r="B823" s="84"/>
      <c r="C823" s="12"/>
      <c r="F823" s="13"/>
      <c r="G823" s="88"/>
    </row>
    <row r="824" spans="1:7" ht="15">
      <c r="A824" s="84"/>
      <c r="B824" s="84"/>
      <c r="C824" s="12"/>
      <c r="F824" s="13"/>
      <c r="G824" s="88"/>
    </row>
    <row r="825" spans="1:7" ht="15">
      <c r="A825" s="84"/>
      <c r="B825" s="84"/>
      <c r="C825" s="12"/>
      <c r="F825" s="13"/>
      <c r="G825" s="88"/>
    </row>
    <row r="826" spans="1:7" ht="15">
      <c r="A826" s="84"/>
      <c r="B826" s="84"/>
      <c r="C826" s="12"/>
      <c r="F826" s="13"/>
      <c r="G826" s="88"/>
    </row>
    <row r="827" spans="1:7" ht="15">
      <c r="A827" s="84"/>
      <c r="B827" s="84"/>
      <c r="C827" s="12"/>
      <c r="F827" s="13"/>
      <c r="G827" s="88"/>
    </row>
    <row r="828" spans="1:7" ht="15">
      <c r="A828" s="84"/>
      <c r="B828" s="84"/>
      <c r="C828" s="12"/>
      <c r="F828" s="13"/>
      <c r="G828" s="88"/>
    </row>
    <row r="829" spans="1:7" ht="15">
      <c r="A829" s="84"/>
      <c r="B829" s="84"/>
      <c r="C829" s="12"/>
      <c r="F829" s="13"/>
      <c r="G829" s="88"/>
    </row>
    <row r="830" spans="1:7" ht="15">
      <c r="A830" s="84"/>
      <c r="B830" s="84"/>
      <c r="C830" s="12"/>
      <c r="F830" s="13"/>
      <c r="G830" s="88"/>
    </row>
    <row r="831" spans="1:7" ht="15">
      <c r="A831" s="84"/>
      <c r="B831" s="84"/>
      <c r="C831" s="12"/>
      <c r="F831" s="13"/>
      <c r="G831" s="88"/>
    </row>
    <row r="832" spans="1:7" ht="15">
      <c r="A832" s="84"/>
      <c r="B832" s="84"/>
      <c r="C832" s="12"/>
      <c r="F832" s="13"/>
      <c r="G832" s="88"/>
    </row>
    <row r="833" spans="1:7" ht="15">
      <c r="A833" s="84"/>
      <c r="B833" s="84"/>
      <c r="C833" s="12"/>
      <c r="F833" s="13"/>
      <c r="G833" s="88"/>
    </row>
    <row r="834" spans="1:7" ht="15">
      <c r="A834" s="84"/>
      <c r="B834" s="84"/>
      <c r="C834" s="12"/>
      <c r="F834" s="13"/>
      <c r="G834" s="88"/>
    </row>
    <row r="835" spans="1:7" ht="15">
      <c r="A835" s="84"/>
      <c r="B835" s="84"/>
      <c r="C835" s="12"/>
      <c r="F835" s="13"/>
      <c r="G835" s="88"/>
    </row>
    <row r="836" spans="1:7" ht="15">
      <c r="A836" s="84"/>
      <c r="B836" s="84"/>
      <c r="C836" s="12"/>
      <c r="F836" s="13"/>
      <c r="G836" s="88"/>
    </row>
    <row r="837" spans="1:7" ht="15">
      <c r="A837" s="84"/>
      <c r="B837" s="84"/>
      <c r="C837" s="12"/>
      <c r="F837" s="13"/>
      <c r="G837" s="88"/>
    </row>
    <row r="838" spans="1:7" ht="15">
      <c r="A838" s="84"/>
      <c r="B838" s="84"/>
      <c r="C838" s="12"/>
      <c r="F838" s="13"/>
      <c r="G838" s="88"/>
    </row>
    <row r="839" spans="1:7" ht="15">
      <c r="A839" s="84"/>
      <c r="B839" s="84"/>
      <c r="C839" s="12"/>
      <c r="F839" s="13"/>
      <c r="G839" s="88"/>
    </row>
    <row r="840" spans="1:7" ht="15">
      <c r="A840" s="84"/>
      <c r="B840" s="84"/>
      <c r="C840" s="12"/>
      <c r="F840" s="13"/>
      <c r="G840" s="88"/>
    </row>
    <row r="841" spans="1:7" ht="15">
      <c r="A841" s="84"/>
      <c r="B841" s="84"/>
      <c r="C841" s="12"/>
      <c r="F841" s="13"/>
      <c r="G841" s="88"/>
    </row>
    <row r="842" spans="1:7" ht="15">
      <c r="A842" s="84"/>
      <c r="B842" s="84"/>
      <c r="C842" s="12"/>
      <c r="F842" s="13"/>
      <c r="G842" s="88"/>
    </row>
    <row r="843" spans="1:7" ht="15">
      <c r="A843" s="84"/>
      <c r="B843" s="84"/>
      <c r="C843" s="12"/>
      <c r="F843" s="13"/>
      <c r="G843" s="88"/>
    </row>
    <row r="844" spans="1:7" ht="15">
      <c r="A844" s="84"/>
      <c r="B844" s="84"/>
      <c r="C844" s="12"/>
      <c r="F844" s="13"/>
      <c r="G844" s="88"/>
    </row>
    <row r="845" spans="1:7" ht="15">
      <c r="A845" s="84"/>
      <c r="B845" s="84"/>
      <c r="C845" s="12"/>
      <c r="F845" s="13"/>
      <c r="G845" s="88"/>
    </row>
    <row r="846" spans="1:7" ht="15">
      <c r="A846" s="84"/>
      <c r="B846" s="84"/>
      <c r="C846" s="12"/>
      <c r="F846" s="13"/>
      <c r="G846" s="88"/>
    </row>
    <row r="847" spans="1:7" ht="15">
      <c r="A847" s="84"/>
      <c r="B847" s="84"/>
      <c r="C847" s="12"/>
      <c r="F847" s="13"/>
      <c r="G847" s="88"/>
    </row>
    <row r="848" spans="1:7" ht="15">
      <c r="A848" s="84"/>
      <c r="B848" s="84"/>
      <c r="C848" s="12"/>
      <c r="F848" s="13"/>
      <c r="G848" s="88"/>
    </row>
    <row r="849" spans="1:7" ht="15">
      <c r="A849" s="84"/>
      <c r="B849" s="84"/>
      <c r="C849" s="12"/>
      <c r="F849" s="13"/>
      <c r="G849" s="88"/>
    </row>
    <row r="850" spans="1:7" ht="15">
      <c r="A850" s="84"/>
      <c r="B850" s="84"/>
      <c r="C850" s="12"/>
      <c r="F850" s="13"/>
      <c r="G850" s="88"/>
    </row>
    <row r="851" spans="1:7" ht="15">
      <c r="A851" s="84"/>
      <c r="B851" s="84"/>
      <c r="C851" s="12"/>
      <c r="F851" s="13"/>
      <c r="G851" s="88"/>
    </row>
    <row r="852" spans="1:7" ht="15">
      <c r="A852" s="84"/>
      <c r="B852" s="84"/>
      <c r="C852" s="12"/>
      <c r="F852" s="13"/>
      <c r="G852" s="88"/>
    </row>
    <row r="853" spans="1:7" ht="15">
      <c r="A853" s="84"/>
      <c r="B853" s="84"/>
      <c r="C853" s="12"/>
      <c r="F853" s="13"/>
      <c r="G853" s="88"/>
    </row>
    <row r="854" spans="1:7" ht="15">
      <c r="A854" s="84"/>
      <c r="B854" s="84"/>
      <c r="C854" s="12"/>
      <c r="F854" s="13"/>
      <c r="G854" s="88"/>
    </row>
    <row r="855" spans="1:7" ht="15">
      <c r="A855" s="84"/>
      <c r="B855" s="84"/>
      <c r="C855" s="12"/>
      <c r="F855" s="13"/>
      <c r="G855" s="88"/>
    </row>
    <row r="856" spans="1:7" ht="15">
      <c r="A856" s="84"/>
      <c r="B856" s="84"/>
      <c r="C856" s="12"/>
      <c r="F856" s="13"/>
      <c r="G856" s="88"/>
    </row>
    <row r="857" spans="1:7" ht="15">
      <c r="A857" s="84"/>
      <c r="B857" s="84"/>
      <c r="C857" s="12"/>
      <c r="F857" s="13"/>
      <c r="G857" s="88"/>
    </row>
    <row r="858" spans="1:7" ht="15">
      <c r="A858" s="84"/>
      <c r="B858" s="84"/>
      <c r="C858" s="12"/>
      <c r="F858" s="13"/>
      <c r="G858" s="88"/>
    </row>
    <row r="859" spans="1:7" ht="15">
      <c r="A859" s="84"/>
      <c r="B859" s="84"/>
      <c r="C859" s="12"/>
      <c r="F859" s="13"/>
      <c r="G859" s="88"/>
    </row>
    <row r="860" spans="1:7" ht="15">
      <c r="A860" s="84"/>
      <c r="B860" s="84"/>
      <c r="C860" s="12"/>
      <c r="F860" s="13"/>
      <c r="G860" s="88"/>
    </row>
    <row r="861" spans="1:7" ht="15">
      <c r="A861" s="84"/>
      <c r="B861" s="84"/>
      <c r="C861" s="12"/>
      <c r="F861" s="13"/>
      <c r="G861" s="88"/>
    </row>
    <row r="862" spans="1:7" ht="15">
      <c r="A862" s="84"/>
      <c r="B862" s="84"/>
      <c r="C862" s="12"/>
      <c r="F862" s="13"/>
      <c r="G862" s="88"/>
    </row>
    <row r="863" spans="1:7" ht="15">
      <c r="A863" s="84"/>
      <c r="B863" s="84"/>
      <c r="C863" s="12"/>
      <c r="F863" s="13"/>
      <c r="G863" s="88"/>
    </row>
    <row r="864" spans="1:7" ht="15">
      <c r="A864" s="84"/>
      <c r="B864" s="84"/>
      <c r="C864" s="12"/>
      <c r="F864" s="13"/>
      <c r="G864" s="88"/>
    </row>
    <row r="865" spans="1:7" ht="15">
      <c r="A865" s="84"/>
      <c r="B865" s="84"/>
      <c r="C865" s="12"/>
      <c r="F865" s="13"/>
      <c r="G865" s="88"/>
    </row>
    <row r="866" spans="1:7" ht="15">
      <c r="A866" s="84"/>
      <c r="B866" s="84"/>
      <c r="C866" s="12"/>
      <c r="F866" s="13"/>
      <c r="G866" s="88"/>
    </row>
    <row r="867" spans="1:7" ht="15">
      <c r="A867" s="84"/>
      <c r="B867" s="84"/>
      <c r="C867" s="12"/>
      <c r="F867" s="13"/>
      <c r="G867" s="88"/>
    </row>
    <row r="868" spans="1:7" ht="15">
      <c r="A868" s="84"/>
      <c r="B868" s="84"/>
      <c r="C868" s="12"/>
      <c r="F868" s="13"/>
      <c r="G868" s="88"/>
    </row>
    <row r="869" spans="1:7" ht="15">
      <c r="A869" s="84"/>
      <c r="B869" s="84"/>
      <c r="C869" s="12"/>
      <c r="F869" s="13"/>
      <c r="G869" s="88"/>
    </row>
    <row r="870" spans="1:7" ht="15">
      <c r="A870" s="84"/>
      <c r="B870" s="84"/>
      <c r="C870" s="12"/>
      <c r="F870" s="13"/>
      <c r="G870" s="88"/>
    </row>
    <row r="871" spans="1:7" ht="15">
      <c r="A871" s="84"/>
      <c r="B871" s="84"/>
      <c r="C871" s="12"/>
      <c r="F871" s="13"/>
      <c r="G871" s="88"/>
    </row>
    <row r="872" spans="1:7" ht="15">
      <c r="A872" s="84"/>
      <c r="B872" s="84"/>
      <c r="C872" s="12"/>
      <c r="F872" s="13"/>
      <c r="G872" s="88"/>
    </row>
    <row r="873" spans="1:7" ht="15">
      <c r="A873" s="84"/>
      <c r="B873" s="84"/>
      <c r="C873" s="12"/>
      <c r="F873" s="13"/>
      <c r="G873" s="88"/>
    </row>
    <row r="874" spans="1:7" ht="15">
      <c r="A874" s="84"/>
      <c r="B874" s="84"/>
      <c r="C874" s="12"/>
      <c r="F874" s="13"/>
      <c r="G874" s="88"/>
    </row>
    <row r="875" spans="1:7" ht="15">
      <c r="A875" s="84"/>
      <c r="B875" s="84"/>
      <c r="C875" s="12"/>
      <c r="F875" s="13"/>
      <c r="G875" s="88"/>
    </row>
    <row r="876" spans="1:7" ht="15">
      <c r="A876" s="84"/>
      <c r="B876" s="84"/>
      <c r="C876" s="12"/>
      <c r="F876" s="13"/>
      <c r="G876" s="88"/>
    </row>
    <row r="877" spans="1:7" ht="15">
      <c r="A877" s="84"/>
      <c r="B877" s="84"/>
      <c r="C877" s="12"/>
      <c r="F877" s="13"/>
      <c r="G877" s="88"/>
    </row>
    <row r="878" spans="1:7" ht="15">
      <c r="A878" s="84"/>
      <c r="B878" s="84"/>
      <c r="C878" s="12"/>
      <c r="F878" s="13"/>
      <c r="G878" s="88"/>
    </row>
    <row r="879" spans="1:7" ht="15">
      <c r="A879" s="84"/>
      <c r="B879" s="84"/>
      <c r="C879" s="12"/>
      <c r="F879" s="13"/>
      <c r="G879" s="88"/>
    </row>
    <row r="880" spans="1:7" ht="15">
      <c r="A880" s="84"/>
      <c r="B880" s="84"/>
      <c r="C880" s="12"/>
      <c r="F880" s="13"/>
      <c r="G880" s="88"/>
    </row>
    <row r="881" spans="1:7" ht="15">
      <c r="A881" s="84"/>
      <c r="B881" s="84"/>
      <c r="C881" s="12"/>
      <c r="F881" s="13"/>
      <c r="G881" s="88"/>
    </row>
    <row r="882" spans="1:7" ht="15">
      <c r="A882" s="84"/>
      <c r="B882" s="84"/>
      <c r="C882" s="12"/>
      <c r="F882" s="13"/>
      <c r="G882" s="88"/>
    </row>
    <row r="883" spans="1:7" ht="15">
      <c r="A883" s="84"/>
      <c r="B883" s="84"/>
      <c r="C883" s="12"/>
      <c r="F883" s="13"/>
      <c r="G883" s="88"/>
    </row>
    <row r="884" spans="1:7" ht="15">
      <c r="A884" s="84"/>
      <c r="B884" s="84"/>
      <c r="C884" s="12"/>
      <c r="F884" s="13"/>
      <c r="G884" s="88"/>
    </row>
    <row r="885" spans="1:7" ht="15">
      <c r="A885" s="84"/>
      <c r="B885" s="84"/>
      <c r="C885" s="12"/>
      <c r="F885" s="13"/>
      <c r="G885" s="88"/>
    </row>
    <row r="886" spans="1:7" ht="15">
      <c r="A886" s="84"/>
      <c r="B886" s="84"/>
      <c r="C886" s="12"/>
      <c r="F886" s="13"/>
      <c r="G886" s="88"/>
    </row>
    <row r="887" spans="1:7" ht="15">
      <c r="A887" s="84"/>
      <c r="B887" s="84"/>
      <c r="C887" s="12"/>
      <c r="F887" s="13"/>
      <c r="G887" s="88"/>
    </row>
    <row r="888" spans="1:7" ht="15">
      <c r="A888" s="84"/>
      <c r="B888" s="84"/>
      <c r="C888" s="12"/>
      <c r="F888" s="13"/>
      <c r="G888" s="88"/>
    </row>
    <row r="889" spans="1:7" ht="15">
      <c r="A889" s="84"/>
      <c r="B889" s="84"/>
      <c r="C889" s="12"/>
      <c r="F889" s="13"/>
      <c r="G889" s="88"/>
    </row>
    <row r="890" spans="1:7" ht="15">
      <c r="A890" s="84"/>
      <c r="B890" s="84"/>
      <c r="C890" s="12"/>
      <c r="F890" s="13"/>
      <c r="G890" s="88"/>
    </row>
    <row r="891" spans="1:7" ht="15">
      <c r="A891" s="84"/>
      <c r="B891" s="84"/>
      <c r="C891" s="12"/>
      <c r="F891" s="13"/>
      <c r="G891" s="88"/>
    </row>
    <row r="892" spans="1:7" ht="15">
      <c r="A892" s="84"/>
      <c r="B892" s="84"/>
      <c r="C892" s="12"/>
      <c r="F892" s="13"/>
      <c r="G892" s="88"/>
    </row>
    <row r="893" spans="1:7" ht="15">
      <c r="A893" s="84"/>
      <c r="B893" s="84"/>
      <c r="C893" s="12"/>
      <c r="F893" s="13"/>
      <c r="G893" s="88"/>
    </row>
    <row r="894" spans="1:7" ht="15">
      <c r="A894" s="84"/>
      <c r="B894" s="84"/>
      <c r="C894" s="12"/>
      <c r="F894" s="13"/>
      <c r="G894" s="88"/>
    </row>
    <row r="895" spans="1:7" ht="15">
      <c r="A895" s="84"/>
      <c r="B895" s="84"/>
      <c r="C895" s="12"/>
      <c r="F895" s="13"/>
      <c r="G895" s="88"/>
    </row>
    <row r="896" spans="1:7" ht="15">
      <c r="A896" s="84"/>
      <c r="B896" s="84"/>
      <c r="C896" s="12"/>
      <c r="F896" s="13"/>
      <c r="G896" s="88"/>
    </row>
    <row r="897" spans="1:7" ht="15">
      <c r="A897" s="84"/>
      <c r="B897" s="84"/>
      <c r="C897" s="12"/>
      <c r="F897" s="13"/>
      <c r="G897" s="88"/>
    </row>
    <row r="898" spans="1:7" ht="15">
      <c r="A898" s="84"/>
      <c r="B898" s="84"/>
      <c r="C898" s="12"/>
      <c r="F898" s="13"/>
      <c r="G898" s="88"/>
    </row>
    <row r="899" spans="1:7" ht="15">
      <c r="A899" s="84"/>
      <c r="B899" s="84"/>
      <c r="C899" s="12"/>
      <c r="F899" s="13"/>
      <c r="G899" s="88"/>
    </row>
    <row r="900" spans="1:7" ht="15">
      <c r="A900" s="84"/>
      <c r="B900" s="84"/>
      <c r="C900" s="12"/>
      <c r="F900" s="13"/>
      <c r="G900" s="88"/>
    </row>
    <row r="901" spans="1:7" ht="15">
      <c r="A901" s="84"/>
      <c r="B901" s="84"/>
      <c r="C901" s="12"/>
      <c r="F901" s="13"/>
      <c r="G901" s="88"/>
    </row>
    <row r="902" spans="1:7" ht="15">
      <c r="A902" s="84"/>
      <c r="B902" s="84"/>
      <c r="C902" s="12"/>
      <c r="F902" s="13"/>
      <c r="G902" s="88"/>
    </row>
    <row r="903" spans="1:7" ht="15">
      <c r="A903" s="84"/>
      <c r="B903" s="84"/>
      <c r="C903" s="12"/>
      <c r="F903" s="13"/>
      <c r="G903" s="88"/>
    </row>
    <row r="904" spans="1:7" ht="15">
      <c r="A904" s="84"/>
      <c r="B904" s="84"/>
      <c r="C904" s="12"/>
      <c r="F904" s="13"/>
      <c r="G904" s="88"/>
    </row>
    <row r="905" spans="1:7" ht="15">
      <c r="A905" s="84"/>
      <c r="B905" s="84"/>
      <c r="C905" s="12"/>
      <c r="F905" s="13"/>
      <c r="G905" s="88"/>
    </row>
    <row r="906" spans="1:7" ht="15">
      <c r="A906" s="84"/>
      <c r="B906" s="84"/>
      <c r="C906" s="12"/>
      <c r="F906" s="13"/>
      <c r="G906" s="88"/>
    </row>
    <row r="907" spans="1:7" ht="15">
      <c r="A907" s="84"/>
      <c r="B907" s="84"/>
      <c r="C907" s="12"/>
      <c r="F907" s="13"/>
      <c r="G907" s="88"/>
    </row>
    <row r="908" spans="1:7" ht="15">
      <c r="A908" s="84"/>
      <c r="B908" s="84"/>
      <c r="C908" s="12"/>
      <c r="F908" s="13"/>
      <c r="G908" s="88"/>
    </row>
    <row r="909" spans="1:7" ht="15">
      <c r="A909" s="84"/>
      <c r="B909" s="84"/>
      <c r="C909" s="12"/>
      <c r="F909" s="13"/>
      <c r="G909" s="88"/>
    </row>
    <row r="910" spans="1:7" ht="15">
      <c r="A910" s="84"/>
      <c r="B910" s="84"/>
      <c r="C910" s="12"/>
      <c r="F910" s="13"/>
      <c r="G910" s="88"/>
    </row>
    <row r="911" spans="1:7" ht="15">
      <c r="A911" s="84"/>
      <c r="B911" s="84"/>
      <c r="C911" s="12"/>
      <c r="F911" s="13"/>
      <c r="G911" s="88"/>
    </row>
    <row r="912" spans="1:7" ht="15">
      <c r="A912" s="84"/>
      <c r="B912" s="84"/>
      <c r="C912" s="12"/>
      <c r="F912" s="13"/>
      <c r="G912" s="88"/>
    </row>
    <row r="913" spans="1:7" ht="15">
      <c r="A913" s="84"/>
      <c r="B913" s="84"/>
      <c r="C913" s="12"/>
      <c r="F913" s="13"/>
      <c r="G913" s="88"/>
    </row>
    <row r="914" spans="1:7" ht="15">
      <c r="A914" s="84"/>
      <c r="B914" s="84"/>
      <c r="C914" s="12"/>
      <c r="F914" s="13"/>
      <c r="G914" s="88"/>
    </row>
    <row r="915" spans="1:7" ht="15">
      <c r="A915" s="84"/>
      <c r="B915" s="84"/>
      <c r="C915" s="12"/>
      <c r="F915" s="13"/>
      <c r="G915" s="88"/>
    </row>
    <row r="916" spans="1:7" ht="15">
      <c r="A916" s="84"/>
      <c r="B916" s="84"/>
      <c r="C916" s="12"/>
      <c r="F916" s="13"/>
      <c r="G916" s="88"/>
    </row>
    <row r="917" spans="1:7" ht="15">
      <c r="A917" s="84"/>
      <c r="B917" s="84"/>
      <c r="C917" s="12"/>
      <c r="F917" s="13"/>
      <c r="G917" s="88"/>
    </row>
    <row r="918" spans="1:7" ht="15">
      <c r="A918" s="84"/>
      <c r="B918" s="84"/>
      <c r="C918" s="12"/>
      <c r="F918" s="13"/>
      <c r="G918" s="88"/>
    </row>
    <row r="919" spans="1:7" ht="15">
      <c r="A919" s="84"/>
      <c r="B919" s="84"/>
      <c r="C919" s="12"/>
      <c r="F919" s="13"/>
      <c r="G919" s="88"/>
    </row>
    <row r="920" spans="1:7" ht="15">
      <c r="A920" s="84"/>
      <c r="B920" s="84"/>
      <c r="C920" s="12"/>
      <c r="F920" s="13"/>
      <c r="G920" s="88"/>
    </row>
    <row r="921" spans="1:7" ht="15">
      <c r="A921" s="84"/>
      <c r="B921" s="84"/>
      <c r="C921" s="12"/>
      <c r="F921" s="13"/>
      <c r="G921" s="88"/>
    </row>
    <row r="922" spans="1:7" ht="15">
      <c r="A922" s="84"/>
      <c r="B922" s="84"/>
      <c r="C922" s="12"/>
      <c r="F922" s="13"/>
      <c r="G922" s="88"/>
    </row>
    <row r="923" spans="1:7" ht="15">
      <c r="A923" s="84"/>
      <c r="B923" s="84"/>
      <c r="C923" s="12"/>
      <c r="F923" s="13"/>
      <c r="G923" s="88"/>
    </row>
    <row r="924" spans="1:7" ht="15">
      <c r="A924" s="84"/>
      <c r="B924" s="84"/>
      <c r="C924" s="12"/>
      <c r="F924" s="13"/>
      <c r="G924" s="88"/>
    </row>
    <row r="925" spans="1:7" ht="15">
      <c r="A925" s="84"/>
      <c r="B925" s="84"/>
      <c r="C925" s="12"/>
      <c r="F925" s="13"/>
      <c r="G925" s="88"/>
    </row>
    <row r="926" spans="1:7" ht="15">
      <c r="A926" s="84"/>
      <c r="B926" s="84"/>
      <c r="C926" s="12"/>
      <c r="F926" s="13"/>
      <c r="G926" s="88"/>
    </row>
    <row r="927" spans="1:7" ht="15">
      <c r="A927" s="84"/>
      <c r="B927" s="84"/>
      <c r="C927" s="12"/>
      <c r="F927" s="13"/>
      <c r="G927" s="88"/>
    </row>
    <row r="928" spans="1:7" ht="15">
      <c r="A928" s="84"/>
      <c r="B928" s="84"/>
      <c r="C928" s="12"/>
      <c r="F928" s="13"/>
      <c r="G928" s="88"/>
    </row>
    <row r="929" spans="1:7" ht="15">
      <c r="A929" s="84"/>
      <c r="B929" s="84"/>
      <c r="C929" s="12"/>
      <c r="F929" s="13"/>
      <c r="G929" s="88"/>
    </row>
    <row r="930" spans="1:7" ht="15">
      <c r="A930" s="84"/>
      <c r="B930" s="84"/>
      <c r="C930" s="12"/>
      <c r="F930" s="13"/>
      <c r="G930" s="88"/>
    </row>
    <row r="931" spans="1:7" ht="15">
      <c r="A931" s="84"/>
      <c r="B931" s="84"/>
      <c r="C931" s="12"/>
      <c r="F931" s="13"/>
      <c r="G931" s="88"/>
    </row>
    <row r="932" spans="1:7" ht="15">
      <c r="A932" s="84"/>
      <c r="B932" s="84"/>
      <c r="C932" s="12"/>
      <c r="F932" s="13"/>
      <c r="G932" s="88"/>
    </row>
    <row r="933" spans="1:7" ht="15">
      <c r="A933" s="84"/>
      <c r="B933" s="84"/>
      <c r="C933" s="12"/>
      <c r="F933" s="13"/>
      <c r="G933" s="88"/>
    </row>
    <row r="934" spans="1:7" ht="15">
      <c r="A934" s="84"/>
      <c r="B934" s="84"/>
      <c r="C934" s="12"/>
      <c r="F934" s="13"/>
      <c r="G934" s="88"/>
    </row>
    <row r="935" spans="1:7" ht="15">
      <c r="A935" s="84"/>
      <c r="B935" s="84"/>
      <c r="C935" s="12"/>
      <c r="F935" s="13"/>
      <c r="G935" s="88"/>
    </row>
    <row r="936" spans="1:7" ht="15">
      <c r="A936" s="84"/>
      <c r="B936" s="84"/>
      <c r="C936" s="12"/>
      <c r="F936" s="13"/>
      <c r="G936" s="88"/>
    </row>
    <row r="937" spans="1:7" ht="15">
      <c r="A937" s="84"/>
      <c r="B937" s="84"/>
      <c r="C937" s="12"/>
      <c r="F937" s="13"/>
      <c r="G937" s="88"/>
    </row>
    <row r="938" spans="1:7" ht="15">
      <c r="A938" s="84"/>
      <c r="B938" s="84"/>
      <c r="C938" s="12"/>
      <c r="F938" s="13"/>
      <c r="G938" s="88"/>
    </row>
    <row r="939" spans="1:7" ht="15">
      <c r="A939" s="84"/>
      <c r="B939" s="84"/>
      <c r="C939" s="12"/>
      <c r="F939" s="13"/>
      <c r="G939" s="88"/>
    </row>
    <row r="940" spans="1:7" ht="15">
      <c r="A940" s="84"/>
      <c r="B940" s="84"/>
      <c r="C940" s="12"/>
      <c r="F940" s="13"/>
      <c r="G940" s="88"/>
    </row>
    <row r="941" spans="1:7" ht="15">
      <c r="A941" s="84"/>
      <c r="B941" s="84"/>
      <c r="C941" s="12"/>
      <c r="F941" s="13"/>
      <c r="G941" s="88"/>
    </row>
    <row r="942" spans="1:7" ht="15">
      <c r="A942" s="84"/>
      <c r="B942" s="84"/>
      <c r="C942" s="12"/>
      <c r="F942" s="13"/>
      <c r="G942" s="88"/>
    </row>
    <row r="943" spans="1:7" ht="15">
      <c r="A943" s="84"/>
      <c r="B943" s="84"/>
      <c r="C943" s="12"/>
      <c r="F943" s="13"/>
      <c r="G943" s="88"/>
    </row>
    <row r="944" spans="1:7" ht="15">
      <c r="A944" s="84"/>
      <c r="B944" s="84"/>
      <c r="C944" s="12"/>
      <c r="F944" s="13"/>
      <c r="G944" s="88"/>
    </row>
    <row r="945" spans="1:7" ht="15">
      <c r="A945" s="84"/>
      <c r="B945" s="84"/>
      <c r="C945" s="12"/>
      <c r="F945" s="13"/>
      <c r="G945" s="88"/>
    </row>
    <row r="946" spans="1:7" ht="15">
      <c r="A946" s="84"/>
      <c r="B946" s="84"/>
      <c r="C946" s="12"/>
      <c r="F946" s="13"/>
      <c r="G946" s="88"/>
    </row>
    <row r="947" spans="1:7" ht="15">
      <c r="A947" s="84"/>
      <c r="B947" s="84"/>
      <c r="C947" s="12"/>
      <c r="F947" s="13"/>
      <c r="G947" s="88"/>
    </row>
    <row r="948" spans="1:7" ht="15">
      <c r="A948" s="84"/>
      <c r="B948" s="84"/>
      <c r="C948" s="12"/>
      <c r="F948" s="13"/>
      <c r="G948" s="88"/>
    </row>
    <row r="949" spans="1:7" ht="15">
      <c r="A949" s="84"/>
      <c r="B949" s="84"/>
      <c r="C949" s="12"/>
      <c r="F949" s="13"/>
      <c r="G949" s="88"/>
    </row>
    <row r="950" spans="1:7" ht="15">
      <c r="A950" s="84"/>
      <c r="B950" s="84"/>
      <c r="C950" s="12"/>
      <c r="F950" s="13"/>
      <c r="G950" s="88"/>
    </row>
    <row r="951" spans="1:7" ht="15">
      <c r="A951" s="84"/>
      <c r="B951" s="84"/>
      <c r="C951" s="12"/>
      <c r="F951" s="13"/>
      <c r="G951" s="88"/>
    </row>
    <row r="952" spans="1:7" ht="15">
      <c r="A952" s="84"/>
      <c r="B952" s="84"/>
      <c r="C952" s="12"/>
      <c r="F952" s="13"/>
      <c r="G952" s="88"/>
    </row>
    <row r="953" spans="1:7" ht="15">
      <c r="A953" s="84"/>
      <c r="B953" s="84"/>
      <c r="C953" s="12"/>
      <c r="F953" s="13"/>
      <c r="G953" s="88"/>
    </row>
    <row r="954" spans="1:7" ht="15">
      <c r="A954" s="84"/>
      <c r="B954" s="84"/>
      <c r="C954" s="12"/>
      <c r="F954" s="13"/>
      <c r="G954" s="88"/>
    </row>
    <row r="955" spans="1:7" ht="15">
      <c r="A955" s="84"/>
      <c r="B955" s="84"/>
      <c r="C955" s="12"/>
      <c r="F955" s="13"/>
      <c r="G955" s="88"/>
    </row>
    <row r="956" spans="1:7" ht="15">
      <c r="A956" s="84"/>
      <c r="B956" s="84"/>
      <c r="C956" s="12"/>
      <c r="F956" s="13"/>
      <c r="G956" s="88"/>
    </row>
    <row r="957" spans="1:7" ht="15">
      <c r="A957" s="84"/>
      <c r="B957" s="84"/>
      <c r="C957" s="12"/>
      <c r="F957" s="13"/>
      <c r="G957" s="88"/>
    </row>
    <row r="958" spans="1:7" ht="15">
      <c r="A958" s="84"/>
      <c r="B958" s="84"/>
      <c r="C958" s="12"/>
      <c r="F958" s="13"/>
      <c r="G958" s="88"/>
    </row>
    <row r="959" spans="1:7" ht="15">
      <c r="A959" s="84"/>
      <c r="B959" s="84"/>
      <c r="C959" s="12"/>
      <c r="F959" s="13"/>
      <c r="G959" s="88"/>
    </row>
    <row r="960" spans="1:7" ht="15">
      <c r="A960" s="84"/>
      <c r="B960" s="84"/>
      <c r="C960" s="12"/>
      <c r="F960" s="13"/>
      <c r="G960" s="88"/>
    </row>
    <row r="961" spans="1:7" ht="15">
      <c r="A961" s="84"/>
      <c r="B961" s="84"/>
      <c r="C961" s="12"/>
      <c r="F961" s="13"/>
      <c r="G961" s="88"/>
    </row>
    <row r="962" spans="1:7" ht="15">
      <c r="A962" s="84"/>
      <c r="B962" s="84"/>
      <c r="C962" s="12"/>
      <c r="F962" s="13"/>
      <c r="G962" s="88"/>
    </row>
    <row r="963" spans="1:7" ht="15">
      <c r="A963" s="84"/>
      <c r="B963" s="84"/>
      <c r="C963" s="12"/>
      <c r="F963" s="13"/>
      <c r="G963" s="88"/>
    </row>
    <row r="964" spans="1:7" ht="15">
      <c r="A964" s="84"/>
      <c r="B964" s="84"/>
      <c r="C964" s="12"/>
      <c r="F964" s="13"/>
      <c r="G964" s="88"/>
    </row>
    <row r="965" spans="1:7" ht="15">
      <c r="A965" s="84"/>
      <c r="B965" s="84"/>
      <c r="C965" s="12"/>
      <c r="F965" s="13"/>
      <c r="G965" s="88"/>
    </row>
    <row r="966" spans="1:7" ht="15">
      <c r="A966" s="84"/>
      <c r="B966" s="84"/>
      <c r="C966" s="12"/>
      <c r="F966" s="13"/>
      <c r="G966" s="88"/>
    </row>
    <row r="967" spans="1:7" ht="15">
      <c r="A967" s="84"/>
      <c r="B967" s="84"/>
      <c r="C967" s="12"/>
      <c r="F967" s="13"/>
      <c r="G967" s="88"/>
    </row>
    <row r="968" spans="1:7" ht="15">
      <c r="A968" s="84"/>
      <c r="B968" s="84"/>
      <c r="C968" s="12"/>
      <c r="F968" s="13"/>
      <c r="G968" s="88"/>
    </row>
    <row r="969" spans="1:7" ht="15">
      <c r="A969" s="84"/>
      <c r="B969" s="84"/>
      <c r="C969" s="12"/>
      <c r="F969" s="13"/>
      <c r="G969" s="88"/>
    </row>
    <row r="970" spans="1:7" ht="15">
      <c r="A970" s="84"/>
      <c r="B970" s="84"/>
      <c r="C970" s="12"/>
      <c r="F970" s="13"/>
      <c r="G970" s="88"/>
    </row>
    <row r="971" spans="1:7" ht="15">
      <c r="A971" s="84"/>
      <c r="B971" s="84"/>
      <c r="C971" s="12"/>
      <c r="F971" s="13"/>
      <c r="G971" s="88"/>
    </row>
    <row r="972" spans="1:7" ht="15">
      <c r="A972" s="84"/>
      <c r="B972" s="84"/>
      <c r="C972" s="12"/>
      <c r="F972" s="13"/>
      <c r="G972" s="88"/>
    </row>
    <row r="973" spans="1:7" ht="15">
      <c r="A973" s="84"/>
      <c r="B973" s="84"/>
      <c r="C973" s="12"/>
      <c r="F973" s="13"/>
      <c r="G973" s="88"/>
    </row>
    <row r="974" spans="1:7" ht="15">
      <c r="A974" s="84"/>
      <c r="B974" s="84"/>
      <c r="C974" s="12"/>
      <c r="F974" s="13"/>
      <c r="G974" s="88"/>
    </row>
    <row r="975" spans="1:7" ht="15">
      <c r="A975" s="84"/>
      <c r="B975" s="84"/>
      <c r="C975" s="12"/>
      <c r="F975" s="13"/>
      <c r="G975" s="88"/>
    </row>
    <row r="976" spans="1:7" ht="15">
      <c r="A976" s="84"/>
      <c r="B976" s="84"/>
      <c r="C976" s="12"/>
      <c r="F976" s="13"/>
      <c r="G976" s="88"/>
    </row>
    <row r="977" spans="1:7" ht="15">
      <c r="A977" s="84"/>
      <c r="B977" s="84"/>
      <c r="C977" s="12"/>
      <c r="F977" s="13"/>
      <c r="G977" s="88"/>
    </row>
    <row r="978" spans="1:7" ht="15">
      <c r="A978" s="84"/>
      <c r="B978" s="84"/>
      <c r="C978" s="12"/>
      <c r="F978" s="13"/>
      <c r="G978" s="88"/>
    </row>
    <row r="979" spans="1:7" ht="15">
      <c r="A979" s="84"/>
      <c r="B979" s="84"/>
      <c r="C979" s="12"/>
      <c r="F979" s="13"/>
      <c r="G979" s="88"/>
    </row>
    <row r="980" spans="1:7" ht="15">
      <c r="A980" s="84"/>
      <c r="B980" s="84"/>
      <c r="C980" s="12"/>
      <c r="F980" s="13"/>
      <c r="G980" s="88"/>
    </row>
    <row r="981" spans="1:7" ht="15">
      <c r="A981" s="84"/>
      <c r="B981" s="84"/>
      <c r="C981" s="12"/>
      <c r="F981" s="13"/>
      <c r="G981" s="88"/>
    </row>
    <row r="982" spans="1:7" ht="15">
      <c r="A982" s="84"/>
      <c r="B982" s="84"/>
      <c r="C982" s="12"/>
      <c r="F982" s="13"/>
      <c r="G982" s="88"/>
    </row>
    <row r="983" spans="1:7" ht="15">
      <c r="A983" s="84"/>
      <c r="B983" s="84"/>
      <c r="C983" s="12"/>
      <c r="F983" s="13"/>
      <c r="G983" s="88"/>
    </row>
    <row r="984" spans="1:7" ht="15">
      <c r="A984" s="84"/>
      <c r="B984" s="84"/>
      <c r="C984" s="12"/>
      <c r="F984" s="13"/>
      <c r="G984" s="88"/>
    </row>
    <row r="985" spans="1:7" ht="15">
      <c r="A985" s="84"/>
      <c r="B985" s="84"/>
      <c r="C985" s="12"/>
      <c r="F985" s="13"/>
      <c r="G985" s="88"/>
    </row>
    <row r="986" spans="1:7" ht="15">
      <c r="A986" s="84"/>
      <c r="B986" s="84"/>
      <c r="C986" s="12"/>
      <c r="F986" s="13"/>
      <c r="G986" s="88"/>
    </row>
    <row r="987" spans="1:7" ht="15">
      <c r="A987" s="84"/>
      <c r="B987" s="84"/>
      <c r="C987" s="12"/>
      <c r="F987" s="13"/>
      <c r="G987" s="88"/>
    </row>
    <row r="988" spans="1:7" ht="15">
      <c r="A988" s="84"/>
      <c r="B988" s="84"/>
      <c r="C988" s="12"/>
      <c r="F988" s="13"/>
      <c r="G988" s="88"/>
    </row>
    <row r="989" spans="1:7" ht="15">
      <c r="A989" s="84"/>
      <c r="B989" s="84"/>
      <c r="C989" s="12"/>
      <c r="F989" s="13"/>
      <c r="G989" s="88"/>
    </row>
    <row r="990" spans="1:7" ht="15">
      <c r="A990" s="84"/>
      <c r="B990" s="84"/>
      <c r="C990" s="12"/>
      <c r="F990" s="13"/>
      <c r="G990" s="88"/>
    </row>
    <row r="991" spans="1:7" ht="15">
      <c r="A991" s="84"/>
      <c r="B991" s="84"/>
      <c r="C991" s="12"/>
      <c r="F991" s="13"/>
      <c r="G991" s="88"/>
    </row>
    <row r="992" spans="1:7" ht="15">
      <c r="A992" s="84"/>
      <c r="B992" s="84"/>
      <c r="C992" s="12"/>
      <c r="F992" s="13"/>
      <c r="G992" s="88"/>
    </row>
    <row r="993" spans="1:7" ht="15">
      <c r="A993" s="84"/>
      <c r="B993" s="84"/>
      <c r="C993" s="12"/>
      <c r="F993" s="13"/>
      <c r="G993" s="88"/>
    </row>
    <row r="994" spans="1:7" ht="15">
      <c r="A994" s="84"/>
      <c r="B994" s="84"/>
      <c r="C994" s="12"/>
      <c r="F994" s="13"/>
      <c r="G994" s="88"/>
    </row>
    <row r="995" spans="1:7" ht="15">
      <c r="A995" s="84"/>
      <c r="B995" s="84"/>
      <c r="C995" s="12"/>
      <c r="F995" s="13"/>
      <c r="G995" s="88"/>
    </row>
    <row r="996" spans="1:7" ht="15">
      <c r="A996" s="84"/>
      <c r="B996" s="84"/>
      <c r="C996" s="12"/>
      <c r="F996" s="13"/>
      <c r="G996" s="88"/>
    </row>
    <row r="997" spans="1:7" ht="15">
      <c r="A997" s="84"/>
      <c r="B997" s="84"/>
      <c r="C997" s="12"/>
      <c r="F997" s="13"/>
      <c r="G997" s="88"/>
    </row>
    <row r="998" spans="1:7" ht="15">
      <c r="A998" s="84"/>
      <c r="B998" s="84"/>
      <c r="C998" s="12"/>
      <c r="F998" s="13"/>
      <c r="G998" s="88"/>
    </row>
    <row r="999" spans="1:7" ht="15">
      <c r="A999" s="84"/>
      <c r="B999" s="84"/>
      <c r="C999" s="12"/>
      <c r="F999" s="13"/>
      <c r="G999" s="88"/>
    </row>
    <row r="1000" spans="1:7" ht="15">
      <c r="A1000" s="84"/>
      <c r="B1000" s="84"/>
      <c r="C1000" s="12"/>
      <c r="F1000" s="13"/>
      <c r="G1000" s="88"/>
    </row>
    <row r="1001" spans="1:7" ht="15">
      <c r="A1001" s="84"/>
      <c r="B1001" s="84"/>
      <c r="C1001" s="12"/>
      <c r="F1001" s="13"/>
      <c r="G1001" s="88"/>
    </row>
    <row r="1002" spans="1:7" ht="15">
      <c r="A1002" s="84"/>
      <c r="B1002" s="84"/>
      <c r="C1002" s="12"/>
      <c r="F1002" s="13"/>
      <c r="G1002" s="88"/>
    </row>
    <row r="1003" spans="1:7" ht="15">
      <c r="A1003" s="84"/>
      <c r="B1003" s="84"/>
      <c r="C1003" s="12"/>
      <c r="F1003" s="13"/>
      <c r="G1003" s="88"/>
    </row>
    <row r="1004" spans="1:7" ht="15">
      <c r="A1004" s="84"/>
      <c r="B1004" s="84"/>
      <c r="C1004" s="12"/>
      <c r="F1004" s="13"/>
      <c r="G1004" s="88"/>
    </row>
    <row r="1005" spans="1:7" ht="15">
      <c r="A1005" s="84"/>
      <c r="B1005" s="84"/>
      <c r="C1005" s="12"/>
      <c r="F1005" s="13"/>
      <c r="G1005" s="88"/>
    </row>
    <row r="1006" spans="1:7" ht="15">
      <c r="A1006" s="84"/>
      <c r="B1006" s="84"/>
      <c r="C1006" s="12"/>
      <c r="F1006" s="13"/>
      <c r="G1006" s="88"/>
    </row>
    <row r="1007" spans="1:7" ht="15">
      <c r="A1007" s="84"/>
      <c r="B1007" s="84"/>
      <c r="C1007" s="12"/>
      <c r="F1007" s="13"/>
      <c r="G1007" s="88"/>
    </row>
    <row r="1008" spans="1:7" ht="15">
      <c r="A1008" s="84"/>
      <c r="B1008" s="84"/>
      <c r="C1008" s="12"/>
      <c r="F1008" s="13"/>
      <c r="G1008" s="88"/>
    </row>
    <row r="1009" spans="1:7" ht="15">
      <c r="A1009" s="84"/>
      <c r="B1009" s="84"/>
      <c r="C1009" s="12"/>
      <c r="F1009" s="13"/>
      <c r="G1009" s="88"/>
    </row>
    <row r="1010" spans="1:7" ht="15">
      <c r="A1010" s="84"/>
      <c r="B1010" s="84"/>
      <c r="C1010" s="12"/>
      <c r="F1010" s="13"/>
      <c r="G1010" s="88"/>
    </row>
    <row r="1011" spans="1:7" ht="15">
      <c r="A1011" s="84"/>
      <c r="B1011" s="84"/>
      <c r="C1011" s="12"/>
      <c r="F1011" s="13"/>
      <c r="G1011" s="88"/>
    </row>
    <row r="1012" spans="1:7" ht="15">
      <c r="A1012" s="84"/>
      <c r="B1012" s="84"/>
      <c r="C1012" s="12"/>
      <c r="F1012" s="13"/>
      <c r="G1012" s="88"/>
    </row>
    <row r="1013" spans="1:7" ht="15">
      <c r="A1013" s="84"/>
      <c r="B1013" s="84"/>
      <c r="C1013" s="12"/>
      <c r="F1013" s="13"/>
      <c r="G1013" s="88"/>
    </row>
    <row r="1014" spans="1:7" ht="15">
      <c r="A1014" s="84"/>
      <c r="B1014" s="84"/>
      <c r="C1014" s="12"/>
      <c r="F1014" s="13"/>
      <c r="G1014" s="88"/>
    </row>
    <row r="1015" spans="1:7" ht="15">
      <c r="A1015" s="84"/>
      <c r="B1015" s="84"/>
      <c r="C1015" s="12"/>
      <c r="F1015" s="13"/>
      <c r="G1015" s="88"/>
    </row>
    <row r="1016" spans="1:7" ht="15">
      <c r="A1016" s="84"/>
      <c r="B1016" s="84"/>
      <c r="C1016" s="12"/>
      <c r="F1016" s="13"/>
      <c r="G1016" s="88"/>
    </row>
    <row r="1017" spans="1:7" ht="15">
      <c r="A1017" s="84"/>
      <c r="B1017" s="84"/>
      <c r="C1017" s="12"/>
      <c r="F1017" s="13"/>
      <c r="G1017" s="88"/>
    </row>
    <row r="1018" spans="1:7" ht="15">
      <c r="A1018" s="84"/>
      <c r="B1018" s="84"/>
      <c r="C1018" s="12"/>
      <c r="F1018" s="13"/>
      <c r="G1018" s="88"/>
    </row>
    <row r="1019" spans="1:7" ht="15">
      <c r="A1019" s="84"/>
      <c r="B1019" s="84"/>
      <c r="C1019" s="12"/>
      <c r="F1019" s="13"/>
      <c r="G1019" s="88"/>
    </row>
    <row r="1020" spans="1:7" ht="15">
      <c r="A1020" s="84"/>
      <c r="B1020" s="84"/>
      <c r="C1020" s="12"/>
      <c r="F1020" s="13"/>
      <c r="G1020" s="88"/>
    </row>
    <row r="1021" spans="1:7" ht="15">
      <c r="A1021" s="84"/>
      <c r="B1021" s="84"/>
      <c r="C1021" s="12"/>
      <c r="F1021" s="13"/>
      <c r="G1021" s="88"/>
    </row>
    <row r="1022" spans="1:7" ht="15">
      <c r="A1022" s="84"/>
      <c r="B1022" s="84"/>
      <c r="C1022" s="12"/>
      <c r="F1022" s="13"/>
      <c r="G1022" s="88"/>
    </row>
    <row r="1023" spans="1:7" ht="15">
      <c r="A1023" s="84"/>
      <c r="B1023" s="84"/>
      <c r="C1023" s="12"/>
      <c r="F1023" s="13"/>
      <c r="G1023" s="88"/>
    </row>
    <row r="1024" spans="1:7" ht="15">
      <c r="A1024" s="84"/>
      <c r="B1024" s="84"/>
      <c r="C1024" s="12"/>
      <c r="F1024" s="13"/>
      <c r="G1024" s="88"/>
    </row>
    <row r="1025" spans="1:7" ht="15">
      <c r="A1025" s="84"/>
      <c r="B1025" s="84"/>
      <c r="C1025" s="12"/>
      <c r="F1025" s="13"/>
      <c r="G1025" s="88"/>
    </row>
    <row r="1026" spans="1:7" ht="15">
      <c r="A1026" s="84"/>
      <c r="B1026" s="84"/>
      <c r="C1026" s="12"/>
      <c r="F1026" s="13"/>
      <c r="G1026" s="88"/>
    </row>
    <row r="1027" spans="1:7" ht="15">
      <c r="A1027" s="84"/>
      <c r="B1027" s="84"/>
      <c r="C1027" s="12"/>
      <c r="F1027" s="13"/>
      <c r="G1027" s="88"/>
    </row>
    <row r="1028" spans="1:7" ht="15">
      <c r="A1028" s="84"/>
      <c r="B1028" s="84"/>
      <c r="C1028" s="12"/>
      <c r="F1028" s="13"/>
      <c r="G1028" s="88"/>
    </row>
    <row r="1029" spans="1:7" ht="15">
      <c r="A1029" s="84"/>
      <c r="B1029" s="84"/>
      <c r="C1029" s="12"/>
      <c r="F1029" s="13"/>
      <c r="G1029" s="88"/>
    </row>
    <row r="1030" spans="1:7" ht="15">
      <c r="A1030" s="84"/>
      <c r="B1030" s="84"/>
      <c r="C1030" s="12"/>
      <c r="F1030" s="13"/>
      <c r="G1030" s="88"/>
    </row>
    <row r="1031" spans="1:7" ht="15">
      <c r="A1031" s="84"/>
      <c r="B1031" s="84"/>
      <c r="C1031" s="12"/>
      <c r="F1031" s="13"/>
      <c r="G1031" s="88"/>
    </row>
    <row r="1032" spans="1:7" ht="15">
      <c r="A1032" s="84"/>
      <c r="B1032" s="84"/>
      <c r="C1032" s="12"/>
      <c r="F1032" s="13"/>
      <c r="G1032" s="88"/>
    </row>
    <row r="1033" spans="1:7" ht="15">
      <c r="A1033" s="84"/>
      <c r="B1033" s="84"/>
      <c r="C1033" s="12"/>
      <c r="F1033" s="13"/>
      <c r="G1033" s="88"/>
    </row>
    <row r="1034" spans="1:7" ht="15">
      <c r="A1034" s="84"/>
      <c r="B1034" s="84"/>
      <c r="C1034" s="12"/>
      <c r="F1034" s="13"/>
      <c r="G1034" s="88"/>
    </row>
    <row r="1035" spans="1:7" ht="15">
      <c r="A1035" s="84"/>
      <c r="B1035" s="84"/>
      <c r="C1035" s="12"/>
      <c r="F1035" s="13"/>
      <c r="G1035" s="88"/>
    </row>
    <row r="1036" spans="1:7" ht="15">
      <c r="A1036" s="84"/>
      <c r="B1036" s="84"/>
      <c r="C1036" s="12"/>
      <c r="F1036" s="13"/>
      <c r="G1036" s="88"/>
    </row>
    <row r="1037" spans="1:7" ht="15">
      <c r="A1037" s="84"/>
      <c r="B1037" s="84"/>
      <c r="C1037" s="12"/>
      <c r="F1037" s="13"/>
      <c r="G1037" s="88"/>
    </row>
    <row r="1038" spans="1:7" ht="15">
      <c r="A1038" s="84"/>
      <c r="B1038" s="84"/>
      <c r="C1038" s="12"/>
      <c r="F1038" s="13"/>
      <c r="G1038" s="88"/>
    </row>
    <row r="1039" spans="1:7" ht="15">
      <c r="A1039" s="84"/>
      <c r="B1039" s="84"/>
      <c r="C1039" s="12"/>
      <c r="F1039" s="13"/>
      <c r="G1039" s="88"/>
    </row>
    <row r="1040" spans="1:7" ht="15">
      <c r="A1040" s="84"/>
      <c r="B1040" s="84"/>
      <c r="C1040" s="12"/>
      <c r="F1040" s="13"/>
      <c r="G1040" s="88"/>
    </row>
    <row r="1041" spans="1:7" ht="15">
      <c r="A1041" s="84"/>
      <c r="B1041" s="84"/>
      <c r="C1041" s="12"/>
      <c r="F1041" s="13"/>
      <c r="G1041" s="88"/>
    </row>
    <row r="1042" spans="1:7" ht="15">
      <c r="A1042" s="84"/>
      <c r="B1042" s="84"/>
      <c r="C1042" s="12"/>
      <c r="F1042" s="13"/>
      <c r="G1042" s="88"/>
    </row>
    <row r="1043" spans="1:7" ht="15">
      <c r="A1043" s="84"/>
      <c r="B1043" s="84"/>
      <c r="C1043" s="12"/>
      <c r="F1043" s="13"/>
      <c r="G1043" s="88"/>
    </row>
    <row r="1044" spans="1:7" ht="15">
      <c r="A1044" s="84"/>
      <c r="B1044" s="84"/>
      <c r="C1044" s="12"/>
      <c r="F1044" s="13"/>
      <c r="G1044" s="88"/>
    </row>
    <row r="1045" spans="1:7" ht="15">
      <c r="A1045" s="84"/>
      <c r="B1045" s="84"/>
      <c r="C1045" s="12"/>
      <c r="F1045" s="13"/>
      <c r="G1045" s="88"/>
    </row>
    <row r="1046" spans="1:7" ht="15">
      <c r="A1046" s="84"/>
      <c r="B1046" s="84"/>
      <c r="C1046" s="12"/>
      <c r="F1046" s="13"/>
      <c r="G1046" s="88"/>
    </row>
    <row r="1047" spans="1:7" ht="15">
      <c r="A1047" s="84"/>
      <c r="B1047" s="84"/>
      <c r="C1047" s="12"/>
      <c r="F1047" s="13"/>
      <c r="G1047" s="88"/>
    </row>
    <row r="1048" spans="1:7" ht="15">
      <c r="A1048" s="84"/>
      <c r="B1048" s="84"/>
      <c r="C1048" s="12"/>
      <c r="F1048" s="13"/>
      <c r="G1048" s="88"/>
    </row>
    <row r="1049" spans="1:7" ht="15">
      <c r="A1049" s="84"/>
      <c r="B1049" s="84"/>
      <c r="C1049" s="12"/>
      <c r="F1049" s="13"/>
      <c r="G1049" s="88"/>
    </row>
    <row r="1050" spans="1:7" ht="15">
      <c r="A1050" s="84"/>
      <c r="B1050" s="84"/>
      <c r="C1050" s="12"/>
      <c r="F1050" s="13"/>
      <c r="G1050" s="88"/>
    </row>
    <row r="1051" spans="1:7" ht="15">
      <c r="A1051" s="84"/>
      <c r="B1051" s="84"/>
      <c r="C1051" s="12"/>
      <c r="F1051" s="13"/>
      <c r="G1051" s="88"/>
    </row>
    <row r="1052" spans="1:7" ht="15">
      <c r="A1052" s="84"/>
      <c r="B1052" s="84"/>
      <c r="C1052" s="12"/>
      <c r="F1052" s="13"/>
      <c r="G1052" s="88"/>
    </row>
    <row r="1053" spans="1:7" ht="15">
      <c r="A1053" s="84"/>
      <c r="B1053" s="84"/>
      <c r="C1053" s="12"/>
      <c r="F1053" s="13"/>
      <c r="G1053" s="88"/>
    </row>
    <row r="1054" spans="1:7" ht="15">
      <c r="A1054" s="84"/>
      <c r="B1054" s="84"/>
      <c r="C1054" s="12"/>
      <c r="F1054" s="13"/>
      <c r="G1054" s="88"/>
    </row>
    <row r="1055" spans="1:7" ht="15">
      <c r="A1055" s="84"/>
      <c r="B1055" s="84"/>
      <c r="C1055" s="12"/>
      <c r="F1055" s="13"/>
      <c r="G1055" s="88"/>
    </row>
    <row r="1056" spans="1:7" ht="15">
      <c r="A1056" s="84"/>
      <c r="B1056" s="84"/>
      <c r="C1056" s="12"/>
      <c r="F1056" s="13"/>
      <c r="G1056" s="88"/>
    </row>
    <row r="1057" spans="1:7" ht="15">
      <c r="A1057" s="84"/>
      <c r="B1057" s="84"/>
      <c r="C1057" s="12"/>
      <c r="F1057" s="13"/>
      <c r="G1057" s="88"/>
    </row>
    <row r="1058" spans="1:7" ht="15">
      <c r="A1058" s="84"/>
      <c r="B1058" s="84"/>
      <c r="C1058" s="12"/>
      <c r="F1058" s="13"/>
      <c r="G1058" s="88"/>
    </row>
    <row r="1059" spans="1:7" ht="15">
      <c r="A1059" s="84"/>
      <c r="B1059" s="84"/>
      <c r="C1059" s="12"/>
      <c r="F1059" s="13"/>
      <c r="G1059" s="88"/>
    </row>
    <row r="1060" spans="1:7" ht="15">
      <c r="A1060" s="84"/>
      <c r="B1060" s="84"/>
      <c r="C1060" s="12"/>
      <c r="F1060" s="13"/>
      <c r="G1060" s="88"/>
    </row>
    <row r="1061" spans="1:7" ht="15">
      <c r="A1061" s="84"/>
      <c r="B1061" s="84"/>
      <c r="C1061" s="12"/>
      <c r="F1061" s="13"/>
      <c r="G1061" s="88"/>
    </row>
    <row r="1062" spans="1:7" ht="15">
      <c r="A1062" s="84"/>
      <c r="B1062" s="84"/>
      <c r="C1062" s="12"/>
      <c r="F1062" s="13"/>
      <c r="G1062" s="88"/>
    </row>
    <row r="1063" spans="1:7" ht="15">
      <c r="A1063" s="84"/>
      <c r="B1063" s="84"/>
      <c r="C1063" s="12"/>
      <c r="F1063" s="13"/>
      <c r="G1063" s="88"/>
    </row>
    <row r="1064" spans="1:7" ht="15">
      <c r="A1064" s="84"/>
      <c r="B1064" s="84"/>
      <c r="C1064" s="12"/>
      <c r="F1064" s="13"/>
      <c r="G1064" s="88"/>
    </row>
    <row r="1065" spans="1:7" ht="15">
      <c r="A1065" s="84"/>
      <c r="B1065" s="84"/>
      <c r="C1065" s="12"/>
      <c r="F1065" s="13"/>
      <c r="G1065" s="88"/>
    </row>
    <row r="1066" spans="1:7" ht="15">
      <c r="A1066" s="84"/>
      <c r="B1066" s="84"/>
      <c r="C1066" s="12"/>
      <c r="F1066" s="13"/>
      <c r="G1066" s="88"/>
    </row>
    <row r="1067" spans="1:7" ht="15">
      <c r="A1067" s="84"/>
      <c r="B1067" s="84"/>
      <c r="C1067" s="12"/>
      <c r="F1067" s="13"/>
      <c r="G1067" s="88"/>
    </row>
    <row r="1068" spans="1:7" ht="15">
      <c r="A1068" s="84"/>
      <c r="B1068" s="84"/>
      <c r="C1068" s="12"/>
      <c r="F1068" s="13"/>
      <c r="G1068" s="88"/>
    </row>
    <row r="1069" spans="1:7" ht="15">
      <c r="A1069" s="84"/>
      <c r="B1069" s="84"/>
      <c r="C1069" s="12"/>
      <c r="F1069" s="13"/>
      <c r="G1069" s="88"/>
    </row>
    <row r="1070" spans="1:7" ht="15">
      <c r="A1070" s="84"/>
      <c r="B1070" s="84"/>
      <c r="C1070" s="12"/>
      <c r="F1070" s="13"/>
      <c r="G1070" s="88"/>
    </row>
    <row r="1071" spans="1:7" ht="15">
      <c r="A1071" s="84"/>
      <c r="B1071" s="84"/>
      <c r="C1071" s="12"/>
      <c r="F1071" s="13"/>
      <c r="G1071" s="88"/>
    </row>
    <row r="1072" spans="1:7" ht="15">
      <c r="A1072" s="84"/>
      <c r="B1072" s="84"/>
      <c r="C1072" s="12"/>
      <c r="F1072" s="13"/>
      <c r="G1072" s="88"/>
    </row>
    <row r="1073" spans="1:7" ht="15">
      <c r="A1073" s="84"/>
      <c r="B1073" s="84"/>
      <c r="C1073" s="12"/>
      <c r="F1073" s="13"/>
      <c r="G1073" s="88"/>
    </row>
    <row r="1074" spans="1:7" ht="15">
      <c r="A1074" s="84"/>
      <c r="B1074" s="84"/>
      <c r="C1074" s="12"/>
      <c r="F1074" s="13"/>
      <c r="G1074" s="88"/>
    </row>
    <row r="1075" spans="1:7" ht="15">
      <c r="A1075" s="84"/>
      <c r="B1075" s="84"/>
      <c r="C1075" s="12"/>
      <c r="F1075" s="13"/>
      <c r="G1075" s="88"/>
    </row>
    <row r="1076" spans="1:7" ht="15">
      <c r="A1076" s="84"/>
      <c r="B1076" s="84"/>
      <c r="C1076" s="12"/>
      <c r="F1076" s="13"/>
      <c r="G1076" s="88"/>
    </row>
    <row r="1077" spans="1:7" ht="15">
      <c r="A1077" s="84"/>
      <c r="B1077" s="84"/>
      <c r="C1077" s="12"/>
      <c r="F1077" s="13"/>
      <c r="G1077" s="88"/>
    </row>
    <row r="1078" spans="1:7" ht="15">
      <c r="A1078" s="84"/>
      <c r="B1078" s="84"/>
      <c r="C1078" s="12"/>
      <c r="F1078" s="13"/>
      <c r="G1078" s="88"/>
    </row>
    <row r="1079" spans="1:7" ht="15">
      <c r="A1079" s="84"/>
      <c r="B1079" s="84"/>
      <c r="C1079" s="12"/>
      <c r="F1079" s="13"/>
      <c r="G1079" s="88"/>
    </row>
    <row r="1080" spans="1:7" ht="15">
      <c r="A1080" s="84"/>
      <c r="B1080" s="84"/>
      <c r="C1080" s="12"/>
      <c r="F1080" s="13"/>
      <c r="G1080" s="88"/>
    </row>
    <row r="1081" spans="1:7" ht="15">
      <c r="A1081" s="84"/>
      <c r="B1081" s="84"/>
      <c r="C1081" s="12"/>
      <c r="F1081" s="13"/>
      <c r="G1081" s="88"/>
    </row>
    <row r="1082" spans="1:7" ht="15">
      <c r="A1082" s="84"/>
      <c r="B1082" s="84"/>
      <c r="C1082" s="12"/>
      <c r="F1082" s="13"/>
      <c r="G1082" s="88"/>
    </row>
    <row r="1083" spans="1:7" ht="15">
      <c r="A1083" s="84"/>
      <c r="B1083" s="84"/>
      <c r="C1083" s="12"/>
      <c r="F1083" s="13"/>
      <c r="G1083" s="88"/>
    </row>
    <row r="1084" spans="1:7" ht="15">
      <c r="A1084" s="84"/>
      <c r="B1084" s="84"/>
      <c r="C1084" s="12"/>
      <c r="F1084" s="13"/>
      <c r="G1084" s="88"/>
    </row>
    <row r="1085" spans="1:7" ht="15">
      <c r="A1085" s="84"/>
      <c r="B1085" s="84"/>
      <c r="C1085" s="12"/>
      <c r="F1085" s="13"/>
      <c r="G1085" s="88"/>
    </row>
    <row r="1086" spans="1:7" ht="15">
      <c r="A1086" s="84"/>
      <c r="B1086" s="84"/>
      <c r="C1086" s="12"/>
      <c r="F1086" s="13"/>
      <c r="G1086" s="88"/>
    </row>
    <row r="1087" spans="1:7" ht="15">
      <c r="A1087" s="84"/>
      <c r="B1087" s="84"/>
      <c r="C1087" s="12"/>
      <c r="F1087" s="13"/>
      <c r="G1087" s="88"/>
    </row>
    <row r="1088" spans="1:7" ht="15">
      <c r="A1088" s="84"/>
      <c r="B1088" s="84"/>
      <c r="C1088" s="12"/>
      <c r="F1088" s="13"/>
      <c r="G1088" s="88"/>
    </row>
    <row r="1089" spans="1:7" ht="15">
      <c r="A1089" s="84"/>
      <c r="B1089" s="84"/>
      <c r="C1089" s="12"/>
      <c r="F1089" s="13"/>
      <c r="G1089" s="88"/>
    </row>
    <row r="1090" spans="1:7" ht="15">
      <c r="A1090" s="84"/>
      <c r="B1090" s="84"/>
      <c r="C1090" s="12"/>
      <c r="F1090" s="13"/>
      <c r="G1090" s="88"/>
    </row>
    <row r="1091" spans="1:7" ht="15">
      <c r="A1091" s="84"/>
      <c r="B1091" s="84"/>
      <c r="C1091" s="12"/>
      <c r="F1091" s="13"/>
      <c r="G1091" s="88"/>
    </row>
    <row r="1092" spans="1:7" ht="15">
      <c r="A1092" s="84"/>
      <c r="B1092" s="84"/>
      <c r="C1092" s="12"/>
      <c r="F1092" s="13"/>
      <c r="G1092" s="88"/>
    </row>
    <row r="1093" spans="1:7" ht="15">
      <c r="A1093" s="84"/>
      <c r="B1093" s="84"/>
      <c r="C1093" s="12"/>
      <c r="F1093" s="13"/>
      <c r="G1093" s="88"/>
    </row>
    <row r="1094" spans="1:7" ht="15">
      <c r="A1094" s="84"/>
      <c r="B1094" s="84"/>
      <c r="C1094" s="12"/>
      <c r="F1094" s="13"/>
      <c r="G1094" s="88"/>
    </row>
    <row r="1095" spans="1:7" ht="15">
      <c r="A1095" s="84"/>
      <c r="B1095" s="84"/>
      <c r="C1095" s="12"/>
      <c r="F1095" s="13"/>
      <c r="G1095" s="88"/>
    </row>
    <row r="1096" spans="1:7" ht="15">
      <c r="A1096" s="84"/>
      <c r="B1096" s="84"/>
      <c r="C1096" s="12"/>
      <c r="F1096" s="13"/>
      <c r="G1096" s="88"/>
    </row>
    <row r="1097" spans="1:7" ht="15">
      <c r="A1097" s="84"/>
      <c r="B1097" s="84"/>
      <c r="C1097" s="12"/>
      <c r="F1097" s="13"/>
      <c r="G1097" s="88"/>
    </row>
    <row r="1098" spans="1:7" ht="15">
      <c r="A1098" s="84"/>
      <c r="B1098" s="84"/>
      <c r="C1098" s="12"/>
      <c r="F1098" s="13"/>
      <c r="G1098" s="88"/>
    </row>
    <row r="1099" spans="1:7" ht="15">
      <c r="A1099" s="84"/>
      <c r="B1099" s="84"/>
      <c r="C1099" s="12"/>
      <c r="F1099" s="13"/>
      <c r="G1099" s="88"/>
    </row>
    <row r="1100" spans="1:7" ht="15">
      <c r="A1100" s="84"/>
      <c r="B1100" s="84"/>
      <c r="C1100" s="12"/>
      <c r="F1100" s="13"/>
      <c r="G1100" s="88"/>
    </row>
    <row r="1101" spans="1:7" ht="15">
      <c r="A1101" s="84"/>
      <c r="B1101" s="84"/>
      <c r="C1101" s="12"/>
      <c r="F1101" s="13"/>
      <c r="G1101" s="88"/>
    </row>
    <row r="1102" spans="1:7" ht="15">
      <c r="A1102" s="84"/>
      <c r="B1102" s="84"/>
      <c r="C1102" s="12"/>
      <c r="F1102" s="13"/>
      <c r="G1102" s="88"/>
    </row>
    <row r="1103" spans="1:7" ht="15">
      <c r="A1103" s="84"/>
      <c r="B1103" s="84"/>
      <c r="C1103" s="12"/>
      <c r="F1103" s="13"/>
      <c r="G1103" s="88"/>
    </row>
    <row r="1104" spans="1:7" ht="15">
      <c r="A1104" s="84"/>
      <c r="B1104" s="84"/>
      <c r="C1104" s="12"/>
      <c r="F1104" s="13"/>
      <c r="G1104" s="88"/>
    </row>
    <row r="1105" spans="1:7" ht="15">
      <c r="A1105" s="84"/>
      <c r="B1105" s="84"/>
      <c r="C1105" s="12"/>
      <c r="F1105" s="13"/>
      <c r="G1105" s="88"/>
    </row>
    <row r="1106" spans="1:7" ht="15">
      <c r="A1106" s="84"/>
      <c r="B1106" s="84"/>
      <c r="C1106" s="12"/>
      <c r="F1106" s="13"/>
      <c r="G1106" s="88"/>
    </row>
    <row r="1107" spans="1:7" ht="15">
      <c r="A1107" s="84"/>
      <c r="B1107" s="84"/>
      <c r="C1107" s="12"/>
      <c r="F1107" s="13"/>
      <c r="G1107" s="88"/>
    </row>
    <row r="1108" spans="1:7" ht="15">
      <c r="A1108" s="84"/>
      <c r="B1108" s="84"/>
      <c r="C1108" s="12"/>
      <c r="F1108" s="13"/>
      <c r="G1108" s="88"/>
    </row>
    <row r="1109" spans="1:7" ht="15">
      <c r="A1109" s="84"/>
      <c r="B1109" s="84"/>
      <c r="C1109" s="12"/>
      <c r="F1109" s="13"/>
      <c r="G1109" s="88"/>
    </row>
    <row r="1110" spans="1:7" ht="15">
      <c r="A1110" s="84"/>
      <c r="B1110" s="84"/>
      <c r="C1110" s="12"/>
      <c r="F1110" s="13"/>
      <c r="G1110" s="88"/>
    </row>
    <row r="1111" spans="1:7" ht="15">
      <c r="A1111" s="84"/>
      <c r="B1111" s="84"/>
      <c r="C1111" s="12"/>
      <c r="F1111" s="13"/>
      <c r="G1111" s="88"/>
    </row>
    <row r="1112" spans="1:7" ht="15">
      <c r="A1112" s="84"/>
      <c r="B1112" s="84"/>
      <c r="C1112" s="12"/>
      <c r="F1112" s="13"/>
      <c r="G1112" s="88"/>
    </row>
    <row r="1113" spans="1:7" ht="15">
      <c r="A1113" s="84"/>
      <c r="B1113" s="84"/>
      <c r="C1113" s="12"/>
      <c r="F1113" s="13"/>
      <c r="G1113" s="88"/>
    </row>
    <row r="1114" spans="1:7" ht="15">
      <c r="A1114" s="84"/>
      <c r="B1114" s="84"/>
      <c r="C1114" s="12"/>
      <c r="F1114" s="13"/>
      <c r="G1114" s="88"/>
    </row>
    <row r="1115" spans="1:7" ht="15">
      <c r="A1115" s="84"/>
      <c r="B1115" s="84"/>
      <c r="C1115" s="12"/>
      <c r="F1115" s="13"/>
      <c r="G1115" s="88"/>
    </row>
    <row r="1116" spans="1:7" ht="15">
      <c r="A1116" s="84"/>
      <c r="B1116" s="84"/>
      <c r="C1116" s="12"/>
      <c r="F1116" s="13"/>
      <c r="G1116" s="88"/>
    </row>
    <row r="1117" spans="1:7" ht="15">
      <c r="A1117" s="84"/>
      <c r="B1117" s="84"/>
      <c r="C1117" s="12"/>
      <c r="F1117" s="13"/>
      <c r="G1117" s="88"/>
    </row>
    <row r="1118" spans="1:7" ht="15">
      <c r="A1118" s="84"/>
      <c r="B1118" s="84"/>
      <c r="C1118" s="12"/>
      <c r="F1118" s="13"/>
      <c r="G1118" s="88"/>
    </row>
    <row r="1119" spans="1:7" ht="15">
      <c r="A1119" s="84"/>
      <c r="B1119" s="84"/>
      <c r="C1119" s="12"/>
      <c r="F1119" s="13"/>
      <c r="G1119" s="88"/>
    </row>
    <row r="1120" spans="1:7" ht="15">
      <c r="A1120" s="84"/>
      <c r="B1120" s="84"/>
      <c r="C1120" s="12"/>
      <c r="F1120" s="13"/>
      <c r="G1120" s="88"/>
    </row>
    <row r="1121" spans="1:7" ht="15">
      <c r="A1121" s="84"/>
      <c r="B1121" s="84"/>
      <c r="C1121" s="12"/>
      <c r="F1121" s="13"/>
      <c r="G1121" s="88"/>
    </row>
    <row r="1122" spans="1:7" ht="15">
      <c r="A1122" s="84"/>
      <c r="B1122" s="84"/>
      <c r="C1122" s="12"/>
      <c r="F1122" s="13"/>
      <c r="G1122" s="88"/>
    </row>
    <row r="1123" spans="1:7" ht="15">
      <c r="A1123" s="84"/>
      <c r="B1123" s="84"/>
      <c r="C1123" s="12"/>
      <c r="F1123" s="13"/>
      <c r="G1123" s="88"/>
    </row>
    <row r="1124" spans="1:7" ht="15">
      <c r="A1124" s="84"/>
      <c r="B1124" s="84"/>
      <c r="C1124" s="12"/>
      <c r="F1124" s="13"/>
      <c r="G1124" s="88"/>
    </row>
    <row r="1125" spans="1:7" ht="15">
      <c r="A1125" s="84"/>
      <c r="B1125" s="84"/>
      <c r="C1125" s="12"/>
      <c r="F1125" s="13"/>
      <c r="G1125" s="88"/>
    </row>
    <row r="1126" spans="1:7" ht="15">
      <c r="A1126" s="84"/>
      <c r="B1126" s="84"/>
      <c r="C1126" s="12"/>
      <c r="F1126" s="13"/>
      <c r="G1126" s="88"/>
    </row>
    <row r="1127" spans="1:7" ht="15">
      <c r="A1127" s="84"/>
      <c r="B1127" s="84"/>
      <c r="C1127" s="12"/>
      <c r="F1127" s="13"/>
      <c r="G1127" s="88"/>
    </row>
    <row r="1128" spans="1:7" ht="15">
      <c r="A1128" s="84"/>
      <c r="B1128" s="84"/>
      <c r="C1128" s="12"/>
      <c r="F1128" s="13"/>
      <c r="G1128" s="88"/>
    </row>
    <row r="1129" spans="1:7" ht="15">
      <c r="A1129" s="84"/>
      <c r="B1129" s="84"/>
      <c r="C1129" s="12"/>
      <c r="F1129" s="13"/>
      <c r="G1129" s="88"/>
    </row>
    <row r="1130" spans="1:7" ht="15">
      <c r="A1130" s="84"/>
      <c r="B1130" s="84"/>
      <c r="C1130" s="12"/>
      <c r="F1130" s="13"/>
      <c r="G1130" s="88"/>
    </row>
    <row r="1131" spans="1:7" ht="15">
      <c r="A1131" s="84"/>
      <c r="B1131" s="84"/>
      <c r="C1131" s="12"/>
      <c r="F1131" s="13"/>
      <c r="G1131" s="88"/>
    </row>
    <row r="1132" spans="1:7" ht="15">
      <c r="A1132" s="84"/>
      <c r="B1132" s="84"/>
      <c r="C1132" s="12"/>
      <c r="F1132" s="13"/>
      <c r="G1132" s="88"/>
    </row>
    <row r="1133" spans="1:7" ht="15">
      <c r="A1133" s="84"/>
      <c r="B1133" s="84"/>
      <c r="C1133" s="12"/>
      <c r="F1133" s="13"/>
      <c r="G1133" s="88"/>
    </row>
    <row r="1134" spans="1:7" ht="15">
      <c r="A1134" s="84"/>
      <c r="B1134" s="84"/>
      <c r="C1134" s="12"/>
      <c r="F1134" s="13"/>
      <c r="G1134" s="88"/>
    </row>
    <row r="1135" spans="1:7" ht="15">
      <c r="A1135" s="84"/>
      <c r="B1135" s="84"/>
      <c r="C1135" s="12"/>
      <c r="F1135" s="13"/>
      <c r="G1135" s="88"/>
    </row>
    <row r="1136" spans="1:7" ht="15">
      <c r="A1136" s="84"/>
      <c r="B1136" s="84"/>
      <c r="C1136" s="12"/>
      <c r="F1136" s="13"/>
      <c r="G1136" s="88"/>
    </row>
    <row r="1137" spans="1:7" ht="15">
      <c r="A1137" s="84"/>
      <c r="B1137" s="84"/>
      <c r="C1137" s="12"/>
      <c r="F1137" s="13"/>
      <c r="G1137" s="88"/>
    </row>
    <row r="1138" spans="1:7" ht="15">
      <c r="A1138" s="84"/>
      <c r="B1138" s="84"/>
      <c r="C1138" s="12"/>
      <c r="F1138" s="13"/>
      <c r="G1138" s="88"/>
    </row>
    <row r="1139" spans="1:7" ht="15">
      <c r="A1139" s="84"/>
      <c r="B1139" s="84"/>
      <c r="C1139" s="12"/>
      <c r="F1139" s="13"/>
      <c r="G1139" s="88"/>
    </row>
    <row r="1140" spans="1:7" ht="15">
      <c r="A1140" s="84"/>
      <c r="B1140" s="84"/>
      <c r="C1140" s="12"/>
      <c r="F1140" s="13"/>
      <c r="G1140" s="88"/>
    </row>
    <row r="1141" spans="1:7" ht="15">
      <c r="A1141" s="84"/>
      <c r="B1141" s="84"/>
      <c r="C1141" s="12"/>
      <c r="F1141" s="13"/>
      <c r="G1141" s="88"/>
    </row>
    <row r="1142" spans="1:7" ht="15">
      <c r="A1142" s="84"/>
      <c r="B1142" s="84"/>
      <c r="C1142" s="12"/>
      <c r="F1142" s="13"/>
      <c r="G1142" s="88"/>
    </row>
    <row r="1143" spans="1:7" ht="15">
      <c r="A1143" s="84"/>
      <c r="B1143" s="84"/>
      <c r="C1143" s="12"/>
      <c r="F1143" s="13"/>
      <c r="G1143" s="88"/>
    </row>
    <row r="1144" spans="1:7" ht="15">
      <c r="A1144" s="84"/>
      <c r="B1144" s="84"/>
      <c r="C1144" s="12"/>
      <c r="F1144" s="13"/>
      <c r="G1144" s="88"/>
    </row>
    <row r="1145" spans="1:7" ht="15">
      <c r="A1145" s="84"/>
      <c r="B1145" s="84"/>
      <c r="C1145" s="12"/>
      <c r="F1145" s="13"/>
      <c r="G1145" s="88"/>
    </row>
    <row r="1146" spans="1:7" ht="15">
      <c r="A1146" s="84"/>
      <c r="B1146" s="84"/>
      <c r="C1146" s="12"/>
      <c r="F1146" s="13"/>
      <c r="G1146" s="88"/>
    </row>
    <row r="1147" spans="1:7" ht="15">
      <c r="A1147" s="84"/>
      <c r="B1147" s="84"/>
      <c r="C1147" s="12"/>
      <c r="F1147" s="13"/>
      <c r="G1147" s="88"/>
    </row>
    <row r="1148" spans="1:7" ht="15">
      <c r="A1148" s="84"/>
      <c r="B1148" s="84"/>
      <c r="C1148" s="12"/>
      <c r="F1148" s="13"/>
      <c r="G1148" s="88"/>
    </row>
    <row r="1149" spans="1:7" ht="15">
      <c r="A1149" s="84"/>
      <c r="B1149" s="84"/>
      <c r="C1149" s="12"/>
      <c r="F1149" s="13"/>
      <c r="G1149" s="88"/>
    </row>
    <row r="1150" spans="1:7" ht="15">
      <c r="A1150" s="84"/>
      <c r="B1150" s="84"/>
      <c r="C1150" s="12"/>
      <c r="F1150" s="13"/>
      <c r="G1150" s="88"/>
    </row>
    <row r="1151" spans="1:7" ht="15">
      <c r="A1151" s="84"/>
      <c r="B1151" s="84"/>
      <c r="C1151" s="12"/>
      <c r="F1151" s="13"/>
      <c r="G1151" s="88"/>
    </row>
    <row r="1152" spans="1:7" ht="15">
      <c r="A1152" s="84"/>
      <c r="B1152" s="84"/>
      <c r="C1152" s="12"/>
      <c r="F1152" s="13"/>
      <c r="G1152" s="88"/>
    </row>
    <row r="1153" spans="1:7" ht="15">
      <c r="A1153" s="84"/>
      <c r="B1153" s="84"/>
      <c r="C1153" s="12"/>
      <c r="F1153" s="13"/>
      <c r="G1153" s="88"/>
    </row>
    <row r="1154" spans="1:7" ht="15">
      <c r="A1154" s="84"/>
      <c r="B1154" s="84"/>
      <c r="C1154" s="12"/>
      <c r="F1154" s="13"/>
      <c r="G1154" s="88"/>
    </row>
    <row r="1155" spans="1:7" ht="15">
      <c r="A1155" s="84"/>
      <c r="B1155" s="84"/>
      <c r="C1155" s="12"/>
      <c r="F1155" s="13"/>
      <c r="G1155" s="88"/>
    </row>
    <row r="1156" spans="1:7" ht="15">
      <c r="A1156" s="84"/>
      <c r="B1156" s="84"/>
      <c r="C1156" s="12"/>
      <c r="F1156" s="13"/>
      <c r="G1156" s="88"/>
    </row>
    <row r="1157" spans="1:7" ht="15">
      <c r="A1157" s="84"/>
      <c r="B1157" s="84"/>
      <c r="C1157" s="12"/>
      <c r="F1157" s="13"/>
      <c r="G1157" s="88"/>
    </row>
    <row r="1158" spans="1:7" ht="15">
      <c r="A1158" s="84"/>
      <c r="B1158" s="84"/>
      <c r="C1158" s="12"/>
      <c r="F1158" s="13"/>
      <c r="G1158" s="88"/>
    </row>
    <row r="1159" spans="1:7" ht="15">
      <c r="A1159" s="84"/>
      <c r="B1159" s="84"/>
      <c r="C1159" s="12"/>
      <c r="F1159" s="13"/>
      <c r="G1159" s="88"/>
    </row>
    <row r="1160" spans="1:7" ht="15">
      <c r="A1160" s="84"/>
      <c r="B1160" s="84"/>
      <c r="C1160" s="12"/>
      <c r="F1160" s="13"/>
      <c r="G1160" s="88"/>
    </row>
    <row r="1161" spans="1:7" ht="15">
      <c r="A1161" s="84"/>
      <c r="B1161" s="84"/>
      <c r="C1161" s="12"/>
      <c r="F1161" s="13"/>
      <c r="G1161" s="88"/>
    </row>
    <row r="1162" spans="1:7" ht="15">
      <c r="A1162" s="84"/>
      <c r="B1162" s="84"/>
      <c r="C1162" s="12"/>
      <c r="F1162" s="13"/>
      <c r="G1162" s="88"/>
    </row>
    <row r="1163" spans="1:7" ht="15">
      <c r="A1163" s="84"/>
      <c r="B1163" s="84"/>
      <c r="C1163" s="12"/>
      <c r="F1163" s="13"/>
      <c r="G1163" s="88"/>
    </row>
    <row r="1164" spans="1:7" ht="15">
      <c r="A1164" s="84"/>
      <c r="B1164" s="84"/>
      <c r="C1164" s="12"/>
      <c r="F1164" s="13"/>
      <c r="G1164" s="88"/>
    </row>
    <row r="1165" spans="1:7" ht="15">
      <c r="A1165" s="84"/>
      <c r="B1165" s="84"/>
      <c r="C1165" s="12"/>
      <c r="F1165" s="13"/>
      <c r="G1165" s="88"/>
    </row>
    <row r="1166" spans="1:7" ht="15">
      <c r="A1166" s="84"/>
      <c r="B1166" s="84"/>
      <c r="C1166" s="12"/>
      <c r="F1166" s="13"/>
      <c r="G1166" s="88"/>
    </row>
    <row r="1167" spans="1:7" ht="15">
      <c r="A1167" s="84"/>
      <c r="B1167" s="84"/>
      <c r="C1167" s="12"/>
      <c r="F1167" s="13"/>
      <c r="G1167" s="88"/>
    </row>
    <row r="1168" spans="1:7" ht="15">
      <c r="A1168" s="84"/>
      <c r="B1168" s="84"/>
      <c r="C1168" s="12"/>
      <c r="F1168" s="13"/>
      <c r="G1168" s="88"/>
    </row>
    <row r="1169" spans="1:7" ht="15">
      <c r="A1169" s="84"/>
      <c r="B1169" s="84"/>
      <c r="C1169" s="12"/>
      <c r="F1169" s="13"/>
      <c r="G1169" s="88"/>
    </row>
    <row r="1170" spans="1:7" ht="15">
      <c r="A1170" s="84"/>
      <c r="B1170" s="84"/>
      <c r="C1170" s="12"/>
      <c r="F1170" s="13"/>
      <c r="G1170" s="88"/>
    </row>
    <row r="1171" spans="1:7" ht="15">
      <c r="A1171" s="84"/>
      <c r="B1171" s="84"/>
      <c r="C1171" s="12"/>
      <c r="F1171" s="13"/>
      <c r="G1171" s="88"/>
    </row>
    <row r="1172" spans="1:7" ht="15">
      <c r="A1172" s="84"/>
      <c r="B1172" s="84"/>
      <c r="C1172" s="12"/>
      <c r="F1172" s="13"/>
      <c r="G1172" s="88"/>
    </row>
    <row r="1173" spans="1:7" ht="15">
      <c r="A1173" s="84"/>
      <c r="B1173" s="84"/>
      <c r="C1173" s="12"/>
      <c r="F1173" s="13"/>
      <c r="G1173" s="88"/>
    </row>
    <row r="1174" spans="1:7" ht="15">
      <c r="A1174" s="84"/>
      <c r="B1174" s="84"/>
      <c r="C1174" s="12"/>
      <c r="F1174" s="13"/>
      <c r="G1174" s="88"/>
    </row>
    <row r="1175" spans="1:7" ht="15">
      <c r="A1175" s="84"/>
      <c r="B1175" s="84"/>
      <c r="C1175" s="12"/>
      <c r="F1175" s="13"/>
      <c r="G1175" s="88"/>
    </row>
    <row r="1176" spans="1:7" ht="15">
      <c r="A1176" s="84"/>
      <c r="B1176" s="84"/>
      <c r="C1176" s="12"/>
      <c r="F1176" s="13"/>
      <c r="G1176" s="88"/>
    </row>
    <row r="1177" spans="1:7" ht="15">
      <c r="A1177" s="84"/>
      <c r="B1177" s="84"/>
      <c r="C1177" s="12"/>
      <c r="F1177" s="13"/>
      <c r="G1177" s="88"/>
    </row>
    <row r="1178" spans="1:7" ht="15">
      <c r="A1178" s="84"/>
      <c r="B1178" s="84"/>
      <c r="C1178" s="12"/>
      <c r="F1178" s="13"/>
      <c r="G1178" s="88"/>
    </row>
    <row r="1179" spans="1:7" ht="15">
      <c r="A1179" s="84"/>
      <c r="B1179" s="84"/>
      <c r="C1179" s="12"/>
      <c r="F1179" s="13"/>
      <c r="G1179" s="88"/>
    </row>
    <row r="1180" spans="1:7" ht="15">
      <c r="A1180" s="84"/>
      <c r="B1180" s="84"/>
      <c r="C1180" s="12"/>
      <c r="F1180" s="13"/>
      <c r="G1180" s="88"/>
    </row>
    <row r="1181" spans="1:7" ht="15">
      <c r="A1181" s="84"/>
      <c r="B1181" s="84"/>
      <c r="C1181" s="12"/>
      <c r="F1181" s="13"/>
      <c r="G1181" s="88"/>
    </row>
    <row r="1182" spans="1:7" ht="15">
      <c r="A1182" s="84"/>
      <c r="B1182" s="84"/>
      <c r="C1182" s="12"/>
      <c r="F1182" s="13"/>
      <c r="G1182" s="88"/>
    </row>
    <row r="1183" spans="1:7" ht="15">
      <c r="A1183" s="84"/>
      <c r="B1183" s="84"/>
      <c r="C1183" s="12"/>
      <c r="F1183" s="13"/>
      <c r="G1183" s="88"/>
    </row>
    <row r="1184" spans="1:7" ht="15">
      <c r="A1184" s="84"/>
      <c r="B1184" s="84"/>
      <c r="C1184" s="12"/>
      <c r="F1184" s="13"/>
      <c r="G1184" s="88"/>
    </row>
    <row r="1185" spans="1:7" ht="15">
      <c r="A1185" s="84"/>
      <c r="B1185" s="84"/>
      <c r="C1185" s="12"/>
      <c r="F1185" s="13"/>
      <c r="G1185" s="88"/>
    </row>
    <row r="1186" spans="1:7" ht="15">
      <c r="A1186" s="84"/>
      <c r="B1186" s="84"/>
      <c r="C1186" s="12"/>
      <c r="F1186" s="13"/>
      <c r="G1186" s="88"/>
    </row>
    <row r="1187" spans="1:7" ht="15">
      <c r="A1187" s="84"/>
      <c r="B1187" s="84"/>
      <c r="C1187" s="12"/>
      <c r="F1187" s="13"/>
      <c r="G1187" s="88"/>
    </row>
    <row r="1188" spans="1:7" ht="15">
      <c r="A1188" s="84"/>
      <c r="B1188" s="84"/>
      <c r="C1188" s="12"/>
      <c r="F1188" s="13"/>
      <c r="G1188" s="88"/>
    </row>
    <row r="1189" spans="1:7" ht="15">
      <c r="A1189" s="84"/>
      <c r="B1189" s="84"/>
      <c r="C1189" s="12"/>
      <c r="F1189" s="13"/>
      <c r="G1189" s="88"/>
    </row>
    <row r="1190" spans="1:7" ht="15">
      <c r="A1190" s="84"/>
      <c r="B1190" s="84"/>
      <c r="C1190" s="12"/>
      <c r="F1190" s="13"/>
      <c r="G1190" s="88"/>
    </row>
    <row r="1191" spans="1:7" ht="15">
      <c r="A1191" s="84"/>
      <c r="B1191" s="84"/>
      <c r="C1191" s="12"/>
      <c r="F1191" s="13"/>
      <c r="G1191" s="88"/>
    </row>
    <row r="1192" spans="1:7" ht="15">
      <c r="A1192" s="84"/>
      <c r="B1192" s="84"/>
      <c r="C1192" s="12"/>
      <c r="F1192" s="13"/>
      <c r="G1192" s="88"/>
    </row>
    <row r="1193" spans="1:7" ht="15">
      <c r="A1193" s="84"/>
      <c r="B1193" s="84"/>
      <c r="C1193" s="12"/>
      <c r="F1193" s="13"/>
      <c r="G1193" s="88"/>
    </row>
    <row r="1194" spans="1:7" ht="15">
      <c r="A1194" s="84"/>
      <c r="B1194" s="84"/>
      <c r="C1194" s="12"/>
      <c r="F1194" s="13"/>
      <c r="G1194" s="88"/>
    </row>
    <row r="1195" spans="1:7" ht="15">
      <c r="A1195" s="84"/>
      <c r="B1195" s="84"/>
      <c r="C1195" s="12"/>
      <c r="F1195" s="13"/>
      <c r="G1195" s="88"/>
    </row>
    <row r="1196" spans="1:7" ht="15">
      <c r="A1196" s="84"/>
      <c r="B1196" s="84"/>
      <c r="C1196" s="12"/>
      <c r="F1196" s="13"/>
      <c r="G1196" s="88"/>
    </row>
    <row r="1197" spans="1:7" ht="15">
      <c r="A1197" s="84"/>
      <c r="B1197" s="84"/>
      <c r="C1197" s="12"/>
      <c r="F1197" s="13"/>
      <c r="G1197" s="88"/>
    </row>
    <row r="1198" spans="1:7" ht="15">
      <c r="A1198" s="84"/>
      <c r="B1198" s="84"/>
      <c r="C1198" s="12"/>
      <c r="F1198" s="13"/>
      <c r="G1198" s="88"/>
    </row>
    <row r="1199" spans="1:7" ht="15">
      <c r="A1199" s="84"/>
      <c r="B1199" s="84"/>
      <c r="C1199" s="12"/>
      <c r="F1199" s="13"/>
      <c r="G1199" s="88"/>
    </row>
    <row r="1200" spans="1:7" ht="15">
      <c r="A1200" s="84"/>
      <c r="B1200" s="84"/>
      <c r="C1200" s="12"/>
      <c r="F1200" s="13"/>
      <c r="G1200" s="88"/>
    </row>
    <row r="1201" spans="1:7" ht="15">
      <c r="A1201" s="84"/>
      <c r="B1201" s="84"/>
      <c r="C1201" s="12"/>
      <c r="F1201" s="13"/>
      <c r="G1201" s="88"/>
    </row>
    <row r="1202" spans="1:7" ht="15">
      <c r="A1202" s="84"/>
      <c r="B1202" s="84"/>
      <c r="C1202" s="12"/>
      <c r="F1202" s="13"/>
      <c r="G1202" s="88"/>
    </row>
    <row r="1203" spans="1:7" ht="15">
      <c r="A1203" s="84"/>
      <c r="B1203" s="84"/>
      <c r="C1203" s="12"/>
      <c r="F1203" s="13"/>
      <c r="G1203" s="88"/>
    </row>
    <row r="1204" spans="1:7" ht="15">
      <c r="A1204" s="84"/>
      <c r="B1204" s="84"/>
      <c r="C1204" s="12"/>
      <c r="F1204" s="13"/>
      <c r="G1204" s="88"/>
    </row>
    <row r="1205" spans="1:7" ht="15">
      <c r="A1205" s="84"/>
      <c r="B1205" s="84"/>
      <c r="C1205" s="12"/>
      <c r="F1205" s="13"/>
      <c r="G1205" s="88"/>
    </row>
    <row r="1206" spans="1:7" ht="15">
      <c r="A1206" s="84"/>
      <c r="B1206" s="84"/>
      <c r="C1206" s="12"/>
      <c r="F1206" s="13"/>
      <c r="G1206" s="88"/>
    </row>
    <row r="1207" spans="1:7" ht="15">
      <c r="A1207" s="84"/>
      <c r="B1207" s="84"/>
      <c r="C1207" s="12"/>
      <c r="F1207" s="13"/>
      <c r="G1207" s="88"/>
    </row>
    <row r="1208" spans="1:7" ht="15">
      <c r="A1208" s="84"/>
      <c r="B1208" s="84"/>
      <c r="C1208" s="12"/>
      <c r="F1208" s="13"/>
      <c r="G1208" s="88"/>
    </row>
    <row r="1209" spans="1:7" ht="15">
      <c r="A1209" s="84"/>
      <c r="B1209" s="84"/>
      <c r="C1209" s="12"/>
      <c r="F1209" s="13"/>
      <c r="G1209" s="88"/>
    </row>
    <row r="1210" spans="1:7" ht="15">
      <c r="A1210" s="84"/>
      <c r="B1210" s="84"/>
      <c r="C1210" s="12"/>
      <c r="F1210" s="13"/>
      <c r="G1210" s="88"/>
    </row>
    <row r="1211" spans="1:7" ht="15">
      <c r="A1211" s="84"/>
      <c r="B1211" s="84"/>
      <c r="C1211" s="12"/>
      <c r="F1211" s="13"/>
      <c r="G1211" s="88"/>
    </row>
    <row r="1212" spans="1:7" ht="15">
      <c r="A1212" s="84"/>
      <c r="B1212" s="84"/>
      <c r="C1212" s="12"/>
      <c r="F1212" s="13"/>
      <c r="G1212" s="88"/>
    </row>
    <row r="1213" spans="1:7" ht="15">
      <c r="A1213" s="84"/>
      <c r="B1213" s="84"/>
      <c r="C1213" s="12"/>
      <c r="F1213" s="13"/>
      <c r="G1213" s="88"/>
    </row>
    <row r="1214" spans="1:7" ht="15">
      <c r="A1214" s="84"/>
      <c r="B1214" s="84"/>
      <c r="C1214" s="12"/>
      <c r="F1214" s="13"/>
      <c r="G1214" s="88"/>
    </row>
    <row r="1215" spans="1:7" ht="15">
      <c r="A1215" s="84"/>
      <c r="B1215" s="84"/>
      <c r="C1215" s="12"/>
      <c r="F1215" s="13"/>
      <c r="G1215" s="88"/>
    </row>
    <row r="1216" spans="1:7" ht="15">
      <c r="A1216" s="84"/>
      <c r="B1216" s="84"/>
      <c r="C1216" s="12"/>
      <c r="F1216" s="13"/>
      <c r="G1216" s="88"/>
    </row>
    <row r="1217" spans="1:7" ht="15">
      <c r="A1217" s="84"/>
      <c r="B1217" s="84"/>
      <c r="C1217" s="12"/>
      <c r="F1217" s="13"/>
      <c r="G1217" s="88"/>
    </row>
    <row r="1218" spans="1:7" ht="15">
      <c r="A1218" s="84"/>
      <c r="B1218" s="84"/>
      <c r="C1218" s="12"/>
      <c r="F1218" s="13"/>
      <c r="G1218" s="88"/>
    </row>
    <row r="1219" spans="1:7" ht="15">
      <c r="A1219" s="84"/>
      <c r="B1219" s="84"/>
      <c r="C1219" s="12"/>
      <c r="F1219" s="13"/>
      <c r="G1219" s="88"/>
    </row>
    <row r="1220" spans="1:7" ht="15">
      <c r="A1220" s="84"/>
      <c r="B1220" s="84"/>
      <c r="C1220" s="12"/>
      <c r="F1220" s="13"/>
      <c r="G1220" s="88"/>
    </row>
    <row r="1221" spans="1:7" ht="15">
      <c r="A1221" s="84"/>
      <c r="B1221" s="84"/>
      <c r="C1221" s="12"/>
      <c r="F1221" s="13"/>
      <c r="G1221" s="88"/>
    </row>
    <row r="1222" spans="1:7" ht="15">
      <c r="A1222" s="84"/>
      <c r="B1222" s="84"/>
      <c r="C1222" s="12"/>
      <c r="F1222" s="13"/>
      <c r="G1222" s="88"/>
    </row>
    <row r="1223" spans="1:7" ht="15">
      <c r="A1223" s="84"/>
      <c r="B1223" s="84"/>
      <c r="C1223" s="12"/>
      <c r="F1223" s="13"/>
      <c r="G1223" s="88"/>
    </row>
    <row r="1224" spans="1:7" ht="15">
      <c r="A1224" s="84"/>
      <c r="B1224" s="84"/>
      <c r="C1224" s="12"/>
      <c r="F1224" s="13"/>
      <c r="G1224" s="88"/>
    </row>
    <row r="1225" spans="1:7" ht="15">
      <c r="A1225" s="84"/>
      <c r="B1225" s="84"/>
      <c r="C1225" s="12"/>
      <c r="F1225" s="13"/>
      <c r="G1225" s="88"/>
    </row>
    <row r="1226" spans="1:7" ht="15">
      <c r="A1226" s="84"/>
      <c r="B1226" s="84"/>
      <c r="C1226" s="12"/>
      <c r="F1226" s="13"/>
      <c r="G1226" s="88"/>
    </row>
    <row r="1227" spans="1:7" ht="15">
      <c r="A1227" s="84"/>
      <c r="B1227" s="84"/>
      <c r="C1227" s="12"/>
      <c r="F1227" s="13"/>
      <c r="G1227" s="88"/>
    </row>
    <row r="1228" spans="1:7" ht="15">
      <c r="A1228" s="84"/>
      <c r="B1228" s="84"/>
      <c r="C1228" s="12"/>
      <c r="F1228" s="13"/>
      <c r="G1228" s="88"/>
    </row>
    <row r="1229" spans="1:7" ht="15">
      <c r="A1229" s="84"/>
      <c r="B1229" s="84"/>
      <c r="C1229" s="12"/>
      <c r="F1229" s="13"/>
      <c r="G1229" s="88"/>
    </row>
    <row r="1230" spans="1:7" ht="15">
      <c r="A1230" s="84"/>
      <c r="B1230" s="84"/>
      <c r="C1230" s="12"/>
      <c r="F1230" s="13"/>
      <c r="G1230" s="88"/>
    </row>
    <row r="1231" spans="1:7" ht="15">
      <c r="A1231" s="84"/>
      <c r="B1231" s="84"/>
      <c r="C1231" s="12"/>
      <c r="F1231" s="13"/>
      <c r="G1231" s="88"/>
    </row>
    <row r="1232" spans="1:7" ht="15">
      <c r="A1232" s="84"/>
      <c r="B1232" s="84"/>
      <c r="C1232" s="12"/>
      <c r="F1232" s="13"/>
      <c r="G1232" s="88"/>
    </row>
    <row r="1233" spans="1:7" ht="15">
      <c r="A1233" s="84"/>
      <c r="B1233" s="84"/>
      <c r="C1233" s="12"/>
      <c r="F1233" s="13"/>
      <c r="G1233" s="88"/>
    </row>
    <row r="1234" spans="1:7" ht="15">
      <c r="A1234" s="84"/>
      <c r="B1234" s="84"/>
      <c r="C1234" s="12"/>
      <c r="F1234" s="13"/>
      <c r="G1234" s="88"/>
    </row>
    <row r="1235" spans="1:7" ht="15">
      <c r="A1235" s="84"/>
      <c r="B1235" s="84"/>
      <c r="C1235" s="12"/>
      <c r="F1235" s="13"/>
      <c r="G1235" s="88"/>
    </row>
    <row r="1236" spans="1:7" ht="15">
      <c r="A1236" s="84"/>
      <c r="B1236" s="84"/>
      <c r="C1236" s="12"/>
      <c r="F1236" s="13"/>
      <c r="G1236" s="88"/>
    </row>
    <row r="1237" spans="1:7" ht="15">
      <c r="A1237" s="84"/>
      <c r="B1237" s="84"/>
      <c r="C1237" s="12"/>
      <c r="F1237" s="13"/>
      <c r="G1237" s="88"/>
    </row>
    <row r="1238" spans="1:7" ht="15">
      <c r="A1238" s="84"/>
      <c r="B1238" s="84"/>
      <c r="C1238" s="12"/>
      <c r="F1238" s="13"/>
      <c r="G1238" s="88"/>
    </row>
    <row r="1239" spans="1:7" ht="15">
      <c r="A1239" s="84"/>
      <c r="B1239" s="84"/>
      <c r="C1239" s="12"/>
      <c r="F1239" s="13"/>
      <c r="G1239" s="88"/>
    </row>
    <row r="1240" spans="1:7" ht="15">
      <c r="A1240" s="84"/>
      <c r="B1240" s="84"/>
      <c r="C1240" s="12"/>
      <c r="F1240" s="13"/>
      <c r="G1240" s="88"/>
    </row>
    <row r="1241" spans="1:7" ht="15">
      <c r="A1241" s="84"/>
      <c r="B1241" s="84"/>
      <c r="C1241" s="12"/>
      <c r="F1241" s="13"/>
      <c r="G1241" s="88"/>
    </row>
    <row r="1242" spans="1:7" ht="15">
      <c r="A1242" s="84"/>
      <c r="B1242" s="84"/>
      <c r="C1242" s="12"/>
      <c r="F1242" s="13"/>
      <c r="G1242" s="88"/>
    </row>
    <row r="1243" spans="1:7" ht="15">
      <c r="A1243" s="84"/>
      <c r="B1243" s="84"/>
      <c r="C1243" s="12"/>
      <c r="F1243" s="13"/>
      <c r="G1243" s="88"/>
    </row>
    <row r="1244" spans="1:7" ht="15">
      <c r="A1244" s="84"/>
      <c r="B1244" s="84"/>
      <c r="C1244" s="12"/>
      <c r="F1244" s="13"/>
      <c r="G1244" s="88"/>
    </row>
    <row r="1245" spans="1:7" ht="15">
      <c r="A1245" s="84"/>
      <c r="B1245" s="84"/>
      <c r="C1245" s="12"/>
      <c r="F1245" s="13"/>
      <c r="G1245" s="88"/>
    </row>
    <row r="1246" spans="1:7" ht="15">
      <c r="A1246" s="84"/>
      <c r="B1246" s="84"/>
      <c r="C1246" s="12"/>
      <c r="F1246" s="13"/>
      <c r="G1246" s="88"/>
    </row>
    <row r="1247" spans="1:7" ht="15">
      <c r="A1247" s="84"/>
      <c r="B1247" s="84"/>
      <c r="C1247" s="12"/>
      <c r="F1247" s="13"/>
      <c r="G1247" s="88"/>
    </row>
    <row r="1248" spans="1:7" ht="15">
      <c r="A1248" s="84"/>
      <c r="B1248" s="84"/>
      <c r="C1248" s="12"/>
      <c r="F1248" s="13"/>
      <c r="G1248" s="88"/>
    </row>
    <row r="1249" spans="1:7" ht="15">
      <c r="A1249" s="84"/>
      <c r="B1249" s="84"/>
      <c r="C1249" s="12"/>
      <c r="F1249" s="13"/>
      <c r="G1249" s="88"/>
    </row>
    <row r="1250" spans="1:7" ht="15">
      <c r="A1250" s="84"/>
      <c r="B1250" s="84"/>
      <c r="C1250" s="12"/>
      <c r="F1250" s="13"/>
      <c r="G1250" s="88"/>
    </row>
    <row r="1251" spans="1:7" ht="15">
      <c r="A1251" s="84"/>
      <c r="B1251" s="84"/>
      <c r="C1251" s="12"/>
      <c r="F1251" s="13"/>
      <c r="G1251" s="88"/>
    </row>
    <row r="1252" spans="1:7" ht="15">
      <c r="A1252" s="84"/>
      <c r="B1252" s="84"/>
      <c r="C1252" s="12"/>
      <c r="F1252" s="13"/>
      <c r="G1252" s="88"/>
    </row>
    <row r="1253" spans="1:7" ht="15">
      <c r="A1253" s="84"/>
      <c r="B1253" s="84"/>
      <c r="C1253" s="12"/>
      <c r="F1253" s="13"/>
      <c r="G1253" s="88"/>
    </row>
    <row r="1254" spans="1:7" ht="15">
      <c r="A1254" s="84"/>
      <c r="B1254" s="84"/>
      <c r="C1254" s="12"/>
      <c r="F1254" s="13"/>
      <c r="G1254" s="88"/>
    </row>
    <row r="1255" spans="1:7" ht="15">
      <c r="A1255" s="84"/>
      <c r="B1255" s="84"/>
      <c r="C1255" s="12"/>
      <c r="F1255" s="13"/>
      <c r="G1255" s="88"/>
    </row>
  </sheetData>
  <mergeCells count="7">
    <mergeCell ref="F1:F2"/>
    <mergeCell ref="D281:E281"/>
    <mergeCell ref="A1:A2"/>
    <mergeCell ref="B1:B2"/>
    <mergeCell ref="C1:C2"/>
    <mergeCell ref="D1:D2"/>
    <mergeCell ref="E1:E2"/>
  </mergeCells>
  <phoneticPr fontId="3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0"/>
  <sheetViews>
    <sheetView workbookViewId="0">
      <pane xSplit="3" topLeftCell="D1" activePane="topRight" state="frozen"/>
      <selection pane="topRight" activeCell="E2" sqref="E2"/>
    </sheetView>
  </sheetViews>
  <sheetFormatPr defaultColWidth="12.77734375" defaultRowHeight="15.75" customHeight="1"/>
  <cols>
    <col min="2" max="2" width="10.21875" customWidth="1"/>
    <col min="3" max="3" width="85" customWidth="1"/>
    <col min="4" max="4" width="111.77734375" customWidth="1"/>
    <col min="5" max="5" width="20.21875" customWidth="1"/>
    <col min="6" max="6" width="83.77734375" customWidth="1"/>
    <col min="7" max="7" width="64.77734375" customWidth="1"/>
    <col min="8" max="8" width="46.77734375" customWidth="1"/>
    <col min="9" max="9" width="21.21875" customWidth="1"/>
    <col min="10" max="10" width="65.77734375" customWidth="1"/>
  </cols>
  <sheetData>
    <row r="1" spans="1:29" ht="13.2">
      <c r="A1" s="208" t="s">
        <v>1686</v>
      </c>
      <c r="B1" s="208" t="s">
        <v>46</v>
      </c>
      <c r="C1" s="208" t="s">
        <v>1687</v>
      </c>
      <c r="D1" s="208" t="s">
        <v>1688</v>
      </c>
      <c r="E1" s="208" t="s">
        <v>1689</v>
      </c>
      <c r="F1" s="208" t="s">
        <v>1690</v>
      </c>
      <c r="G1" s="208" t="s">
        <v>1691</v>
      </c>
      <c r="H1" s="208" t="s">
        <v>1692</v>
      </c>
      <c r="I1" s="209" t="s">
        <v>1214</v>
      </c>
      <c r="J1" s="207"/>
    </row>
    <row r="2" spans="1:29" ht="13.2">
      <c r="A2" s="189"/>
      <c r="B2" s="189"/>
      <c r="C2" s="189"/>
      <c r="D2" s="189"/>
      <c r="E2" s="189"/>
      <c r="F2" s="189"/>
      <c r="G2" s="189"/>
      <c r="H2" s="189"/>
      <c r="I2" s="198"/>
      <c r="J2" s="200"/>
    </row>
    <row r="3" spans="1:29" ht="17.399999999999999">
      <c r="A3" s="6" t="s">
        <v>1693</v>
      </c>
      <c r="B3" s="6">
        <v>1</v>
      </c>
      <c r="C3" s="89" t="s">
        <v>1694</v>
      </c>
      <c r="D3" s="90" t="s">
        <v>1695</v>
      </c>
      <c r="E3" s="91" t="s">
        <v>83</v>
      </c>
      <c r="F3" s="90"/>
      <c r="G3" s="90" t="s">
        <v>1696</v>
      </c>
      <c r="H3" s="90" t="s">
        <v>1697</v>
      </c>
      <c r="I3" s="91" t="s">
        <v>1698</v>
      </c>
      <c r="J3" s="90" t="s">
        <v>1699</v>
      </c>
    </row>
    <row r="4" spans="1:29" ht="17.399999999999999">
      <c r="A4" s="6" t="s">
        <v>1693</v>
      </c>
      <c r="B4" s="6">
        <v>2</v>
      </c>
      <c r="C4" s="92" t="s">
        <v>1700</v>
      </c>
      <c r="D4" s="90" t="s">
        <v>1701</v>
      </c>
      <c r="E4" s="91" t="s">
        <v>83</v>
      </c>
      <c r="F4" s="90"/>
      <c r="G4" s="90" t="s">
        <v>1702</v>
      </c>
      <c r="H4" s="90" t="s">
        <v>1703</v>
      </c>
      <c r="I4" s="91" t="s">
        <v>1704</v>
      </c>
      <c r="J4" s="90" t="s">
        <v>1705</v>
      </c>
    </row>
    <row r="5" spans="1:29" ht="17.399999999999999">
      <c r="A5" s="6" t="s">
        <v>1693</v>
      </c>
      <c r="B5" s="6">
        <v>3</v>
      </c>
      <c r="C5" s="92" t="s">
        <v>1706</v>
      </c>
      <c r="D5" s="90" t="s">
        <v>1707</v>
      </c>
      <c r="E5" s="91" t="s">
        <v>83</v>
      </c>
      <c r="F5" s="90"/>
      <c r="G5" s="90" t="s">
        <v>1708</v>
      </c>
      <c r="H5" s="90" t="s">
        <v>1709</v>
      </c>
      <c r="I5" s="91" t="s">
        <v>1710</v>
      </c>
      <c r="J5" s="90" t="s">
        <v>1711</v>
      </c>
    </row>
    <row r="6" spans="1:29" ht="17.399999999999999">
      <c r="A6" s="6" t="s">
        <v>1693</v>
      </c>
      <c r="B6" s="6">
        <v>4</v>
      </c>
      <c r="C6" s="92" t="s">
        <v>1712</v>
      </c>
      <c r="D6" s="90" t="s">
        <v>1713</v>
      </c>
      <c r="E6" s="91" t="s">
        <v>83</v>
      </c>
      <c r="F6" s="90"/>
      <c r="G6" s="90" t="s">
        <v>1714</v>
      </c>
      <c r="H6" s="90" t="s">
        <v>1715</v>
      </c>
      <c r="I6" s="91" t="s">
        <v>1716</v>
      </c>
      <c r="J6" s="90" t="s">
        <v>1717</v>
      </c>
    </row>
    <row r="7" spans="1:29" ht="17.399999999999999">
      <c r="A7" s="6" t="s">
        <v>1693</v>
      </c>
      <c r="B7" s="6">
        <v>5</v>
      </c>
      <c r="C7" s="92" t="s">
        <v>1718</v>
      </c>
      <c r="D7" s="90" t="s">
        <v>1719</v>
      </c>
      <c r="E7" s="91" t="s">
        <v>83</v>
      </c>
      <c r="F7" s="90"/>
      <c r="G7" s="90" t="s">
        <v>1720</v>
      </c>
      <c r="H7" s="90" t="s">
        <v>1721</v>
      </c>
      <c r="I7" s="91" t="s">
        <v>1722</v>
      </c>
      <c r="J7" s="90" t="s">
        <v>1723</v>
      </c>
    </row>
    <row r="8" spans="1:29" ht="17.399999999999999">
      <c r="A8" s="6" t="s">
        <v>1693</v>
      </c>
      <c r="B8" s="6">
        <v>6</v>
      </c>
      <c r="C8" s="92" t="s">
        <v>1724</v>
      </c>
      <c r="D8" s="90" t="s">
        <v>1725</v>
      </c>
      <c r="E8" s="91" t="s">
        <v>83</v>
      </c>
      <c r="F8" s="90"/>
      <c r="G8" s="90" t="s">
        <v>1726</v>
      </c>
      <c r="H8" s="90" t="s">
        <v>1727</v>
      </c>
      <c r="I8" s="91" t="s">
        <v>1728</v>
      </c>
      <c r="J8" s="90" t="s">
        <v>1729</v>
      </c>
    </row>
    <row r="9" spans="1:29" ht="17.399999999999999">
      <c r="A9" s="6" t="s">
        <v>1693</v>
      </c>
      <c r="B9" s="6">
        <v>7</v>
      </c>
      <c r="C9" s="92" t="s">
        <v>1730</v>
      </c>
      <c r="D9" s="90" t="s">
        <v>1731</v>
      </c>
      <c r="E9" s="91" t="s">
        <v>83</v>
      </c>
      <c r="F9" s="90"/>
      <c r="G9" s="90" t="s">
        <v>1732</v>
      </c>
      <c r="H9" s="90" t="s">
        <v>1733</v>
      </c>
      <c r="I9" s="91" t="s">
        <v>1734</v>
      </c>
      <c r="J9" s="90" t="s">
        <v>1735</v>
      </c>
    </row>
    <row r="10" spans="1:29" ht="17.399999999999999">
      <c r="A10" s="7" t="s">
        <v>1693</v>
      </c>
      <c r="B10" s="7">
        <v>8</v>
      </c>
      <c r="C10" s="93" t="s">
        <v>1736</v>
      </c>
      <c r="D10" s="94" t="s">
        <v>1737</v>
      </c>
      <c r="E10" s="95" t="s">
        <v>155</v>
      </c>
      <c r="F10" s="94" t="s">
        <v>1738</v>
      </c>
      <c r="G10" s="94" t="s">
        <v>1739</v>
      </c>
      <c r="H10" s="94" t="s">
        <v>1740</v>
      </c>
      <c r="I10" s="95" t="s">
        <v>1741</v>
      </c>
      <c r="J10" s="94" t="s">
        <v>1742</v>
      </c>
      <c r="K10" s="96"/>
      <c r="L10" s="96"/>
      <c r="M10" s="96"/>
      <c r="N10" s="96"/>
      <c r="O10" s="96"/>
      <c r="P10" s="96"/>
      <c r="Q10" s="96"/>
      <c r="R10" s="96"/>
      <c r="S10" s="96"/>
      <c r="T10" s="96"/>
      <c r="U10" s="96"/>
      <c r="V10" s="96"/>
      <c r="W10" s="96"/>
      <c r="X10" s="96"/>
      <c r="Y10" s="96"/>
      <c r="Z10" s="96"/>
      <c r="AA10" s="96"/>
      <c r="AB10" s="96"/>
      <c r="AC10" s="96"/>
    </row>
    <row r="11" spans="1:29" ht="17.399999999999999">
      <c r="A11" s="6" t="s">
        <v>1693</v>
      </c>
      <c r="B11" s="6">
        <v>9</v>
      </c>
      <c r="C11" s="92" t="s">
        <v>1743</v>
      </c>
      <c r="D11" s="90" t="s">
        <v>1744</v>
      </c>
      <c r="E11" s="91" t="s">
        <v>83</v>
      </c>
      <c r="F11" s="90"/>
      <c r="G11" s="90" t="s">
        <v>1745</v>
      </c>
      <c r="H11" s="90" t="s">
        <v>1746</v>
      </c>
      <c r="I11" s="91">
        <v>3.11</v>
      </c>
      <c r="J11" s="90" t="s">
        <v>1747</v>
      </c>
    </row>
    <row r="12" spans="1:29" ht="17.399999999999999">
      <c r="A12" s="7" t="s">
        <v>1693</v>
      </c>
      <c r="B12" s="7">
        <v>10</v>
      </c>
      <c r="C12" s="93" t="s">
        <v>1748</v>
      </c>
      <c r="D12" s="94" t="s">
        <v>1749</v>
      </c>
      <c r="E12" s="95" t="s">
        <v>155</v>
      </c>
      <c r="F12" s="94" t="s">
        <v>1750</v>
      </c>
      <c r="G12" s="94" t="s">
        <v>1751</v>
      </c>
      <c r="H12" s="94" t="s">
        <v>1752</v>
      </c>
      <c r="I12" s="95" t="s">
        <v>1753</v>
      </c>
      <c r="J12" s="94" t="s">
        <v>1754</v>
      </c>
      <c r="K12" s="96"/>
      <c r="L12" s="96"/>
      <c r="M12" s="96"/>
      <c r="N12" s="96"/>
      <c r="O12" s="96"/>
      <c r="P12" s="96"/>
      <c r="Q12" s="96"/>
      <c r="R12" s="96"/>
      <c r="S12" s="96"/>
      <c r="T12" s="96"/>
      <c r="U12" s="96"/>
      <c r="V12" s="96"/>
      <c r="W12" s="96"/>
      <c r="X12" s="96"/>
      <c r="Y12" s="96"/>
      <c r="Z12" s="96"/>
      <c r="AA12" s="96"/>
      <c r="AB12" s="96"/>
      <c r="AC12" s="96"/>
    </row>
    <row r="13" spans="1:29" ht="17.399999999999999">
      <c r="A13" s="7" t="s">
        <v>1693</v>
      </c>
      <c r="B13" s="7">
        <v>11</v>
      </c>
      <c r="C13" s="93" t="s">
        <v>1755</v>
      </c>
      <c r="D13" s="94" t="s">
        <v>1756</v>
      </c>
      <c r="E13" s="95" t="s">
        <v>155</v>
      </c>
      <c r="F13" s="94" t="s">
        <v>1750</v>
      </c>
      <c r="G13" s="94" t="s">
        <v>1757</v>
      </c>
      <c r="H13" s="94" t="s">
        <v>1758</v>
      </c>
      <c r="I13" s="95" t="s">
        <v>1759</v>
      </c>
      <c r="J13" s="94" t="s">
        <v>1760</v>
      </c>
      <c r="K13" s="96"/>
      <c r="L13" s="96"/>
      <c r="M13" s="96"/>
      <c r="N13" s="96"/>
      <c r="O13" s="96"/>
      <c r="P13" s="96"/>
      <c r="Q13" s="96"/>
      <c r="R13" s="96"/>
      <c r="S13" s="96"/>
      <c r="T13" s="96"/>
      <c r="U13" s="96"/>
      <c r="V13" s="96"/>
      <c r="W13" s="96"/>
      <c r="X13" s="96"/>
      <c r="Y13" s="96"/>
      <c r="Z13" s="96"/>
      <c r="AA13" s="96"/>
      <c r="AB13" s="96"/>
      <c r="AC13" s="96"/>
    </row>
    <row r="14" spans="1:29" ht="17.399999999999999">
      <c r="A14" s="7" t="s">
        <v>1693</v>
      </c>
      <c r="B14" s="7">
        <v>12</v>
      </c>
      <c r="C14" s="93" t="s">
        <v>1761</v>
      </c>
      <c r="D14" s="94" t="s">
        <v>1762</v>
      </c>
      <c r="E14" s="95" t="s">
        <v>155</v>
      </c>
      <c r="F14" s="94" t="s">
        <v>1750</v>
      </c>
      <c r="G14" s="94" t="s">
        <v>1763</v>
      </c>
      <c r="H14" s="94" t="s">
        <v>1764</v>
      </c>
      <c r="I14" s="95">
        <v>2.5</v>
      </c>
      <c r="J14" s="94" t="s">
        <v>1765</v>
      </c>
      <c r="K14" s="96"/>
      <c r="L14" s="96"/>
      <c r="M14" s="96"/>
      <c r="N14" s="96"/>
      <c r="O14" s="96"/>
      <c r="P14" s="96"/>
      <c r="Q14" s="96"/>
      <c r="R14" s="96"/>
      <c r="S14" s="96"/>
      <c r="T14" s="96"/>
      <c r="U14" s="96"/>
      <c r="V14" s="96"/>
      <c r="W14" s="96"/>
      <c r="X14" s="96"/>
      <c r="Y14" s="96"/>
      <c r="Z14" s="96"/>
      <c r="AA14" s="96"/>
      <c r="AB14" s="96"/>
      <c r="AC14" s="96"/>
    </row>
    <row r="15" spans="1:29" ht="17.399999999999999">
      <c r="A15" s="6" t="s">
        <v>1693</v>
      </c>
      <c r="B15" s="6">
        <v>13</v>
      </c>
      <c r="C15" s="92" t="s">
        <v>1766</v>
      </c>
      <c r="D15" s="90" t="s">
        <v>1767</v>
      </c>
      <c r="E15" s="91" t="s">
        <v>83</v>
      </c>
      <c r="F15" s="90"/>
      <c r="G15" s="90" t="s">
        <v>1768</v>
      </c>
      <c r="H15" s="90" t="s">
        <v>1769</v>
      </c>
      <c r="I15" s="91" t="s">
        <v>1770</v>
      </c>
      <c r="J15" s="90" t="s">
        <v>1771</v>
      </c>
    </row>
    <row r="16" spans="1:29" ht="17.399999999999999">
      <c r="A16" s="6" t="s">
        <v>1693</v>
      </c>
      <c r="B16" s="6">
        <v>14</v>
      </c>
      <c r="C16" s="92" t="s">
        <v>1772</v>
      </c>
      <c r="D16" s="90" t="s">
        <v>1773</v>
      </c>
      <c r="E16" s="91" t="s">
        <v>83</v>
      </c>
      <c r="F16" s="90"/>
      <c r="G16" s="90" t="s">
        <v>1774</v>
      </c>
      <c r="H16" s="90" t="s">
        <v>1775</v>
      </c>
      <c r="I16" s="91" t="s">
        <v>1776</v>
      </c>
      <c r="J16" s="90" t="s">
        <v>1777</v>
      </c>
    </row>
    <row r="17" spans="1:29" ht="17.399999999999999">
      <c r="A17" s="7" t="s">
        <v>1693</v>
      </c>
      <c r="B17" s="7">
        <v>15</v>
      </c>
      <c r="C17" s="93" t="s">
        <v>1778</v>
      </c>
      <c r="D17" s="94" t="s">
        <v>1779</v>
      </c>
      <c r="E17" s="95" t="s">
        <v>155</v>
      </c>
      <c r="F17" s="94" t="s">
        <v>1780</v>
      </c>
      <c r="G17" s="94" t="s">
        <v>1781</v>
      </c>
      <c r="H17" s="94" t="s">
        <v>1782</v>
      </c>
      <c r="I17" s="95" t="s">
        <v>1783</v>
      </c>
      <c r="J17" s="94" t="s">
        <v>1784</v>
      </c>
      <c r="K17" s="96"/>
      <c r="L17" s="96"/>
      <c r="M17" s="96"/>
      <c r="N17" s="96"/>
      <c r="O17" s="96"/>
      <c r="P17" s="96"/>
      <c r="Q17" s="96"/>
      <c r="R17" s="96"/>
      <c r="S17" s="96"/>
      <c r="T17" s="96"/>
      <c r="U17" s="96"/>
      <c r="V17" s="96"/>
      <c r="W17" s="96"/>
      <c r="X17" s="96"/>
      <c r="Y17" s="96"/>
      <c r="Z17" s="96"/>
      <c r="AA17" s="96"/>
      <c r="AB17" s="96"/>
      <c r="AC17" s="96"/>
    </row>
    <row r="18" spans="1:29" ht="17.399999999999999">
      <c r="A18" s="6" t="s">
        <v>1693</v>
      </c>
      <c r="B18" s="6">
        <v>16</v>
      </c>
      <c r="C18" s="92" t="s">
        <v>1785</v>
      </c>
      <c r="D18" s="90" t="s">
        <v>1786</v>
      </c>
      <c r="E18" s="91" t="s">
        <v>83</v>
      </c>
      <c r="F18" s="90"/>
      <c r="G18" s="90" t="s">
        <v>1787</v>
      </c>
      <c r="H18" s="90" t="s">
        <v>1788</v>
      </c>
      <c r="I18" s="91">
        <v>3.4</v>
      </c>
      <c r="J18" s="90" t="s">
        <v>1789</v>
      </c>
    </row>
    <row r="19" spans="1:29" ht="17.399999999999999">
      <c r="A19" s="7" t="s">
        <v>1693</v>
      </c>
      <c r="B19" s="7">
        <v>17</v>
      </c>
      <c r="C19" s="93" t="s">
        <v>1790</v>
      </c>
      <c r="D19" s="94" t="s">
        <v>1791</v>
      </c>
      <c r="E19" s="95" t="s">
        <v>155</v>
      </c>
      <c r="F19" s="94" t="s">
        <v>1792</v>
      </c>
      <c r="G19" s="94" t="s">
        <v>1793</v>
      </c>
      <c r="H19" s="94" t="s">
        <v>1794</v>
      </c>
      <c r="I19" s="95">
        <v>4.5999999999999996</v>
      </c>
      <c r="J19" s="94" t="s">
        <v>1795</v>
      </c>
      <c r="K19" s="96"/>
      <c r="L19" s="96"/>
      <c r="M19" s="96"/>
      <c r="N19" s="96"/>
      <c r="O19" s="96"/>
      <c r="P19" s="96"/>
      <c r="Q19" s="96"/>
      <c r="R19" s="96"/>
      <c r="S19" s="96"/>
      <c r="T19" s="96"/>
      <c r="U19" s="96"/>
      <c r="V19" s="96"/>
      <c r="W19" s="96"/>
      <c r="X19" s="96"/>
      <c r="Y19" s="96"/>
      <c r="Z19" s="96"/>
      <c r="AA19" s="96"/>
      <c r="AB19" s="96"/>
      <c r="AC19" s="96"/>
    </row>
    <row r="20" spans="1:29" ht="17.399999999999999">
      <c r="A20" s="6" t="s">
        <v>1693</v>
      </c>
      <c r="B20" s="6">
        <v>18</v>
      </c>
      <c r="C20" s="92" t="s">
        <v>1796</v>
      </c>
      <c r="D20" s="90" t="s">
        <v>1797</v>
      </c>
      <c r="E20" s="91" t="s">
        <v>83</v>
      </c>
      <c r="F20" s="90"/>
      <c r="G20" s="90" t="s">
        <v>1798</v>
      </c>
      <c r="H20" s="90" t="s">
        <v>1799</v>
      </c>
      <c r="I20" s="91" t="s">
        <v>1800</v>
      </c>
      <c r="J20" s="90" t="s">
        <v>1801</v>
      </c>
    </row>
    <row r="21" spans="1:29" ht="17.399999999999999">
      <c r="A21" s="6" t="s">
        <v>1693</v>
      </c>
      <c r="B21" s="6">
        <v>19</v>
      </c>
      <c r="C21" s="92" t="s">
        <v>1802</v>
      </c>
      <c r="D21" s="90" t="s">
        <v>1803</v>
      </c>
      <c r="E21" s="91" t="s">
        <v>83</v>
      </c>
      <c r="F21" s="90"/>
      <c r="G21" s="90" t="s">
        <v>1804</v>
      </c>
      <c r="H21" s="90" t="s">
        <v>1805</v>
      </c>
      <c r="I21" s="91" t="s">
        <v>1741</v>
      </c>
      <c r="J21" s="90" t="s">
        <v>1806</v>
      </c>
    </row>
    <row r="22" spans="1:29" ht="17.399999999999999">
      <c r="A22" s="7" t="s">
        <v>1693</v>
      </c>
      <c r="B22" s="7">
        <v>20</v>
      </c>
      <c r="C22" s="93" t="s">
        <v>1807</v>
      </c>
      <c r="D22" s="94" t="s">
        <v>1808</v>
      </c>
      <c r="E22" s="95" t="s">
        <v>155</v>
      </c>
      <c r="F22" s="94" t="s">
        <v>1792</v>
      </c>
      <c r="G22" s="94" t="s">
        <v>1809</v>
      </c>
      <c r="H22" s="94" t="s">
        <v>1810</v>
      </c>
      <c r="I22" s="95">
        <v>5.0999999999999996</v>
      </c>
      <c r="J22" s="94" t="s">
        <v>1811</v>
      </c>
      <c r="K22" s="96"/>
      <c r="L22" s="96"/>
      <c r="M22" s="96"/>
      <c r="N22" s="96"/>
      <c r="O22" s="96"/>
      <c r="P22" s="96"/>
      <c r="Q22" s="96"/>
      <c r="R22" s="96"/>
      <c r="S22" s="96"/>
      <c r="T22" s="96"/>
      <c r="U22" s="96"/>
      <c r="V22" s="96"/>
      <c r="W22" s="96"/>
      <c r="X22" s="96"/>
      <c r="Y22" s="96"/>
      <c r="Z22" s="96"/>
      <c r="AA22" s="96"/>
      <c r="AB22" s="96"/>
      <c r="AC22" s="96"/>
    </row>
    <row r="23" spans="1:29" ht="17.399999999999999">
      <c r="A23" s="97" t="s">
        <v>1693</v>
      </c>
      <c r="B23" s="97">
        <v>21</v>
      </c>
      <c r="C23" s="98" t="s">
        <v>1812</v>
      </c>
      <c r="D23" s="99" t="s">
        <v>1813</v>
      </c>
      <c r="E23" s="100" t="s">
        <v>197</v>
      </c>
      <c r="F23" s="99" t="s">
        <v>1814</v>
      </c>
      <c r="G23" s="99" t="s">
        <v>1815</v>
      </c>
      <c r="H23" s="99" t="s">
        <v>1816</v>
      </c>
      <c r="I23" s="100" t="s">
        <v>1817</v>
      </c>
      <c r="J23" s="99" t="s">
        <v>1818</v>
      </c>
      <c r="K23" s="101"/>
      <c r="L23" s="101"/>
      <c r="M23" s="101"/>
      <c r="N23" s="101"/>
      <c r="O23" s="101"/>
      <c r="P23" s="101"/>
      <c r="Q23" s="101"/>
      <c r="R23" s="101"/>
      <c r="S23" s="101"/>
      <c r="T23" s="101"/>
      <c r="U23" s="101"/>
      <c r="V23" s="101"/>
      <c r="W23" s="101"/>
      <c r="X23" s="101"/>
      <c r="Y23" s="101"/>
      <c r="Z23" s="101"/>
      <c r="AA23" s="101"/>
      <c r="AB23" s="101"/>
      <c r="AC23" s="101"/>
    </row>
    <row r="24" spans="1:29" ht="17.399999999999999">
      <c r="A24" s="6" t="s">
        <v>1693</v>
      </c>
      <c r="B24" s="6">
        <v>22</v>
      </c>
      <c r="C24" s="92" t="s">
        <v>1819</v>
      </c>
      <c r="D24" s="90" t="s">
        <v>1820</v>
      </c>
      <c r="E24" s="91" t="s">
        <v>83</v>
      </c>
      <c r="F24" s="90"/>
      <c r="G24" s="90" t="s">
        <v>1821</v>
      </c>
      <c r="H24" s="90" t="s">
        <v>1822</v>
      </c>
      <c r="I24" s="91" t="s">
        <v>1823</v>
      </c>
      <c r="J24" s="90" t="s">
        <v>1824</v>
      </c>
    </row>
    <row r="25" spans="1:29" ht="17.399999999999999">
      <c r="A25" s="6" t="s">
        <v>1693</v>
      </c>
      <c r="B25" s="6">
        <v>23</v>
      </c>
      <c r="C25" s="92" t="s">
        <v>1825</v>
      </c>
      <c r="D25" s="90" t="s">
        <v>1826</v>
      </c>
      <c r="E25" s="91" t="s">
        <v>83</v>
      </c>
      <c r="F25" s="90"/>
      <c r="G25" s="90" t="s">
        <v>1827</v>
      </c>
      <c r="H25" s="90" t="s">
        <v>1828</v>
      </c>
      <c r="I25" s="91" t="s">
        <v>1829</v>
      </c>
      <c r="J25" s="90" t="s">
        <v>1830</v>
      </c>
    </row>
    <row r="26" spans="1:29" ht="17.399999999999999">
      <c r="A26" s="6" t="s">
        <v>1693</v>
      </c>
      <c r="B26" s="6">
        <v>24</v>
      </c>
      <c r="C26" s="92" t="s">
        <v>1831</v>
      </c>
      <c r="D26" s="90" t="s">
        <v>1832</v>
      </c>
      <c r="E26" s="91" t="s">
        <v>83</v>
      </c>
      <c r="F26" s="90"/>
      <c r="G26" s="90" t="s">
        <v>1833</v>
      </c>
      <c r="H26" s="90" t="s">
        <v>1834</v>
      </c>
      <c r="I26" s="91" t="s">
        <v>1835</v>
      </c>
      <c r="J26" s="90" t="s">
        <v>1836</v>
      </c>
    </row>
    <row r="27" spans="1:29" ht="17.399999999999999">
      <c r="A27" s="6" t="s">
        <v>1693</v>
      </c>
      <c r="B27" s="6">
        <v>25</v>
      </c>
      <c r="C27" s="92" t="s">
        <v>1837</v>
      </c>
      <c r="D27" s="90" t="s">
        <v>1838</v>
      </c>
      <c r="E27" s="91" t="s">
        <v>83</v>
      </c>
      <c r="F27" s="90"/>
      <c r="G27" s="90" t="s">
        <v>1839</v>
      </c>
      <c r="H27" s="90" t="s">
        <v>1840</v>
      </c>
      <c r="I27" s="91" t="s">
        <v>1823</v>
      </c>
      <c r="J27" s="90" t="s">
        <v>1841</v>
      </c>
    </row>
    <row r="28" spans="1:29" ht="17.399999999999999">
      <c r="A28" s="6" t="s">
        <v>1693</v>
      </c>
      <c r="B28" s="6">
        <v>26</v>
      </c>
      <c r="C28" s="92" t="s">
        <v>1842</v>
      </c>
      <c r="D28" s="90" t="s">
        <v>1843</v>
      </c>
      <c r="E28" s="91" t="s">
        <v>83</v>
      </c>
      <c r="F28" s="90"/>
      <c r="G28" s="90" t="s">
        <v>1844</v>
      </c>
      <c r="H28" s="90" t="s">
        <v>1845</v>
      </c>
      <c r="I28" s="91" t="s">
        <v>1846</v>
      </c>
      <c r="J28" s="90" t="s">
        <v>1847</v>
      </c>
    </row>
    <row r="29" spans="1:29" ht="17.399999999999999">
      <c r="A29" s="6" t="s">
        <v>1693</v>
      </c>
      <c r="B29" s="6">
        <v>27</v>
      </c>
      <c r="C29" s="92" t="s">
        <v>1848</v>
      </c>
      <c r="D29" s="90" t="s">
        <v>1849</v>
      </c>
      <c r="E29" s="91" t="s">
        <v>83</v>
      </c>
      <c r="F29" s="90"/>
      <c r="G29" s="90" t="s">
        <v>1850</v>
      </c>
      <c r="H29" s="90" t="s">
        <v>1851</v>
      </c>
      <c r="I29" s="91" t="s">
        <v>1852</v>
      </c>
      <c r="J29" s="90" t="s">
        <v>1853</v>
      </c>
    </row>
    <row r="30" spans="1:29" ht="17.399999999999999">
      <c r="A30" s="6" t="s">
        <v>1693</v>
      </c>
      <c r="B30" s="6">
        <v>28</v>
      </c>
      <c r="C30" s="92" t="s">
        <v>1854</v>
      </c>
      <c r="D30" s="90" t="s">
        <v>1855</v>
      </c>
      <c r="E30" s="91" t="s">
        <v>83</v>
      </c>
      <c r="F30" s="90"/>
      <c r="G30" s="90" t="s">
        <v>1856</v>
      </c>
      <c r="H30" s="90" t="s">
        <v>1857</v>
      </c>
      <c r="I30" s="91" t="s">
        <v>1858</v>
      </c>
      <c r="J30" s="90" t="s">
        <v>1859</v>
      </c>
    </row>
    <row r="31" spans="1:29" ht="17.399999999999999">
      <c r="A31" s="6" t="s">
        <v>1693</v>
      </c>
      <c r="B31" s="6">
        <v>29</v>
      </c>
      <c r="C31" s="92" t="s">
        <v>1860</v>
      </c>
      <c r="D31" s="90" t="s">
        <v>1861</v>
      </c>
      <c r="E31" s="91" t="s">
        <v>83</v>
      </c>
      <c r="F31" s="90"/>
      <c r="G31" s="90" t="s">
        <v>1862</v>
      </c>
      <c r="H31" s="90" t="s">
        <v>1863</v>
      </c>
      <c r="I31" s="91" t="s">
        <v>1864</v>
      </c>
      <c r="J31" s="90" t="s">
        <v>1865</v>
      </c>
    </row>
    <row r="32" spans="1:29" ht="17.399999999999999">
      <c r="A32" s="6" t="s">
        <v>1693</v>
      </c>
      <c r="B32" s="6">
        <v>30</v>
      </c>
      <c r="C32" s="92" t="s">
        <v>1866</v>
      </c>
      <c r="D32" s="90" t="s">
        <v>1867</v>
      </c>
      <c r="E32" s="91" t="s">
        <v>83</v>
      </c>
      <c r="F32" s="90"/>
      <c r="G32" s="90" t="s">
        <v>1868</v>
      </c>
      <c r="H32" s="90" t="s">
        <v>1869</v>
      </c>
      <c r="I32" s="91">
        <v>3.8</v>
      </c>
      <c r="J32" s="90" t="s">
        <v>1870</v>
      </c>
    </row>
    <row r="33" spans="1:29" ht="17.399999999999999">
      <c r="A33" s="6" t="s">
        <v>1693</v>
      </c>
      <c r="B33" s="6">
        <v>31</v>
      </c>
      <c r="C33" s="92" t="s">
        <v>1871</v>
      </c>
      <c r="D33" s="90" t="s">
        <v>1872</v>
      </c>
      <c r="E33" s="91" t="s">
        <v>83</v>
      </c>
      <c r="F33" s="90"/>
      <c r="G33" s="90" t="s">
        <v>1873</v>
      </c>
      <c r="H33" s="90" t="s">
        <v>1874</v>
      </c>
      <c r="I33" s="91" t="s">
        <v>1875</v>
      </c>
      <c r="J33" s="90" t="s">
        <v>1876</v>
      </c>
    </row>
    <row r="34" spans="1:29" ht="17.399999999999999">
      <c r="A34" s="6" t="s">
        <v>1693</v>
      </c>
      <c r="B34" s="6">
        <v>32</v>
      </c>
      <c r="C34" s="92" t="s">
        <v>1877</v>
      </c>
      <c r="D34" s="90" t="s">
        <v>1878</v>
      </c>
      <c r="E34" s="91" t="s">
        <v>83</v>
      </c>
      <c r="F34" s="90"/>
      <c r="G34" s="90" t="s">
        <v>1879</v>
      </c>
      <c r="H34" s="90" t="s">
        <v>1880</v>
      </c>
      <c r="I34" s="91" t="s">
        <v>1881</v>
      </c>
      <c r="J34" s="90" t="s">
        <v>1882</v>
      </c>
    </row>
    <row r="35" spans="1:29" ht="17.399999999999999">
      <c r="A35" s="7" t="s">
        <v>1693</v>
      </c>
      <c r="B35" s="7">
        <v>33</v>
      </c>
      <c r="C35" s="93" t="s">
        <v>1883</v>
      </c>
      <c r="D35" s="94" t="s">
        <v>1884</v>
      </c>
      <c r="E35" s="95" t="s">
        <v>155</v>
      </c>
      <c r="F35" s="94" t="s">
        <v>1885</v>
      </c>
      <c r="G35" s="94" t="s">
        <v>1886</v>
      </c>
      <c r="H35" s="94" t="s">
        <v>1887</v>
      </c>
      <c r="I35" s="95" t="s">
        <v>1888</v>
      </c>
      <c r="J35" s="94" t="s">
        <v>1889</v>
      </c>
      <c r="K35" s="96"/>
      <c r="L35" s="96"/>
      <c r="M35" s="96"/>
      <c r="N35" s="96"/>
      <c r="O35" s="96"/>
      <c r="P35" s="96"/>
      <c r="Q35" s="96"/>
      <c r="R35" s="96"/>
      <c r="S35" s="96"/>
      <c r="T35" s="96"/>
      <c r="U35" s="96"/>
      <c r="V35" s="96"/>
      <c r="W35" s="96"/>
      <c r="X35" s="96"/>
      <c r="Y35" s="96"/>
      <c r="Z35" s="96"/>
      <c r="AA35" s="96"/>
      <c r="AB35" s="96"/>
      <c r="AC35" s="96"/>
    </row>
    <row r="36" spans="1:29" ht="17.399999999999999">
      <c r="A36" s="7" t="s">
        <v>1693</v>
      </c>
      <c r="B36" s="7">
        <v>34</v>
      </c>
      <c r="C36" s="102" t="s">
        <v>1890</v>
      </c>
      <c r="D36" s="94" t="s">
        <v>1891</v>
      </c>
      <c r="E36" s="95" t="s">
        <v>155</v>
      </c>
      <c r="F36" s="94" t="s">
        <v>1892</v>
      </c>
      <c r="G36" s="94" t="s">
        <v>1893</v>
      </c>
      <c r="H36" s="94" t="s">
        <v>1894</v>
      </c>
      <c r="I36" s="95" t="s">
        <v>1895</v>
      </c>
      <c r="J36" s="94" t="s">
        <v>1896</v>
      </c>
      <c r="K36" s="96"/>
      <c r="L36" s="96"/>
      <c r="M36" s="96"/>
      <c r="N36" s="96"/>
      <c r="O36" s="96"/>
      <c r="P36" s="96"/>
      <c r="Q36" s="96"/>
      <c r="R36" s="96"/>
      <c r="S36" s="96"/>
      <c r="T36" s="96"/>
      <c r="U36" s="96"/>
      <c r="V36" s="96"/>
      <c r="W36" s="96"/>
      <c r="X36" s="96"/>
      <c r="Y36" s="96"/>
      <c r="Z36" s="96"/>
      <c r="AA36" s="96"/>
      <c r="AB36" s="96"/>
      <c r="AC36" s="96"/>
    </row>
    <row r="37" spans="1:29" ht="13.2">
      <c r="E37" s="15"/>
    </row>
    <row r="38" spans="1:29" ht="15.75" customHeight="1">
      <c r="E38" s="15"/>
      <c r="J38" s="103"/>
    </row>
    <row r="39" spans="1:29" ht="15.75" customHeight="1">
      <c r="E39" s="15"/>
      <c r="J39" s="103"/>
    </row>
    <row r="40" spans="1:29" ht="13.2">
      <c r="E40" s="15"/>
    </row>
    <row r="41" spans="1:29" ht="13.2">
      <c r="A41" s="104"/>
      <c r="B41" s="104"/>
      <c r="E41" s="15"/>
    </row>
    <row r="42" spans="1:29" ht="13.2">
      <c r="A42" s="104"/>
      <c r="B42" s="104"/>
      <c r="E42" s="15"/>
    </row>
    <row r="43" spans="1:29" ht="13.2">
      <c r="A43" s="104"/>
      <c r="B43" s="104"/>
      <c r="E43" s="15"/>
    </row>
    <row r="44" spans="1:29" ht="13.2">
      <c r="A44" s="104"/>
      <c r="B44" s="104"/>
      <c r="E44" s="15"/>
    </row>
    <row r="45" spans="1:29" ht="13.2">
      <c r="A45" s="104"/>
      <c r="B45" s="104"/>
      <c r="E45" s="15"/>
    </row>
    <row r="46" spans="1:29" ht="13.2">
      <c r="A46" s="104"/>
      <c r="B46" s="104"/>
      <c r="E46" s="15"/>
    </row>
    <row r="47" spans="1:29" ht="13.2">
      <c r="A47" s="104"/>
      <c r="B47" s="104"/>
      <c r="E47" s="15"/>
    </row>
    <row r="48" spans="1:29" ht="13.2">
      <c r="A48" s="104"/>
      <c r="B48" s="104"/>
      <c r="E48" s="15"/>
    </row>
    <row r="49" spans="1:5" ht="13.2">
      <c r="A49" s="104"/>
      <c r="B49" s="104"/>
      <c r="E49" s="15"/>
    </row>
    <row r="50" spans="1:5" ht="13.2">
      <c r="A50" s="104"/>
      <c r="B50" s="104"/>
      <c r="E50" s="15"/>
    </row>
    <row r="51" spans="1:5" ht="13.2">
      <c r="A51" s="104"/>
      <c r="B51" s="104"/>
      <c r="E51" s="15"/>
    </row>
    <row r="52" spans="1:5" ht="13.2">
      <c r="A52" s="104"/>
      <c r="B52" s="104"/>
      <c r="E52" s="15"/>
    </row>
    <row r="53" spans="1:5" ht="13.2">
      <c r="A53" s="104"/>
      <c r="B53" s="104"/>
      <c r="E53" s="15"/>
    </row>
    <row r="54" spans="1:5" ht="13.2">
      <c r="A54" s="104"/>
      <c r="B54" s="104"/>
      <c r="E54" s="15"/>
    </row>
    <row r="55" spans="1:5" ht="13.2">
      <c r="A55" s="104"/>
      <c r="B55" s="104"/>
      <c r="E55" s="15"/>
    </row>
    <row r="56" spans="1:5" ht="13.2">
      <c r="A56" s="104"/>
      <c r="B56" s="104"/>
      <c r="E56" s="15"/>
    </row>
    <row r="57" spans="1:5" ht="13.2">
      <c r="A57" s="104"/>
      <c r="B57" s="104"/>
      <c r="E57" s="15"/>
    </row>
    <row r="58" spans="1:5" ht="13.2">
      <c r="A58" s="104"/>
      <c r="B58" s="104"/>
      <c r="E58" s="15"/>
    </row>
    <row r="59" spans="1:5" ht="13.2">
      <c r="A59" s="104"/>
      <c r="B59" s="104"/>
      <c r="E59" s="15"/>
    </row>
    <row r="60" spans="1:5" ht="13.2">
      <c r="A60" s="104"/>
      <c r="B60" s="104"/>
      <c r="E60" s="15"/>
    </row>
    <row r="61" spans="1:5" ht="13.2">
      <c r="A61" s="104"/>
      <c r="B61" s="104"/>
      <c r="E61" s="15"/>
    </row>
    <row r="62" spans="1:5" ht="13.2">
      <c r="A62" s="104"/>
      <c r="B62" s="104"/>
      <c r="E62" s="15"/>
    </row>
    <row r="63" spans="1:5" ht="13.2">
      <c r="A63" s="104"/>
      <c r="B63" s="104"/>
      <c r="E63" s="15"/>
    </row>
    <row r="64" spans="1:5" ht="13.2">
      <c r="A64" s="104"/>
      <c r="B64" s="104"/>
      <c r="E64" s="15"/>
    </row>
    <row r="65" spans="1:5" ht="13.2">
      <c r="A65" s="104"/>
      <c r="B65" s="104"/>
      <c r="E65" s="15"/>
    </row>
    <row r="66" spans="1:5" ht="13.2">
      <c r="A66" s="104" t="s">
        <v>1897</v>
      </c>
      <c r="B66" s="104" t="s">
        <v>1898</v>
      </c>
      <c r="E66" s="15"/>
    </row>
    <row r="67" spans="1:5" ht="13.2">
      <c r="E67" s="15"/>
    </row>
    <row r="68" spans="1:5" ht="13.2">
      <c r="E68" s="15"/>
    </row>
    <row r="69" spans="1:5" ht="13.2">
      <c r="E69" s="15"/>
    </row>
    <row r="70" spans="1:5" ht="13.2">
      <c r="E70" s="15"/>
    </row>
    <row r="71" spans="1:5" ht="13.2">
      <c r="E71" s="15"/>
    </row>
    <row r="72" spans="1:5" ht="13.2">
      <c r="E72" s="15"/>
    </row>
    <row r="73" spans="1:5" ht="13.2">
      <c r="E73" s="15"/>
    </row>
    <row r="74" spans="1:5" ht="13.2">
      <c r="E74" s="15"/>
    </row>
    <row r="75" spans="1:5" ht="13.2">
      <c r="E75" s="15"/>
    </row>
    <row r="76" spans="1:5" ht="13.2">
      <c r="E76" s="15"/>
    </row>
    <row r="77" spans="1:5" ht="13.2">
      <c r="E77" s="15"/>
    </row>
    <row r="78" spans="1:5" ht="13.2">
      <c r="E78" s="15"/>
    </row>
    <row r="79" spans="1:5" ht="13.2">
      <c r="E79" s="15"/>
    </row>
    <row r="80" spans="1:5" ht="13.2">
      <c r="E80" s="15"/>
    </row>
    <row r="81" spans="5:5" ht="13.2">
      <c r="E81" s="15"/>
    </row>
    <row r="82" spans="5:5" ht="13.2">
      <c r="E82" s="15"/>
    </row>
    <row r="83" spans="5:5" ht="13.2">
      <c r="E83" s="15"/>
    </row>
    <row r="84" spans="5:5" ht="13.2">
      <c r="E84" s="15"/>
    </row>
    <row r="85" spans="5:5" ht="13.2">
      <c r="E85" s="15"/>
    </row>
    <row r="86" spans="5:5" ht="13.2">
      <c r="E86" s="15"/>
    </row>
    <row r="87" spans="5:5" ht="13.2">
      <c r="E87" s="15"/>
    </row>
    <row r="88" spans="5:5" ht="13.2">
      <c r="E88" s="15"/>
    </row>
    <row r="89" spans="5:5" ht="13.2">
      <c r="E89" s="15"/>
    </row>
    <row r="90" spans="5:5" ht="13.2">
      <c r="E90" s="15"/>
    </row>
    <row r="91" spans="5:5" ht="13.2">
      <c r="E91" s="15"/>
    </row>
    <row r="92" spans="5:5" ht="13.2">
      <c r="E92" s="15"/>
    </row>
    <row r="93" spans="5:5" ht="13.2">
      <c r="E93" s="15"/>
    </row>
    <row r="94" spans="5:5" ht="13.2">
      <c r="E94" s="15"/>
    </row>
    <row r="95" spans="5:5" ht="13.2">
      <c r="E95" s="15"/>
    </row>
    <row r="96" spans="5:5" ht="13.2">
      <c r="E96" s="15"/>
    </row>
    <row r="97" spans="5:5" ht="13.2">
      <c r="E97" s="15"/>
    </row>
    <row r="98" spans="5:5" ht="13.2">
      <c r="E98" s="15"/>
    </row>
    <row r="99" spans="5:5" ht="13.2">
      <c r="E99" s="15"/>
    </row>
    <row r="100" spans="5:5" ht="13.2">
      <c r="E100" s="15"/>
    </row>
    <row r="101" spans="5:5" ht="13.2">
      <c r="E101" s="15"/>
    </row>
    <row r="102" spans="5:5" ht="13.2">
      <c r="E102" s="15"/>
    </row>
    <row r="103" spans="5:5" ht="13.2">
      <c r="E103" s="15"/>
    </row>
    <row r="104" spans="5:5" ht="13.2">
      <c r="E104" s="15"/>
    </row>
    <row r="105" spans="5:5" ht="13.2">
      <c r="E105" s="15"/>
    </row>
    <row r="106" spans="5:5" ht="13.2">
      <c r="E106" s="15"/>
    </row>
    <row r="107" spans="5:5" ht="13.2">
      <c r="E107" s="15"/>
    </row>
    <row r="108" spans="5:5" ht="13.2">
      <c r="E108" s="15"/>
    </row>
    <row r="109" spans="5:5" ht="13.2">
      <c r="E109" s="15"/>
    </row>
    <row r="110" spans="5:5" ht="13.2">
      <c r="E110" s="15"/>
    </row>
    <row r="111" spans="5:5" ht="13.2">
      <c r="E111" s="15"/>
    </row>
    <row r="112" spans="5:5" ht="13.2">
      <c r="E112" s="15"/>
    </row>
    <row r="113" spans="5:5" ht="13.2">
      <c r="E113" s="15"/>
    </row>
    <row r="114" spans="5:5" ht="13.2">
      <c r="E114" s="15"/>
    </row>
    <row r="115" spans="5:5" ht="13.2">
      <c r="E115" s="15"/>
    </row>
    <row r="116" spans="5:5" ht="13.2">
      <c r="E116" s="15"/>
    </row>
    <row r="117" spans="5:5" ht="13.2">
      <c r="E117" s="15"/>
    </row>
    <row r="118" spans="5:5" ht="13.2">
      <c r="E118" s="15"/>
    </row>
    <row r="119" spans="5:5" ht="13.2">
      <c r="E119" s="15"/>
    </row>
    <row r="120" spans="5:5" ht="13.2">
      <c r="E120" s="15"/>
    </row>
    <row r="121" spans="5:5" ht="13.2">
      <c r="E121" s="15"/>
    </row>
    <row r="122" spans="5:5" ht="13.2">
      <c r="E122" s="15"/>
    </row>
    <row r="123" spans="5:5" ht="13.2">
      <c r="E123" s="15"/>
    </row>
    <row r="124" spans="5:5" ht="13.2">
      <c r="E124" s="15"/>
    </row>
    <row r="125" spans="5:5" ht="13.2">
      <c r="E125" s="15"/>
    </row>
    <row r="126" spans="5:5" ht="13.2">
      <c r="E126" s="15"/>
    </row>
    <row r="127" spans="5:5" ht="13.2">
      <c r="E127" s="15"/>
    </row>
    <row r="128" spans="5:5" ht="13.2">
      <c r="E128" s="15"/>
    </row>
    <row r="129" spans="5:5" ht="13.2">
      <c r="E129" s="15"/>
    </row>
    <row r="130" spans="5:5" ht="13.2">
      <c r="E130" s="15"/>
    </row>
    <row r="131" spans="5:5" ht="13.2">
      <c r="E131" s="15"/>
    </row>
    <row r="132" spans="5:5" ht="13.2">
      <c r="E132" s="15"/>
    </row>
    <row r="133" spans="5:5" ht="13.2">
      <c r="E133" s="15"/>
    </row>
    <row r="134" spans="5:5" ht="13.2">
      <c r="E134" s="15"/>
    </row>
    <row r="135" spans="5:5" ht="13.2">
      <c r="E135" s="15"/>
    </row>
    <row r="136" spans="5:5" ht="13.2">
      <c r="E136" s="15"/>
    </row>
    <row r="137" spans="5:5" ht="13.2">
      <c r="E137" s="15"/>
    </row>
    <row r="138" spans="5:5" ht="13.2">
      <c r="E138" s="15"/>
    </row>
    <row r="139" spans="5:5" ht="13.2">
      <c r="E139" s="15"/>
    </row>
    <row r="140" spans="5:5" ht="13.2">
      <c r="E140" s="15"/>
    </row>
    <row r="141" spans="5:5" ht="13.2">
      <c r="E141" s="15"/>
    </row>
    <row r="142" spans="5:5" ht="13.2">
      <c r="E142" s="15"/>
    </row>
    <row r="143" spans="5:5" ht="13.2">
      <c r="E143" s="15"/>
    </row>
    <row r="144" spans="5:5" ht="13.2">
      <c r="E144" s="15"/>
    </row>
    <row r="145" spans="5:5" ht="13.2">
      <c r="E145" s="15"/>
    </row>
    <row r="146" spans="5:5" ht="13.2">
      <c r="E146" s="15"/>
    </row>
    <row r="147" spans="5:5" ht="13.2">
      <c r="E147" s="15"/>
    </row>
    <row r="148" spans="5:5" ht="13.2">
      <c r="E148" s="15"/>
    </row>
    <row r="149" spans="5:5" ht="13.2">
      <c r="E149" s="15"/>
    </row>
    <row r="150" spans="5:5" ht="13.2">
      <c r="E150" s="15"/>
    </row>
    <row r="151" spans="5:5" ht="13.2">
      <c r="E151" s="15"/>
    </row>
    <row r="152" spans="5:5" ht="13.2">
      <c r="E152" s="15"/>
    </row>
    <row r="153" spans="5:5" ht="13.2">
      <c r="E153" s="15"/>
    </row>
    <row r="154" spans="5:5" ht="13.2">
      <c r="E154" s="15"/>
    </row>
    <row r="155" spans="5:5" ht="13.2">
      <c r="E155" s="15"/>
    </row>
    <row r="156" spans="5:5" ht="13.2">
      <c r="E156" s="15"/>
    </row>
    <row r="157" spans="5:5" ht="13.2">
      <c r="E157" s="15"/>
    </row>
    <row r="158" spans="5:5" ht="13.2">
      <c r="E158" s="15"/>
    </row>
    <row r="159" spans="5:5" ht="13.2">
      <c r="E159" s="15"/>
    </row>
    <row r="160" spans="5:5" ht="13.2">
      <c r="E160" s="15"/>
    </row>
    <row r="161" spans="5:5" ht="13.2">
      <c r="E161" s="15"/>
    </row>
    <row r="162" spans="5:5" ht="13.2">
      <c r="E162" s="15"/>
    </row>
    <row r="163" spans="5:5" ht="13.2">
      <c r="E163" s="15"/>
    </row>
    <row r="164" spans="5:5" ht="13.2">
      <c r="E164" s="15"/>
    </row>
    <row r="165" spans="5:5" ht="13.2">
      <c r="E165" s="15"/>
    </row>
    <row r="166" spans="5:5" ht="13.2">
      <c r="E166" s="15"/>
    </row>
    <row r="167" spans="5:5" ht="13.2">
      <c r="E167" s="15"/>
    </row>
    <row r="168" spans="5:5" ht="13.2">
      <c r="E168" s="15"/>
    </row>
    <row r="169" spans="5:5" ht="13.2">
      <c r="E169" s="15"/>
    </row>
    <row r="170" spans="5:5" ht="13.2">
      <c r="E170" s="15"/>
    </row>
    <row r="171" spans="5:5" ht="13.2">
      <c r="E171" s="15"/>
    </row>
    <row r="172" spans="5:5" ht="13.2">
      <c r="E172" s="15"/>
    </row>
    <row r="173" spans="5:5" ht="13.2">
      <c r="E173" s="15"/>
    </row>
    <row r="174" spans="5:5" ht="13.2">
      <c r="E174" s="15"/>
    </row>
    <row r="175" spans="5:5" ht="13.2">
      <c r="E175" s="15"/>
    </row>
    <row r="176" spans="5:5" ht="13.2">
      <c r="E176" s="15"/>
    </row>
    <row r="177" spans="5:5" ht="13.2">
      <c r="E177" s="15"/>
    </row>
    <row r="178" spans="5:5" ht="13.2">
      <c r="E178" s="15"/>
    </row>
    <row r="179" spans="5:5" ht="13.2">
      <c r="E179" s="15"/>
    </row>
    <row r="180" spans="5:5" ht="13.2">
      <c r="E180" s="15"/>
    </row>
    <row r="181" spans="5:5" ht="13.2">
      <c r="E181" s="15"/>
    </row>
    <row r="182" spans="5:5" ht="13.2">
      <c r="E182" s="15"/>
    </row>
    <row r="183" spans="5:5" ht="13.2">
      <c r="E183" s="15"/>
    </row>
    <row r="184" spans="5:5" ht="13.2">
      <c r="E184" s="15"/>
    </row>
    <row r="185" spans="5:5" ht="13.2">
      <c r="E185" s="15"/>
    </row>
    <row r="186" spans="5:5" ht="13.2">
      <c r="E186" s="15"/>
    </row>
    <row r="187" spans="5:5" ht="13.2">
      <c r="E187" s="15"/>
    </row>
    <row r="188" spans="5:5" ht="13.2">
      <c r="E188" s="15"/>
    </row>
    <row r="189" spans="5:5" ht="13.2">
      <c r="E189" s="15"/>
    </row>
    <row r="190" spans="5:5" ht="13.2">
      <c r="E190" s="15"/>
    </row>
    <row r="191" spans="5:5" ht="13.2">
      <c r="E191" s="15"/>
    </row>
    <row r="192" spans="5:5" ht="13.2">
      <c r="E192" s="15"/>
    </row>
    <row r="193" spans="5:5" ht="13.2">
      <c r="E193" s="15"/>
    </row>
    <row r="194" spans="5:5" ht="13.2">
      <c r="E194" s="15"/>
    </row>
    <row r="195" spans="5:5" ht="13.2">
      <c r="E195" s="15"/>
    </row>
    <row r="196" spans="5:5" ht="13.2">
      <c r="E196" s="15"/>
    </row>
    <row r="197" spans="5:5" ht="13.2">
      <c r="E197" s="15"/>
    </row>
    <row r="198" spans="5:5" ht="13.2">
      <c r="E198" s="15"/>
    </row>
    <row r="199" spans="5:5" ht="13.2">
      <c r="E199" s="15"/>
    </row>
    <row r="200" spans="5:5" ht="13.2">
      <c r="E200" s="15"/>
    </row>
    <row r="201" spans="5:5" ht="13.2">
      <c r="E201" s="15"/>
    </row>
    <row r="202" spans="5:5" ht="13.2">
      <c r="E202" s="15"/>
    </row>
    <row r="203" spans="5:5" ht="13.2">
      <c r="E203" s="15"/>
    </row>
    <row r="204" spans="5:5" ht="13.2">
      <c r="E204" s="15"/>
    </row>
    <row r="205" spans="5:5" ht="13.2">
      <c r="E205" s="15"/>
    </row>
    <row r="206" spans="5:5" ht="13.2">
      <c r="E206" s="15"/>
    </row>
    <row r="207" spans="5:5" ht="13.2">
      <c r="E207" s="15"/>
    </row>
    <row r="208" spans="5:5" ht="13.2">
      <c r="E208" s="15"/>
    </row>
    <row r="209" spans="5:5" ht="13.2">
      <c r="E209" s="15"/>
    </row>
    <row r="210" spans="5:5" ht="13.2">
      <c r="E210" s="15"/>
    </row>
    <row r="211" spans="5:5" ht="13.2">
      <c r="E211" s="15"/>
    </row>
    <row r="212" spans="5:5" ht="13.2">
      <c r="E212" s="15"/>
    </row>
    <row r="213" spans="5:5" ht="13.2">
      <c r="E213" s="15"/>
    </row>
    <row r="214" spans="5:5" ht="13.2">
      <c r="E214" s="15"/>
    </row>
    <row r="215" spans="5:5" ht="13.2">
      <c r="E215" s="15"/>
    </row>
    <row r="216" spans="5:5" ht="13.2">
      <c r="E216" s="15"/>
    </row>
    <row r="217" spans="5:5" ht="13.2">
      <c r="E217" s="15"/>
    </row>
    <row r="218" spans="5:5" ht="13.2">
      <c r="E218" s="15"/>
    </row>
    <row r="219" spans="5:5" ht="13.2">
      <c r="E219" s="15"/>
    </row>
    <row r="220" spans="5:5" ht="13.2">
      <c r="E220" s="15"/>
    </row>
    <row r="221" spans="5:5" ht="13.2">
      <c r="E221" s="15"/>
    </row>
    <row r="222" spans="5:5" ht="13.2">
      <c r="E222" s="15"/>
    </row>
    <row r="223" spans="5:5" ht="13.2">
      <c r="E223" s="15"/>
    </row>
    <row r="224" spans="5:5" ht="13.2">
      <c r="E224" s="15"/>
    </row>
    <row r="225" spans="5:5" ht="13.2">
      <c r="E225" s="15"/>
    </row>
    <row r="226" spans="5:5" ht="13.2">
      <c r="E226" s="15"/>
    </row>
    <row r="227" spans="5:5" ht="13.2">
      <c r="E227" s="15"/>
    </row>
    <row r="228" spans="5:5" ht="13.2">
      <c r="E228" s="15"/>
    </row>
    <row r="229" spans="5:5" ht="13.2">
      <c r="E229" s="15"/>
    </row>
    <row r="230" spans="5:5" ht="13.2">
      <c r="E230" s="15"/>
    </row>
    <row r="231" spans="5:5" ht="13.2">
      <c r="E231" s="15"/>
    </row>
    <row r="232" spans="5:5" ht="13.2">
      <c r="E232" s="15"/>
    </row>
    <row r="233" spans="5:5" ht="13.2">
      <c r="E233" s="15"/>
    </row>
    <row r="234" spans="5:5" ht="13.2">
      <c r="E234" s="15"/>
    </row>
    <row r="235" spans="5:5" ht="13.2">
      <c r="E235" s="15"/>
    </row>
    <row r="236" spans="5:5" ht="13.2">
      <c r="E236" s="15"/>
    </row>
    <row r="237" spans="5:5" ht="13.2">
      <c r="E237" s="15"/>
    </row>
    <row r="238" spans="5:5" ht="13.2">
      <c r="E238" s="15"/>
    </row>
    <row r="239" spans="5:5" ht="13.2">
      <c r="E239" s="15"/>
    </row>
    <row r="240" spans="5:5" ht="13.2">
      <c r="E240" s="15"/>
    </row>
    <row r="241" spans="5:5" ht="13.2">
      <c r="E241" s="15"/>
    </row>
    <row r="242" spans="5:5" ht="13.2">
      <c r="E242" s="15"/>
    </row>
    <row r="243" spans="5:5" ht="13.2">
      <c r="E243" s="15"/>
    </row>
    <row r="244" spans="5:5" ht="13.2">
      <c r="E244" s="15"/>
    </row>
    <row r="245" spans="5:5" ht="13.2">
      <c r="E245" s="15"/>
    </row>
    <row r="246" spans="5:5" ht="13.2">
      <c r="E246" s="15"/>
    </row>
    <row r="247" spans="5:5" ht="13.2">
      <c r="E247" s="15"/>
    </row>
    <row r="248" spans="5:5" ht="13.2">
      <c r="E248" s="15"/>
    </row>
    <row r="249" spans="5:5" ht="13.2">
      <c r="E249" s="15"/>
    </row>
    <row r="250" spans="5:5" ht="13.2">
      <c r="E250" s="15"/>
    </row>
    <row r="251" spans="5:5" ht="13.2">
      <c r="E251" s="15"/>
    </row>
    <row r="252" spans="5:5" ht="13.2">
      <c r="E252" s="15"/>
    </row>
    <row r="253" spans="5:5" ht="13.2">
      <c r="E253" s="15"/>
    </row>
    <row r="254" spans="5:5" ht="13.2">
      <c r="E254" s="15"/>
    </row>
    <row r="255" spans="5:5" ht="13.2">
      <c r="E255" s="15"/>
    </row>
    <row r="256" spans="5:5" ht="13.2">
      <c r="E256" s="15"/>
    </row>
    <row r="257" spans="5:5" ht="13.2">
      <c r="E257" s="15"/>
    </row>
    <row r="258" spans="5:5" ht="13.2">
      <c r="E258" s="15"/>
    </row>
    <row r="259" spans="5:5" ht="13.2">
      <c r="E259" s="15"/>
    </row>
    <row r="260" spans="5:5" ht="13.2">
      <c r="E260" s="15"/>
    </row>
    <row r="261" spans="5:5" ht="13.2">
      <c r="E261" s="15"/>
    </row>
    <row r="262" spans="5:5" ht="13.2">
      <c r="E262" s="15"/>
    </row>
    <row r="263" spans="5:5" ht="13.2">
      <c r="E263" s="15"/>
    </row>
    <row r="264" spans="5:5" ht="13.2">
      <c r="E264" s="15"/>
    </row>
    <row r="265" spans="5:5" ht="13.2">
      <c r="E265" s="15"/>
    </row>
    <row r="266" spans="5:5" ht="13.2">
      <c r="E266" s="15"/>
    </row>
    <row r="267" spans="5:5" ht="13.2">
      <c r="E267" s="15"/>
    </row>
    <row r="268" spans="5:5" ht="13.2">
      <c r="E268" s="15"/>
    </row>
    <row r="269" spans="5:5" ht="13.2">
      <c r="E269" s="15"/>
    </row>
    <row r="270" spans="5:5" ht="13.2">
      <c r="E270" s="15"/>
    </row>
    <row r="271" spans="5:5" ht="13.2">
      <c r="E271" s="15"/>
    </row>
    <row r="272" spans="5:5" ht="13.2">
      <c r="E272" s="15"/>
    </row>
    <row r="273" spans="5:5" ht="13.2">
      <c r="E273" s="15"/>
    </row>
    <row r="274" spans="5:5" ht="13.2">
      <c r="E274" s="15"/>
    </row>
    <row r="275" spans="5:5" ht="13.2">
      <c r="E275" s="15"/>
    </row>
    <row r="276" spans="5:5" ht="13.2">
      <c r="E276" s="15"/>
    </row>
    <row r="277" spans="5:5" ht="13.2">
      <c r="E277" s="15"/>
    </row>
    <row r="278" spans="5:5" ht="13.2">
      <c r="E278" s="15"/>
    </row>
    <row r="279" spans="5:5" ht="13.2">
      <c r="E279" s="15"/>
    </row>
    <row r="280" spans="5:5" ht="13.2">
      <c r="E280" s="15"/>
    </row>
    <row r="281" spans="5:5" ht="13.2">
      <c r="E281" s="15"/>
    </row>
    <row r="282" spans="5:5" ht="13.2">
      <c r="E282" s="15"/>
    </row>
    <row r="283" spans="5:5" ht="13.2">
      <c r="E283" s="15"/>
    </row>
    <row r="284" spans="5:5" ht="13.2">
      <c r="E284" s="15"/>
    </row>
    <row r="285" spans="5:5" ht="13.2">
      <c r="E285" s="15"/>
    </row>
    <row r="286" spans="5:5" ht="13.2">
      <c r="E286" s="15"/>
    </row>
    <row r="287" spans="5:5" ht="13.2">
      <c r="E287" s="15"/>
    </row>
    <row r="288" spans="5:5" ht="13.2">
      <c r="E288" s="15"/>
    </row>
    <row r="289" spans="5:5" ht="13.2">
      <c r="E289" s="15"/>
    </row>
    <row r="290" spans="5:5" ht="13.2">
      <c r="E290" s="15"/>
    </row>
    <row r="291" spans="5:5" ht="13.2">
      <c r="E291" s="15"/>
    </row>
    <row r="292" spans="5:5" ht="13.2">
      <c r="E292" s="15"/>
    </row>
    <row r="293" spans="5:5" ht="13.2">
      <c r="E293" s="15"/>
    </row>
    <row r="294" spans="5:5" ht="13.2">
      <c r="E294" s="15"/>
    </row>
    <row r="295" spans="5:5" ht="13.2">
      <c r="E295" s="15"/>
    </row>
    <row r="296" spans="5:5" ht="13.2">
      <c r="E296" s="15"/>
    </row>
    <row r="297" spans="5:5" ht="13.2">
      <c r="E297" s="15"/>
    </row>
    <row r="298" spans="5:5" ht="13.2">
      <c r="E298" s="15"/>
    </row>
    <row r="299" spans="5:5" ht="13.2">
      <c r="E299" s="15"/>
    </row>
    <row r="300" spans="5:5" ht="13.2">
      <c r="E300" s="15"/>
    </row>
    <row r="301" spans="5:5" ht="13.2">
      <c r="E301" s="15"/>
    </row>
    <row r="302" spans="5:5" ht="13.2">
      <c r="E302" s="15"/>
    </row>
    <row r="303" spans="5:5" ht="13.2">
      <c r="E303" s="15"/>
    </row>
    <row r="304" spans="5:5" ht="13.2">
      <c r="E304" s="15"/>
    </row>
    <row r="305" spans="5:5" ht="13.2">
      <c r="E305" s="15"/>
    </row>
    <row r="306" spans="5:5" ht="13.2">
      <c r="E306" s="15"/>
    </row>
    <row r="307" spans="5:5" ht="13.2">
      <c r="E307" s="15"/>
    </row>
    <row r="308" spans="5:5" ht="13.2">
      <c r="E308" s="15"/>
    </row>
    <row r="309" spans="5:5" ht="13.2">
      <c r="E309" s="15"/>
    </row>
    <row r="310" spans="5:5" ht="13.2">
      <c r="E310" s="15"/>
    </row>
    <row r="311" spans="5:5" ht="13.2">
      <c r="E311" s="15"/>
    </row>
    <row r="312" spans="5:5" ht="13.2">
      <c r="E312" s="15"/>
    </row>
    <row r="313" spans="5:5" ht="13.2">
      <c r="E313" s="15"/>
    </row>
    <row r="314" spans="5:5" ht="13.2">
      <c r="E314" s="15"/>
    </row>
    <row r="315" spans="5:5" ht="13.2">
      <c r="E315" s="15"/>
    </row>
    <row r="316" spans="5:5" ht="13.2">
      <c r="E316" s="15"/>
    </row>
    <row r="317" spans="5:5" ht="13.2">
      <c r="E317" s="15"/>
    </row>
    <row r="318" spans="5:5" ht="13.2">
      <c r="E318" s="15"/>
    </row>
    <row r="319" spans="5:5" ht="13.2">
      <c r="E319" s="15"/>
    </row>
    <row r="320" spans="5:5" ht="13.2">
      <c r="E320" s="15"/>
    </row>
    <row r="321" spans="5:5" ht="13.2">
      <c r="E321" s="15"/>
    </row>
    <row r="322" spans="5:5" ht="13.2">
      <c r="E322" s="15"/>
    </row>
    <row r="323" spans="5:5" ht="13.2">
      <c r="E323" s="15"/>
    </row>
    <row r="324" spans="5:5" ht="13.2">
      <c r="E324" s="15"/>
    </row>
    <row r="325" spans="5:5" ht="13.2">
      <c r="E325" s="15"/>
    </row>
    <row r="326" spans="5:5" ht="13.2">
      <c r="E326" s="15"/>
    </row>
    <row r="327" spans="5:5" ht="13.2">
      <c r="E327" s="15"/>
    </row>
    <row r="328" spans="5:5" ht="13.2">
      <c r="E328" s="15"/>
    </row>
    <row r="329" spans="5:5" ht="13.2">
      <c r="E329" s="15"/>
    </row>
    <row r="330" spans="5:5" ht="13.2">
      <c r="E330" s="15"/>
    </row>
    <row r="331" spans="5:5" ht="13.2">
      <c r="E331" s="15"/>
    </row>
    <row r="332" spans="5:5" ht="13.2">
      <c r="E332" s="15"/>
    </row>
    <row r="333" spans="5:5" ht="13.2">
      <c r="E333" s="15"/>
    </row>
    <row r="334" spans="5:5" ht="13.2">
      <c r="E334" s="15"/>
    </row>
    <row r="335" spans="5:5" ht="13.2">
      <c r="E335" s="15"/>
    </row>
    <row r="336" spans="5:5" ht="13.2">
      <c r="E336" s="15"/>
    </row>
    <row r="337" spans="5:5" ht="13.2">
      <c r="E337" s="15"/>
    </row>
    <row r="338" spans="5:5" ht="13.2">
      <c r="E338" s="15"/>
    </row>
    <row r="339" spans="5:5" ht="13.2">
      <c r="E339" s="15"/>
    </row>
    <row r="340" spans="5:5" ht="13.2">
      <c r="E340" s="15"/>
    </row>
    <row r="341" spans="5:5" ht="13.2">
      <c r="E341" s="15"/>
    </row>
    <row r="342" spans="5:5" ht="13.2">
      <c r="E342" s="15"/>
    </row>
    <row r="343" spans="5:5" ht="13.2">
      <c r="E343" s="15"/>
    </row>
    <row r="344" spans="5:5" ht="13.2">
      <c r="E344" s="15"/>
    </row>
    <row r="345" spans="5:5" ht="13.2">
      <c r="E345" s="15"/>
    </row>
    <row r="346" spans="5:5" ht="13.2">
      <c r="E346" s="15"/>
    </row>
    <row r="347" spans="5:5" ht="13.2">
      <c r="E347" s="15"/>
    </row>
    <row r="348" spans="5:5" ht="13.2">
      <c r="E348" s="15"/>
    </row>
    <row r="349" spans="5:5" ht="13.2">
      <c r="E349" s="15"/>
    </row>
    <row r="350" spans="5:5" ht="13.2">
      <c r="E350" s="15"/>
    </row>
    <row r="351" spans="5:5" ht="13.2">
      <c r="E351" s="15"/>
    </row>
    <row r="352" spans="5:5" ht="13.2">
      <c r="E352" s="15"/>
    </row>
    <row r="353" spans="5:5" ht="13.2">
      <c r="E353" s="15"/>
    </row>
    <row r="354" spans="5:5" ht="13.2">
      <c r="E354" s="15"/>
    </row>
    <row r="355" spans="5:5" ht="13.2">
      <c r="E355" s="15"/>
    </row>
    <row r="356" spans="5:5" ht="13.2">
      <c r="E356" s="15"/>
    </row>
    <row r="357" spans="5:5" ht="13.2">
      <c r="E357" s="15"/>
    </row>
    <row r="358" spans="5:5" ht="13.2">
      <c r="E358" s="15"/>
    </row>
    <row r="359" spans="5:5" ht="13.2">
      <c r="E359" s="15"/>
    </row>
    <row r="360" spans="5:5" ht="13.2">
      <c r="E360" s="15"/>
    </row>
    <row r="361" spans="5:5" ht="13.2">
      <c r="E361" s="15"/>
    </row>
    <row r="362" spans="5:5" ht="13.2">
      <c r="E362" s="15"/>
    </row>
    <row r="363" spans="5:5" ht="13.2">
      <c r="E363" s="15"/>
    </row>
    <row r="364" spans="5:5" ht="13.2">
      <c r="E364" s="15"/>
    </row>
    <row r="365" spans="5:5" ht="13.2">
      <c r="E365" s="15"/>
    </row>
    <row r="366" spans="5:5" ht="13.2">
      <c r="E366" s="15"/>
    </row>
    <row r="367" spans="5:5" ht="13.2">
      <c r="E367" s="15"/>
    </row>
    <row r="368" spans="5:5" ht="13.2">
      <c r="E368" s="15"/>
    </row>
    <row r="369" spans="5:5" ht="13.2">
      <c r="E369" s="15"/>
    </row>
    <row r="370" spans="5:5" ht="13.2">
      <c r="E370" s="15"/>
    </row>
    <row r="371" spans="5:5" ht="13.2">
      <c r="E371" s="15"/>
    </row>
    <row r="372" spans="5:5" ht="13.2">
      <c r="E372" s="15"/>
    </row>
    <row r="373" spans="5:5" ht="13.2">
      <c r="E373" s="15"/>
    </row>
    <row r="374" spans="5:5" ht="13.2">
      <c r="E374" s="15"/>
    </row>
    <row r="375" spans="5:5" ht="13.2">
      <c r="E375" s="15"/>
    </row>
    <row r="376" spans="5:5" ht="13.2">
      <c r="E376" s="15"/>
    </row>
    <row r="377" spans="5:5" ht="13.2">
      <c r="E377" s="15"/>
    </row>
    <row r="378" spans="5:5" ht="13.2">
      <c r="E378" s="15"/>
    </row>
    <row r="379" spans="5:5" ht="13.2">
      <c r="E379" s="15"/>
    </row>
    <row r="380" spans="5:5" ht="13.2">
      <c r="E380" s="15"/>
    </row>
    <row r="381" spans="5:5" ht="13.2">
      <c r="E381" s="15"/>
    </row>
    <row r="382" spans="5:5" ht="13.2">
      <c r="E382" s="15"/>
    </row>
    <row r="383" spans="5:5" ht="13.2">
      <c r="E383" s="15"/>
    </row>
    <row r="384" spans="5:5" ht="13.2">
      <c r="E384" s="15"/>
    </row>
    <row r="385" spans="5:5" ht="13.2">
      <c r="E385" s="15"/>
    </row>
    <row r="386" spans="5:5" ht="13.2">
      <c r="E386" s="15"/>
    </row>
    <row r="387" spans="5:5" ht="13.2">
      <c r="E387" s="15"/>
    </row>
    <row r="388" spans="5:5" ht="13.2">
      <c r="E388" s="15"/>
    </row>
    <row r="389" spans="5:5" ht="13.2">
      <c r="E389" s="15"/>
    </row>
    <row r="390" spans="5:5" ht="13.2">
      <c r="E390" s="15"/>
    </row>
    <row r="391" spans="5:5" ht="13.2">
      <c r="E391" s="15"/>
    </row>
    <row r="392" spans="5:5" ht="13.2">
      <c r="E392" s="15"/>
    </row>
    <row r="393" spans="5:5" ht="13.2">
      <c r="E393" s="15"/>
    </row>
    <row r="394" spans="5:5" ht="13.2">
      <c r="E394" s="15"/>
    </row>
    <row r="395" spans="5:5" ht="13.2">
      <c r="E395" s="15"/>
    </row>
    <row r="396" spans="5:5" ht="13.2">
      <c r="E396" s="15"/>
    </row>
    <row r="397" spans="5:5" ht="13.2">
      <c r="E397" s="15"/>
    </row>
    <row r="398" spans="5:5" ht="13.2">
      <c r="E398" s="15"/>
    </row>
    <row r="399" spans="5:5" ht="13.2">
      <c r="E399" s="15"/>
    </row>
    <row r="400" spans="5:5" ht="13.2">
      <c r="E400" s="15"/>
    </row>
    <row r="401" spans="5:5" ht="13.2">
      <c r="E401" s="15"/>
    </row>
    <row r="402" spans="5:5" ht="13.2">
      <c r="E402" s="15"/>
    </row>
    <row r="403" spans="5:5" ht="13.2">
      <c r="E403" s="15"/>
    </row>
    <row r="404" spans="5:5" ht="13.2">
      <c r="E404" s="15"/>
    </row>
    <row r="405" spans="5:5" ht="13.2">
      <c r="E405" s="15"/>
    </row>
    <row r="406" spans="5:5" ht="13.2">
      <c r="E406" s="15"/>
    </row>
    <row r="407" spans="5:5" ht="13.2">
      <c r="E407" s="15"/>
    </row>
    <row r="408" spans="5:5" ht="13.2">
      <c r="E408" s="15"/>
    </row>
    <row r="409" spans="5:5" ht="13.2">
      <c r="E409" s="15"/>
    </row>
    <row r="410" spans="5:5" ht="13.2">
      <c r="E410" s="15"/>
    </row>
    <row r="411" spans="5:5" ht="13.2">
      <c r="E411" s="15"/>
    </row>
    <row r="412" spans="5:5" ht="13.2">
      <c r="E412" s="15"/>
    </row>
    <row r="413" spans="5:5" ht="13.2">
      <c r="E413" s="15"/>
    </row>
    <row r="414" spans="5:5" ht="13.2">
      <c r="E414" s="15"/>
    </row>
    <row r="415" spans="5:5" ht="13.2">
      <c r="E415" s="15"/>
    </row>
    <row r="416" spans="5:5" ht="13.2">
      <c r="E416" s="15"/>
    </row>
    <row r="417" spans="5:5" ht="13.2">
      <c r="E417" s="15"/>
    </row>
    <row r="418" spans="5:5" ht="13.2">
      <c r="E418" s="15"/>
    </row>
    <row r="419" spans="5:5" ht="13.2">
      <c r="E419" s="15"/>
    </row>
    <row r="420" spans="5:5" ht="13.2">
      <c r="E420" s="15"/>
    </row>
    <row r="421" spans="5:5" ht="13.2">
      <c r="E421" s="15"/>
    </row>
    <row r="422" spans="5:5" ht="13.2">
      <c r="E422" s="15"/>
    </row>
    <row r="423" spans="5:5" ht="13.2">
      <c r="E423" s="15"/>
    </row>
    <row r="424" spans="5:5" ht="13.2">
      <c r="E424" s="15"/>
    </row>
    <row r="425" spans="5:5" ht="13.2">
      <c r="E425" s="15"/>
    </row>
    <row r="426" spans="5:5" ht="13.2">
      <c r="E426" s="15"/>
    </row>
    <row r="427" spans="5:5" ht="13.2">
      <c r="E427" s="15"/>
    </row>
    <row r="428" spans="5:5" ht="13.2">
      <c r="E428" s="15"/>
    </row>
    <row r="429" spans="5:5" ht="13.2">
      <c r="E429" s="15"/>
    </row>
    <row r="430" spans="5:5" ht="13.2">
      <c r="E430" s="15"/>
    </row>
    <row r="431" spans="5:5" ht="13.2">
      <c r="E431" s="15"/>
    </row>
    <row r="432" spans="5:5" ht="13.2">
      <c r="E432" s="15"/>
    </row>
    <row r="433" spans="5:5" ht="13.2">
      <c r="E433" s="15"/>
    </row>
    <row r="434" spans="5:5" ht="13.2">
      <c r="E434" s="15"/>
    </row>
    <row r="435" spans="5:5" ht="13.2">
      <c r="E435" s="15"/>
    </row>
    <row r="436" spans="5:5" ht="13.2">
      <c r="E436" s="15"/>
    </row>
    <row r="437" spans="5:5" ht="13.2">
      <c r="E437" s="15"/>
    </row>
    <row r="438" spans="5:5" ht="13.2">
      <c r="E438" s="15"/>
    </row>
    <row r="439" spans="5:5" ht="13.2">
      <c r="E439" s="15"/>
    </row>
    <row r="440" spans="5:5" ht="13.2">
      <c r="E440" s="15"/>
    </row>
    <row r="441" spans="5:5" ht="13.2">
      <c r="E441" s="15"/>
    </row>
    <row r="442" spans="5:5" ht="13.2">
      <c r="E442" s="15"/>
    </row>
    <row r="443" spans="5:5" ht="13.2">
      <c r="E443" s="15"/>
    </row>
    <row r="444" spans="5:5" ht="13.2">
      <c r="E444" s="15"/>
    </row>
    <row r="445" spans="5:5" ht="13.2">
      <c r="E445" s="15"/>
    </row>
    <row r="446" spans="5:5" ht="13.2">
      <c r="E446" s="15"/>
    </row>
    <row r="447" spans="5:5" ht="13.2">
      <c r="E447" s="15"/>
    </row>
    <row r="448" spans="5:5" ht="13.2">
      <c r="E448" s="15"/>
    </row>
    <row r="449" spans="5:5" ht="13.2">
      <c r="E449" s="15"/>
    </row>
    <row r="450" spans="5:5" ht="13.2">
      <c r="E450" s="15"/>
    </row>
    <row r="451" spans="5:5" ht="13.2">
      <c r="E451" s="15"/>
    </row>
    <row r="452" spans="5:5" ht="13.2">
      <c r="E452" s="15"/>
    </row>
    <row r="453" spans="5:5" ht="13.2">
      <c r="E453" s="15"/>
    </row>
    <row r="454" spans="5:5" ht="13.2">
      <c r="E454" s="15"/>
    </row>
    <row r="455" spans="5:5" ht="13.2">
      <c r="E455" s="15"/>
    </row>
    <row r="456" spans="5:5" ht="13.2">
      <c r="E456" s="15"/>
    </row>
    <row r="457" spans="5:5" ht="13.2">
      <c r="E457" s="15"/>
    </row>
    <row r="458" spans="5:5" ht="13.2">
      <c r="E458" s="15"/>
    </row>
    <row r="459" spans="5:5" ht="13.2">
      <c r="E459" s="15"/>
    </row>
    <row r="460" spans="5:5" ht="13.2">
      <c r="E460" s="15"/>
    </row>
    <row r="461" spans="5:5" ht="13.2">
      <c r="E461" s="15"/>
    </row>
    <row r="462" spans="5:5" ht="13.2">
      <c r="E462" s="15"/>
    </row>
    <row r="463" spans="5:5" ht="13.2">
      <c r="E463" s="15"/>
    </row>
    <row r="464" spans="5:5" ht="13.2">
      <c r="E464" s="15"/>
    </row>
    <row r="465" spans="5:5" ht="13.2">
      <c r="E465" s="15"/>
    </row>
    <row r="466" spans="5:5" ht="13.2">
      <c r="E466" s="15"/>
    </row>
    <row r="467" spans="5:5" ht="13.2">
      <c r="E467" s="15"/>
    </row>
    <row r="468" spans="5:5" ht="13.2">
      <c r="E468" s="15"/>
    </row>
    <row r="469" spans="5:5" ht="13.2">
      <c r="E469" s="15"/>
    </row>
    <row r="470" spans="5:5" ht="13.2">
      <c r="E470" s="15"/>
    </row>
    <row r="471" spans="5:5" ht="13.2">
      <c r="E471" s="15"/>
    </row>
    <row r="472" spans="5:5" ht="13.2">
      <c r="E472" s="15"/>
    </row>
    <row r="473" spans="5:5" ht="13.2">
      <c r="E473" s="15"/>
    </row>
    <row r="474" spans="5:5" ht="13.2">
      <c r="E474" s="15"/>
    </row>
    <row r="475" spans="5:5" ht="13.2">
      <c r="E475" s="15"/>
    </row>
    <row r="476" spans="5:5" ht="13.2">
      <c r="E476" s="15"/>
    </row>
    <row r="477" spans="5:5" ht="13.2">
      <c r="E477" s="15"/>
    </row>
    <row r="478" spans="5:5" ht="13.2">
      <c r="E478" s="15"/>
    </row>
    <row r="479" spans="5:5" ht="13.2">
      <c r="E479" s="15"/>
    </row>
    <row r="480" spans="5:5" ht="13.2">
      <c r="E480" s="15"/>
    </row>
    <row r="481" spans="5:5" ht="13.2">
      <c r="E481" s="15"/>
    </row>
    <row r="482" spans="5:5" ht="13.2">
      <c r="E482" s="15"/>
    </row>
    <row r="483" spans="5:5" ht="13.2">
      <c r="E483" s="15"/>
    </row>
    <row r="484" spans="5:5" ht="13.2">
      <c r="E484" s="15"/>
    </row>
    <row r="485" spans="5:5" ht="13.2">
      <c r="E485" s="15"/>
    </row>
    <row r="486" spans="5:5" ht="13.2">
      <c r="E486" s="15"/>
    </row>
    <row r="487" spans="5:5" ht="13.2">
      <c r="E487" s="15"/>
    </row>
    <row r="488" spans="5:5" ht="13.2">
      <c r="E488" s="15"/>
    </row>
    <row r="489" spans="5:5" ht="13.2">
      <c r="E489" s="15"/>
    </row>
    <row r="490" spans="5:5" ht="13.2">
      <c r="E490" s="15"/>
    </row>
    <row r="491" spans="5:5" ht="13.2">
      <c r="E491" s="15"/>
    </row>
    <row r="492" spans="5:5" ht="13.2">
      <c r="E492" s="15"/>
    </row>
    <row r="493" spans="5:5" ht="13.2">
      <c r="E493" s="15"/>
    </row>
    <row r="494" spans="5:5" ht="13.2">
      <c r="E494" s="15"/>
    </row>
    <row r="495" spans="5:5" ht="13.2">
      <c r="E495" s="15"/>
    </row>
    <row r="496" spans="5:5" ht="13.2">
      <c r="E496" s="15"/>
    </row>
    <row r="497" spans="5:5" ht="13.2">
      <c r="E497" s="15"/>
    </row>
    <row r="498" spans="5:5" ht="13.2">
      <c r="E498" s="15"/>
    </row>
    <row r="499" spans="5:5" ht="13.2">
      <c r="E499" s="15"/>
    </row>
    <row r="500" spans="5:5" ht="13.2">
      <c r="E500" s="15"/>
    </row>
    <row r="501" spans="5:5" ht="13.2">
      <c r="E501" s="15"/>
    </row>
    <row r="502" spans="5:5" ht="13.2">
      <c r="E502" s="15"/>
    </row>
    <row r="503" spans="5:5" ht="13.2">
      <c r="E503" s="15"/>
    </row>
    <row r="504" spans="5:5" ht="13.2">
      <c r="E504" s="15"/>
    </row>
    <row r="505" spans="5:5" ht="13.2">
      <c r="E505" s="15"/>
    </row>
    <row r="506" spans="5:5" ht="13.2">
      <c r="E506" s="15"/>
    </row>
    <row r="507" spans="5:5" ht="13.2">
      <c r="E507" s="15"/>
    </row>
    <row r="508" spans="5:5" ht="13.2">
      <c r="E508" s="15"/>
    </row>
    <row r="509" spans="5:5" ht="13.2">
      <c r="E509" s="15"/>
    </row>
    <row r="510" spans="5:5" ht="13.2">
      <c r="E510" s="15"/>
    </row>
    <row r="511" spans="5:5" ht="13.2">
      <c r="E511" s="15"/>
    </row>
    <row r="512" spans="5:5" ht="13.2">
      <c r="E512" s="15"/>
    </row>
    <row r="513" spans="5:5" ht="13.2">
      <c r="E513" s="15"/>
    </row>
    <row r="514" spans="5:5" ht="13.2">
      <c r="E514" s="15"/>
    </row>
    <row r="515" spans="5:5" ht="13.2">
      <c r="E515" s="15"/>
    </row>
    <row r="516" spans="5:5" ht="13.2">
      <c r="E516" s="15"/>
    </row>
    <row r="517" spans="5:5" ht="13.2">
      <c r="E517" s="15"/>
    </row>
    <row r="518" spans="5:5" ht="13.2">
      <c r="E518" s="15"/>
    </row>
    <row r="519" spans="5:5" ht="13.2">
      <c r="E519" s="15"/>
    </row>
    <row r="520" spans="5:5" ht="13.2">
      <c r="E520" s="15"/>
    </row>
    <row r="521" spans="5:5" ht="13.2">
      <c r="E521" s="15"/>
    </row>
    <row r="522" spans="5:5" ht="13.2">
      <c r="E522" s="15"/>
    </row>
    <row r="523" spans="5:5" ht="13.2">
      <c r="E523" s="15"/>
    </row>
    <row r="524" spans="5:5" ht="13.2">
      <c r="E524" s="15"/>
    </row>
    <row r="525" spans="5:5" ht="13.2">
      <c r="E525" s="15"/>
    </row>
    <row r="526" spans="5:5" ht="13.2">
      <c r="E526" s="15"/>
    </row>
    <row r="527" spans="5:5" ht="13.2">
      <c r="E527" s="15"/>
    </row>
    <row r="528" spans="5:5" ht="13.2">
      <c r="E528" s="15"/>
    </row>
    <row r="529" spans="5:5" ht="13.2">
      <c r="E529" s="15"/>
    </row>
    <row r="530" spans="5:5" ht="13.2">
      <c r="E530" s="15"/>
    </row>
    <row r="531" spans="5:5" ht="13.2">
      <c r="E531" s="15"/>
    </row>
    <row r="532" spans="5:5" ht="13.2">
      <c r="E532" s="15"/>
    </row>
    <row r="533" spans="5:5" ht="13.2">
      <c r="E533" s="15"/>
    </row>
    <row r="534" spans="5:5" ht="13.2">
      <c r="E534" s="15"/>
    </row>
    <row r="535" spans="5:5" ht="13.2">
      <c r="E535" s="15"/>
    </row>
    <row r="536" spans="5:5" ht="13.2">
      <c r="E536" s="15"/>
    </row>
    <row r="537" spans="5:5" ht="13.2">
      <c r="E537" s="15"/>
    </row>
    <row r="538" spans="5:5" ht="13.2">
      <c r="E538" s="15"/>
    </row>
    <row r="539" spans="5:5" ht="13.2">
      <c r="E539" s="15"/>
    </row>
    <row r="540" spans="5:5" ht="13.2">
      <c r="E540" s="15"/>
    </row>
    <row r="541" spans="5:5" ht="13.2">
      <c r="E541" s="15"/>
    </row>
    <row r="542" spans="5:5" ht="13.2">
      <c r="E542" s="15"/>
    </row>
    <row r="543" spans="5:5" ht="13.2">
      <c r="E543" s="15"/>
    </row>
    <row r="544" spans="5:5" ht="13.2">
      <c r="E544" s="15"/>
    </row>
    <row r="545" spans="5:5" ht="13.2">
      <c r="E545" s="15"/>
    </row>
    <row r="546" spans="5:5" ht="13.2">
      <c r="E546" s="15"/>
    </row>
    <row r="547" spans="5:5" ht="13.2">
      <c r="E547" s="15"/>
    </row>
    <row r="548" spans="5:5" ht="13.2">
      <c r="E548" s="15"/>
    </row>
    <row r="549" spans="5:5" ht="13.2">
      <c r="E549" s="15"/>
    </row>
    <row r="550" spans="5:5" ht="13.2">
      <c r="E550" s="15"/>
    </row>
    <row r="551" spans="5:5" ht="13.2">
      <c r="E551" s="15"/>
    </row>
    <row r="552" spans="5:5" ht="13.2">
      <c r="E552" s="15"/>
    </row>
    <row r="553" spans="5:5" ht="13.2">
      <c r="E553" s="15"/>
    </row>
    <row r="554" spans="5:5" ht="13.2">
      <c r="E554" s="15"/>
    </row>
    <row r="555" spans="5:5" ht="13.2">
      <c r="E555" s="15"/>
    </row>
    <row r="556" spans="5:5" ht="13.2">
      <c r="E556" s="15"/>
    </row>
    <row r="557" spans="5:5" ht="13.2">
      <c r="E557" s="15"/>
    </row>
    <row r="558" spans="5:5" ht="13.2">
      <c r="E558" s="15"/>
    </row>
    <row r="559" spans="5:5" ht="13.2">
      <c r="E559" s="15"/>
    </row>
    <row r="560" spans="5:5" ht="13.2">
      <c r="E560" s="15"/>
    </row>
    <row r="561" spans="5:5" ht="13.2">
      <c r="E561" s="15"/>
    </row>
    <row r="562" spans="5:5" ht="13.2">
      <c r="E562" s="15"/>
    </row>
    <row r="563" spans="5:5" ht="13.2">
      <c r="E563" s="15"/>
    </row>
    <row r="564" spans="5:5" ht="13.2">
      <c r="E564" s="15"/>
    </row>
    <row r="565" spans="5:5" ht="13.2">
      <c r="E565" s="15"/>
    </row>
    <row r="566" spans="5:5" ht="13.2">
      <c r="E566" s="15"/>
    </row>
    <row r="567" spans="5:5" ht="13.2">
      <c r="E567" s="15"/>
    </row>
    <row r="568" spans="5:5" ht="13.2">
      <c r="E568" s="15"/>
    </row>
    <row r="569" spans="5:5" ht="13.2">
      <c r="E569" s="15"/>
    </row>
    <row r="570" spans="5:5" ht="13.2">
      <c r="E570" s="15"/>
    </row>
    <row r="571" spans="5:5" ht="13.2">
      <c r="E571" s="15"/>
    </row>
    <row r="572" spans="5:5" ht="13.2">
      <c r="E572" s="15"/>
    </row>
    <row r="573" spans="5:5" ht="13.2">
      <c r="E573" s="15"/>
    </row>
    <row r="574" spans="5:5" ht="13.2">
      <c r="E574" s="15"/>
    </row>
    <row r="575" spans="5:5" ht="13.2">
      <c r="E575" s="15"/>
    </row>
    <row r="576" spans="5:5" ht="13.2">
      <c r="E576" s="15"/>
    </row>
    <row r="577" spans="5:5" ht="13.2">
      <c r="E577" s="15"/>
    </row>
    <row r="578" spans="5:5" ht="13.2">
      <c r="E578" s="15"/>
    </row>
    <row r="579" spans="5:5" ht="13.2">
      <c r="E579" s="15"/>
    </row>
    <row r="580" spans="5:5" ht="13.2">
      <c r="E580" s="15"/>
    </row>
    <row r="581" spans="5:5" ht="13.2">
      <c r="E581" s="15"/>
    </row>
    <row r="582" spans="5:5" ht="13.2">
      <c r="E582" s="15"/>
    </row>
    <row r="583" spans="5:5" ht="13.2">
      <c r="E583" s="15"/>
    </row>
    <row r="584" spans="5:5" ht="13.2">
      <c r="E584" s="15"/>
    </row>
    <row r="585" spans="5:5" ht="13.2">
      <c r="E585" s="15"/>
    </row>
    <row r="586" spans="5:5" ht="13.2">
      <c r="E586" s="15"/>
    </row>
    <row r="587" spans="5:5" ht="13.2">
      <c r="E587" s="15"/>
    </row>
    <row r="588" spans="5:5" ht="13.2">
      <c r="E588" s="15"/>
    </row>
    <row r="589" spans="5:5" ht="13.2">
      <c r="E589" s="15"/>
    </row>
    <row r="590" spans="5:5" ht="13.2">
      <c r="E590" s="15"/>
    </row>
    <row r="591" spans="5:5" ht="13.2">
      <c r="E591" s="15"/>
    </row>
    <row r="592" spans="5:5" ht="13.2">
      <c r="E592" s="15"/>
    </row>
    <row r="593" spans="5:5" ht="13.2">
      <c r="E593" s="15"/>
    </row>
    <row r="594" spans="5:5" ht="13.2">
      <c r="E594" s="15"/>
    </row>
    <row r="595" spans="5:5" ht="13.2">
      <c r="E595" s="15"/>
    </row>
    <row r="596" spans="5:5" ht="13.2">
      <c r="E596" s="15"/>
    </row>
    <row r="597" spans="5:5" ht="13.2">
      <c r="E597" s="15"/>
    </row>
    <row r="598" spans="5:5" ht="13.2">
      <c r="E598" s="15"/>
    </row>
    <row r="599" spans="5:5" ht="13.2">
      <c r="E599" s="15"/>
    </row>
    <row r="600" spans="5:5" ht="13.2">
      <c r="E600" s="15"/>
    </row>
    <row r="601" spans="5:5" ht="13.2">
      <c r="E601" s="15"/>
    </row>
    <row r="602" spans="5:5" ht="13.2">
      <c r="E602" s="15"/>
    </row>
    <row r="603" spans="5:5" ht="13.2">
      <c r="E603" s="15"/>
    </row>
    <row r="604" spans="5:5" ht="13.2">
      <c r="E604" s="15"/>
    </row>
    <row r="605" spans="5:5" ht="13.2">
      <c r="E605" s="15"/>
    </row>
    <row r="606" spans="5:5" ht="13.2">
      <c r="E606" s="15"/>
    </row>
    <row r="607" spans="5:5" ht="13.2">
      <c r="E607" s="15"/>
    </row>
    <row r="608" spans="5:5" ht="13.2">
      <c r="E608" s="15"/>
    </row>
    <row r="609" spans="5:5" ht="13.2">
      <c r="E609" s="15"/>
    </row>
    <row r="610" spans="5:5" ht="13.2">
      <c r="E610" s="15"/>
    </row>
    <row r="611" spans="5:5" ht="13.2">
      <c r="E611" s="15"/>
    </row>
    <row r="612" spans="5:5" ht="13.2">
      <c r="E612" s="15"/>
    </row>
    <row r="613" spans="5:5" ht="13.2">
      <c r="E613" s="15"/>
    </row>
    <row r="614" spans="5:5" ht="13.2">
      <c r="E614" s="15"/>
    </row>
    <row r="615" spans="5:5" ht="13.2">
      <c r="E615" s="15"/>
    </row>
    <row r="616" spans="5:5" ht="13.2">
      <c r="E616" s="15"/>
    </row>
    <row r="617" spans="5:5" ht="13.2">
      <c r="E617" s="15"/>
    </row>
    <row r="618" spans="5:5" ht="13.2">
      <c r="E618" s="15"/>
    </row>
    <row r="619" spans="5:5" ht="13.2">
      <c r="E619" s="15"/>
    </row>
    <row r="620" spans="5:5" ht="13.2">
      <c r="E620" s="15"/>
    </row>
    <row r="621" spans="5:5" ht="13.2">
      <c r="E621" s="15"/>
    </row>
    <row r="622" spans="5:5" ht="13.2">
      <c r="E622" s="15"/>
    </row>
    <row r="623" spans="5:5" ht="13.2">
      <c r="E623" s="15"/>
    </row>
    <row r="624" spans="5:5" ht="13.2">
      <c r="E624" s="15"/>
    </row>
    <row r="625" spans="5:5" ht="13.2">
      <c r="E625" s="15"/>
    </row>
    <row r="626" spans="5:5" ht="13.2">
      <c r="E626" s="15"/>
    </row>
    <row r="627" spans="5:5" ht="13.2">
      <c r="E627" s="15"/>
    </row>
    <row r="628" spans="5:5" ht="13.2">
      <c r="E628" s="15"/>
    </row>
    <row r="629" spans="5:5" ht="13.2">
      <c r="E629" s="15"/>
    </row>
    <row r="630" spans="5:5" ht="13.2">
      <c r="E630" s="15"/>
    </row>
    <row r="631" spans="5:5" ht="13.2">
      <c r="E631" s="15"/>
    </row>
    <row r="632" spans="5:5" ht="13.2">
      <c r="E632" s="15"/>
    </row>
    <row r="633" spans="5:5" ht="13.2">
      <c r="E633" s="15"/>
    </row>
    <row r="634" spans="5:5" ht="13.2">
      <c r="E634" s="15"/>
    </row>
    <row r="635" spans="5:5" ht="13.2">
      <c r="E635" s="15"/>
    </row>
    <row r="636" spans="5:5" ht="13.2">
      <c r="E636" s="15"/>
    </row>
    <row r="637" spans="5:5" ht="13.2">
      <c r="E637" s="15"/>
    </row>
    <row r="638" spans="5:5" ht="13.2">
      <c r="E638" s="15"/>
    </row>
    <row r="639" spans="5:5" ht="13.2">
      <c r="E639" s="15"/>
    </row>
    <row r="640" spans="5:5" ht="13.2">
      <c r="E640" s="15"/>
    </row>
    <row r="641" spans="5:5" ht="13.2">
      <c r="E641" s="15"/>
    </row>
    <row r="642" spans="5:5" ht="13.2">
      <c r="E642" s="15"/>
    </row>
    <row r="643" spans="5:5" ht="13.2">
      <c r="E643" s="15"/>
    </row>
    <row r="644" spans="5:5" ht="13.2">
      <c r="E644" s="15"/>
    </row>
    <row r="645" spans="5:5" ht="13.2">
      <c r="E645" s="15"/>
    </row>
    <row r="646" spans="5:5" ht="13.2">
      <c r="E646" s="15"/>
    </row>
    <row r="647" spans="5:5" ht="13.2">
      <c r="E647" s="15"/>
    </row>
    <row r="648" spans="5:5" ht="13.2">
      <c r="E648" s="15"/>
    </row>
    <row r="649" spans="5:5" ht="13.2">
      <c r="E649" s="15"/>
    </row>
    <row r="650" spans="5:5" ht="13.2">
      <c r="E650" s="15"/>
    </row>
    <row r="651" spans="5:5" ht="13.2">
      <c r="E651" s="15"/>
    </row>
    <row r="652" spans="5:5" ht="13.2">
      <c r="E652" s="15"/>
    </row>
    <row r="653" spans="5:5" ht="13.2">
      <c r="E653" s="15"/>
    </row>
    <row r="654" spans="5:5" ht="13.2">
      <c r="E654" s="15"/>
    </row>
    <row r="655" spans="5:5" ht="13.2">
      <c r="E655" s="15"/>
    </row>
    <row r="656" spans="5:5" ht="13.2">
      <c r="E656" s="15"/>
    </row>
    <row r="657" spans="5:5" ht="13.2">
      <c r="E657" s="15"/>
    </row>
    <row r="658" spans="5:5" ht="13.2">
      <c r="E658" s="15"/>
    </row>
    <row r="659" spans="5:5" ht="13.2">
      <c r="E659" s="15"/>
    </row>
    <row r="660" spans="5:5" ht="13.2">
      <c r="E660" s="15"/>
    </row>
    <row r="661" spans="5:5" ht="13.2">
      <c r="E661" s="15"/>
    </row>
    <row r="662" spans="5:5" ht="13.2">
      <c r="E662" s="15"/>
    </row>
    <row r="663" spans="5:5" ht="13.2">
      <c r="E663" s="15"/>
    </row>
    <row r="664" spans="5:5" ht="13.2">
      <c r="E664" s="15"/>
    </row>
    <row r="665" spans="5:5" ht="13.2">
      <c r="E665" s="15"/>
    </row>
    <row r="666" spans="5:5" ht="13.2">
      <c r="E666" s="15"/>
    </row>
    <row r="667" spans="5:5" ht="13.2">
      <c r="E667" s="15"/>
    </row>
    <row r="668" spans="5:5" ht="13.2">
      <c r="E668" s="15"/>
    </row>
    <row r="669" spans="5:5" ht="13.2">
      <c r="E669" s="15"/>
    </row>
    <row r="670" spans="5:5" ht="13.2">
      <c r="E670" s="15"/>
    </row>
    <row r="671" spans="5:5" ht="13.2">
      <c r="E671" s="15"/>
    </row>
    <row r="672" spans="5:5" ht="13.2">
      <c r="E672" s="15"/>
    </row>
    <row r="673" spans="5:5" ht="13.2">
      <c r="E673" s="15"/>
    </row>
    <row r="674" spans="5:5" ht="13.2">
      <c r="E674" s="15"/>
    </row>
    <row r="675" spans="5:5" ht="13.2">
      <c r="E675" s="15"/>
    </row>
    <row r="676" spans="5:5" ht="13.2">
      <c r="E676" s="15"/>
    </row>
    <row r="677" spans="5:5" ht="13.2">
      <c r="E677" s="15"/>
    </row>
    <row r="678" spans="5:5" ht="13.2">
      <c r="E678" s="15"/>
    </row>
    <row r="679" spans="5:5" ht="13.2">
      <c r="E679" s="15"/>
    </row>
    <row r="680" spans="5:5" ht="13.2">
      <c r="E680" s="15"/>
    </row>
    <row r="681" spans="5:5" ht="13.2">
      <c r="E681" s="15"/>
    </row>
    <row r="682" spans="5:5" ht="13.2">
      <c r="E682" s="15"/>
    </row>
    <row r="683" spans="5:5" ht="13.2">
      <c r="E683" s="15"/>
    </row>
    <row r="684" spans="5:5" ht="13.2">
      <c r="E684" s="15"/>
    </row>
    <row r="685" spans="5:5" ht="13.2">
      <c r="E685" s="15"/>
    </row>
    <row r="686" spans="5:5" ht="13.2">
      <c r="E686" s="15"/>
    </row>
    <row r="687" spans="5:5" ht="13.2">
      <c r="E687" s="15"/>
    </row>
    <row r="688" spans="5:5" ht="13.2">
      <c r="E688" s="15"/>
    </row>
    <row r="689" spans="5:5" ht="13.2">
      <c r="E689" s="15"/>
    </row>
    <row r="690" spans="5:5" ht="13.2">
      <c r="E690" s="15"/>
    </row>
    <row r="691" spans="5:5" ht="13.2">
      <c r="E691" s="15"/>
    </row>
    <row r="692" spans="5:5" ht="13.2">
      <c r="E692" s="15"/>
    </row>
    <row r="693" spans="5:5" ht="13.2">
      <c r="E693" s="15"/>
    </row>
    <row r="694" spans="5:5" ht="13.2">
      <c r="E694" s="15"/>
    </row>
    <row r="695" spans="5:5" ht="13.2">
      <c r="E695" s="15"/>
    </row>
    <row r="696" spans="5:5" ht="13.2">
      <c r="E696" s="15"/>
    </row>
    <row r="697" spans="5:5" ht="13.2">
      <c r="E697" s="15"/>
    </row>
    <row r="698" spans="5:5" ht="13.2">
      <c r="E698" s="15"/>
    </row>
    <row r="699" spans="5:5" ht="13.2">
      <c r="E699" s="15"/>
    </row>
    <row r="700" spans="5:5" ht="13.2">
      <c r="E700" s="15"/>
    </row>
    <row r="701" spans="5:5" ht="13.2">
      <c r="E701" s="15"/>
    </row>
    <row r="702" spans="5:5" ht="13.2">
      <c r="E702" s="15"/>
    </row>
    <row r="703" spans="5:5" ht="13.2">
      <c r="E703" s="15"/>
    </row>
    <row r="704" spans="5:5" ht="13.2">
      <c r="E704" s="15"/>
    </row>
    <row r="705" spans="5:5" ht="13.2">
      <c r="E705" s="15"/>
    </row>
    <row r="706" spans="5:5" ht="13.2">
      <c r="E706" s="15"/>
    </row>
    <row r="707" spans="5:5" ht="13.2">
      <c r="E707" s="15"/>
    </row>
    <row r="708" spans="5:5" ht="13.2">
      <c r="E708" s="15"/>
    </row>
    <row r="709" spans="5:5" ht="13.2">
      <c r="E709" s="15"/>
    </row>
    <row r="710" spans="5:5" ht="13.2">
      <c r="E710" s="15"/>
    </row>
    <row r="711" spans="5:5" ht="13.2">
      <c r="E711" s="15"/>
    </row>
    <row r="712" spans="5:5" ht="13.2">
      <c r="E712" s="15"/>
    </row>
    <row r="713" spans="5:5" ht="13.2">
      <c r="E713" s="15"/>
    </row>
    <row r="714" spans="5:5" ht="13.2">
      <c r="E714" s="15"/>
    </row>
    <row r="715" spans="5:5" ht="13.2">
      <c r="E715" s="15"/>
    </row>
    <row r="716" spans="5:5" ht="13.2">
      <c r="E716" s="15"/>
    </row>
    <row r="717" spans="5:5" ht="13.2">
      <c r="E717" s="15"/>
    </row>
    <row r="718" spans="5:5" ht="13.2">
      <c r="E718" s="15"/>
    </row>
    <row r="719" spans="5:5" ht="13.2">
      <c r="E719" s="15"/>
    </row>
    <row r="720" spans="5:5" ht="13.2">
      <c r="E720" s="15"/>
    </row>
    <row r="721" spans="5:5" ht="13.2">
      <c r="E721" s="15"/>
    </row>
    <row r="722" spans="5:5" ht="13.2">
      <c r="E722" s="15"/>
    </row>
    <row r="723" spans="5:5" ht="13.2">
      <c r="E723" s="15"/>
    </row>
    <row r="724" spans="5:5" ht="13.2">
      <c r="E724" s="15"/>
    </row>
    <row r="725" spans="5:5" ht="13.2">
      <c r="E725" s="15"/>
    </row>
    <row r="726" spans="5:5" ht="13.2">
      <c r="E726" s="15"/>
    </row>
    <row r="727" spans="5:5" ht="13.2">
      <c r="E727" s="15"/>
    </row>
    <row r="728" spans="5:5" ht="13.2">
      <c r="E728" s="15"/>
    </row>
    <row r="729" spans="5:5" ht="13.2">
      <c r="E729" s="15"/>
    </row>
    <row r="730" spans="5:5" ht="13.2">
      <c r="E730" s="15"/>
    </row>
    <row r="731" spans="5:5" ht="13.2">
      <c r="E731" s="15"/>
    </row>
    <row r="732" spans="5:5" ht="13.2">
      <c r="E732" s="15"/>
    </row>
    <row r="733" spans="5:5" ht="13.2">
      <c r="E733" s="15"/>
    </row>
    <row r="734" spans="5:5" ht="13.2">
      <c r="E734" s="15"/>
    </row>
    <row r="735" spans="5:5" ht="13.2">
      <c r="E735" s="15"/>
    </row>
    <row r="736" spans="5:5" ht="13.2">
      <c r="E736" s="15"/>
    </row>
    <row r="737" spans="5:5" ht="13.2">
      <c r="E737" s="15"/>
    </row>
    <row r="738" spans="5:5" ht="13.2">
      <c r="E738" s="15"/>
    </row>
    <row r="739" spans="5:5" ht="13.2">
      <c r="E739" s="15"/>
    </row>
    <row r="740" spans="5:5" ht="13.2">
      <c r="E740" s="15"/>
    </row>
    <row r="741" spans="5:5" ht="13.2">
      <c r="E741" s="15"/>
    </row>
    <row r="742" spans="5:5" ht="13.2">
      <c r="E742" s="15"/>
    </row>
    <row r="743" spans="5:5" ht="13.2">
      <c r="E743" s="15"/>
    </row>
    <row r="744" spans="5:5" ht="13.2">
      <c r="E744" s="15"/>
    </row>
    <row r="745" spans="5:5" ht="13.2">
      <c r="E745" s="15"/>
    </row>
    <row r="746" spans="5:5" ht="13.2">
      <c r="E746" s="15"/>
    </row>
    <row r="747" spans="5:5" ht="13.2">
      <c r="E747" s="15"/>
    </row>
    <row r="748" spans="5:5" ht="13.2">
      <c r="E748" s="15"/>
    </row>
    <row r="749" spans="5:5" ht="13.2">
      <c r="E749" s="15"/>
    </row>
    <row r="750" spans="5:5" ht="13.2">
      <c r="E750" s="15"/>
    </row>
    <row r="751" spans="5:5" ht="13.2">
      <c r="E751" s="15"/>
    </row>
    <row r="752" spans="5:5" ht="13.2">
      <c r="E752" s="15"/>
    </row>
    <row r="753" spans="5:5" ht="13.2">
      <c r="E753" s="15"/>
    </row>
    <row r="754" spans="5:5" ht="13.2">
      <c r="E754" s="15"/>
    </row>
    <row r="755" spans="5:5" ht="13.2">
      <c r="E755" s="15"/>
    </row>
    <row r="756" spans="5:5" ht="13.2">
      <c r="E756" s="15"/>
    </row>
    <row r="757" spans="5:5" ht="13.2">
      <c r="E757" s="15"/>
    </row>
    <row r="758" spans="5:5" ht="13.2">
      <c r="E758" s="15"/>
    </row>
    <row r="759" spans="5:5" ht="13.2">
      <c r="E759" s="15"/>
    </row>
    <row r="760" spans="5:5" ht="13.2">
      <c r="E760" s="15"/>
    </row>
    <row r="761" spans="5:5" ht="13.2">
      <c r="E761" s="15"/>
    </row>
    <row r="762" spans="5:5" ht="13.2">
      <c r="E762" s="15"/>
    </row>
    <row r="763" spans="5:5" ht="13.2">
      <c r="E763" s="15"/>
    </row>
    <row r="764" spans="5:5" ht="13.2">
      <c r="E764" s="15"/>
    </row>
    <row r="765" spans="5:5" ht="13.2">
      <c r="E765" s="15"/>
    </row>
    <row r="766" spans="5:5" ht="13.2">
      <c r="E766" s="15"/>
    </row>
    <row r="767" spans="5:5" ht="13.2">
      <c r="E767" s="15"/>
    </row>
    <row r="768" spans="5:5" ht="13.2">
      <c r="E768" s="15"/>
    </row>
    <row r="769" spans="5:5" ht="13.2">
      <c r="E769" s="15"/>
    </row>
    <row r="770" spans="5:5" ht="13.2">
      <c r="E770" s="15"/>
    </row>
    <row r="771" spans="5:5" ht="13.2">
      <c r="E771" s="15"/>
    </row>
    <row r="772" spans="5:5" ht="13.2">
      <c r="E772" s="15"/>
    </row>
    <row r="773" spans="5:5" ht="13.2">
      <c r="E773" s="15"/>
    </row>
    <row r="774" spans="5:5" ht="13.2">
      <c r="E774" s="15"/>
    </row>
    <row r="775" spans="5:5" ht="13.2">
      <c r="E775" s="15"/>
    </row>
    <row r="776" spans="5:5" ht="13.2">
      <c r="E776" s="15"/>
    </row>
    <row r="777" spans="5:5" ht="13.2">
      <c r="E777" s="15"/>
    </row>
    <row r="778" spans="5:5" ht="13.2">
      <c r="E778" s="15"/>
    </row>
    <row r="779" spans="5:5" ht="13.2">
      <c r="E779" s="15"/>
    </row>
    <row r="780" spans="5:5" ht="13.2">
      <c r="E780" s="15"/>
    </row>
    <row r="781" spans="5:5" ht="13.2">
      <c r="E781" s="15"/>
    </row>
    <row r="782" spans="5:5" ht="13.2">
      <c r="E782" s="15"/>
    </row>
    <row r="783" spans="5:5" ht="13.2">
      <c r="E783" s="15"/>
    </row>
    <row r="784" spans="5:5" ht="13.2">
      <c r="E784" s="15"/>
    </row>
    <row r="785" spans="5:5" ht="13.2">
      <c r="E785" s="15"/>
    </row>
    <row r="786" spans="5:5" ht="13.2">
      <c r="E786" s="15"/>
    </row>
    <row r="787" spans="5:5" ht="13.2">
      <c r="E787" s="15"/>
    </row>
    <row r="788" spans="5:5" ht="13.2">
      <c r="E788" s="15"/>
    </row>
    <row r="789" spans="5:5" ht="13.2">
      <c r="E789" s="15"/>
    </row>
    <row r="790" spans="5:5" ht="13.2">
      <c r="E790" s="15"/>
    </row>
    <row r="791" spans="5:5" ht="13.2">
      <c r="E791" s="15"/>
    </row>
    <row r="792" spans="5:5" ht="13.2">
      <c r="E792" s="15"/>
    </row>
    <row r="793" spans="5:5" ht="13.2">
      <c r="E793" s="15"/>
    </row>
    <row r="794" spans="5:5" ht="13.2">
      <c r="E794" s="15"/>
    </row>
    <row r="795" spans="5:5" ht="13.2">
      <c r="E795" s="15"/>
    </row>
    <row r="796" spans="5:5" ht="13.2">
      <c r="E796" s="15"/>
    </row>
    <row r="797" spans="5:5" ht="13.2">
      <c r="E797" s="15"/>
    </row>
    <row r="798" spans="5:5" ht="13.2">
      <c r="E798" s="15"/>
    </row>
    <row r="799" spans="5:5" ht="13.2">
      <c r="E799" s="15"/>
    </row>
    <row r="800" spans="5:5" ht="13.2">
      <c r="E800" s="15"/>
    </row>
    <row r="801" spans="5:5" ht="13.2">
      <c r="E801" s="15"/>
    </row>
    <row r="802" spans="5:5" ht="13.2">
      <c r="E802" s="15"/>
    </row>
    <row r="803" spans="5:5" ht="13.2">
      <c r="E803" s="15"/>
    </row>
    <row r="804" spans="5:5" ht="13.2">
      <c r="E804" s="15"/>
    </row>
    <row r="805" spans="5:5" ht="13.2">
      <c r="E805" s="15"/>
    </row>
    <row r="806" spans="5:5" ht="13.2">
      <c r="E806" s="15"/>
    </row>
    <row r="807" spans="5:5" ht="13.2">
      <c r="E807" s="15"/>
    </row>
    <row r="808" spans="5:5" ht="13.2">
      <c r="E808" s="15"/>
    </row>
    <row r="809" spans="5:5" ht="13.2">
      <c r="E809" s="15"/>
    </row>
    <row r="810" spans="5:5" ht="13.2">
      <c r="E810" s="15"/>
    </row>
    <row r="811" spans="5:5" ht="13.2">
      <c r="E811" s="15"/>
    </row>
    <row r="812" spans="5:5" ht="13.2">
      <c r="E812" s="15"/>
    </row>
    <row r="813" spans="5:5" ht="13.2">
      <c r="E813" s="15"/>
    </row>
    <row r="814" spans="5:5" ht="13.2">
      <c r="E814" s="15"/>
    </row>
    <row r="815" spans="5:5" ht="13.2">
      <c r="E815" s="15"/>
    </row>
    <row r="816" spans="5:5" ht="13.2">
      <c r="E816" s="15"/>
    </row>
    <row r="817" spans="5:5" ht="13.2">
      <c r="E817" s="15"/>
    </row>
    <row r="818" spans="5:5" ht="13.2">
      <c r="E818" s="15"/>
    </row>
    <row r="819" spans="5:5" ht="13.2">
      <c r="E819" s="15"/>
    </row>
    <row r="820" spans="5:5" ht="13.2">
      <c r="E820" s="15"/>
    </row>
    <row r="821" spans="5:5" ht="13.2">
      <c r="E821" s="15"/>
    </row>
    <row r="822" spans="5:5" ht="13.2">
      <c r="E822" s="15"/>
    </row>
    <row r="823" spans="5:5" ht="13.2">
      <c r="E823" s="15"/>
    </row>
    <row r="824" spans="5:5" ht="13.2">
      <c r="E824" s="15"/>
    </row>
    <row r="825" spans="5:5" ht="13.2">
      <c r="E825" s="15"/>
    </row>
    <row r="826" spans="5:5" ht="13.2">
      <c r="E826" s="15"/>
    </row>
    <row r="827" spans="5:5" ht="13.2">
      <c r="E827" s="15"/>
    </row>
    <row r="828" spans="5:5" ht="13.2">
      <c r="E828" s="15"/>
    </row>
    <row r="829" spans="5:5" ht="13.2">
      <c r="E829" s="15"/>
    </row>
    <row r="830" spans="5:5" ht="13.2">
      <c r="E830" s="15"/>
    </row>
    <row r="831" spans="5:5" ht="13.2">
      <c r="E831" s="15"/>
    </row>
    <row r="832" spans="5:5" ht="13.2">
      <c r="E832" s="15"/>
    </row>
    <row r="833" spans="5:5" ht="13.2">
      <c r="E833" s="15"/>
    </row>
    <row r="834" spans="5:5" ht="13.2">
      <c r="E834" s="15"/>
    </row>
    <row r="835" spans="5:5" ht="13.2">
      <c r="E835" s="15"/>
    </row>
    <row r="836" spans="5:5" ht="13.2">
      <c r="E836" s="15"/>
    </row>
    <row r="837" spans="5:5" ht="13.2">
      <c r="E837" s="15"/>
    </row>
    <row r="838" spans="5:5" ht="13.2">
      <c r="E838" s="15"/>
    </row>
    <row r="839" spans="5:5" ht="13.2">
      <c r="E839" s="15"/>
    </row>
    <row r="840" spans="5:5" ht="13.2">
      <c r="E840" s="15"/>
    </row>
    <row r="841" spans="5:5" ht="13.2">
      <c r="E841" s="15"/>
    </row>
    <row r="842" spans="5:5" ht="13.2">
      <c r="E842" s="15"/>
    </row>
    <row r="843" spans="5:5" ht="13.2">
      <c r="E843" s="15"/>
    </row>
    <row r="844" spans="5:5" ht="13.2">
      <c r="E844" s="15"/>
    </row>
    <row r="845" spans="5:5" ht="13.2">
      <c r="E845" s="15"/>
    </row>
    <row r="846" spans="5:5" ht="13.2">
      <c r="E846" s="15"/>
    </row>
    <row r="847" spans="5:5" ht="13.2">
      <c r="E847" s="15"/>
    </row>
    <row r="848" spans="5:5" ht="13.2">
      <c r="E848" s="15"/>
    </row>
    <row r="849" spans="5:5" ht="13.2">
      <c r="E849" s="15"/>
    </row>
    <row r="850" spans="5:5" ht="13.2">
      <c r="E850" s="15"/>
    </row>
    <row r="851" spans="5:5" ht="13.2">
      <c r="E851" s="15"/>
    </row>
    <row r="852" spans="5:5" ht="13.2">
      <c r="E852" s="15"/>
    </row>
    <row r="853" spans="5:5" ht="13.2">
      <c r="E853" s="15"/>
    </row>
    <row r="854" spans="5:5" ht="13.2">
      <c r="E854" s="15"/>
    </row>
    <row r="855" spans="5:5" ht="13.2">
      <c r="E855" s="15"/>
    </row>
    <row r="856" spans="5:5" ht="13.2">
      <c r="E856" s="15"/>
    </row>
    <row r="857" spans="5:5" ht="13.2">
      <c r="E857" s="15"/>
    </row>
    <row r="858" spans="5:5" ht="13.2">
      <c r="E858" s="15"/>
    </row>
    <row r="859" spans="5:5" ht="13.2">
      <c r="E859" s="15"/>
    </row>
    <row r="860" spans="5:5" ht="13.2">
      <c r="E860" s="15"/>
    </row>
    <row r="861" spans="5:5" ht="13.2">
      <c r="E861" s="15"/>
    </row>
    <row r="862" spans="5:5" ht="13.2">
      <c r="E862" s="15"/>
    </row>
    <row r="863" spans="5:5" ht="13.2">
      <c r="E863" s="15"/>
    </row>
    <row r="864" spans="5:5" ht="13.2">
      <c r="E864" s="15"/>
    </row>
    <row r="865" spans="5:5" ht="13.2">
      <c r="E865" s="15"/>
    </row>
    <row r="866" spans="5:5" ht="13.2">
      <c r="E866" s="15"/>
    </row>
    <row r="867" spans="5:5" ht="13.2">
      <c r="E867" s="15"/>
    </row>
    <row r="868" spans="5:5" ht="13.2">
      <c r="E868" s="15"/>
    </row>
    <row r="869" spans="5:5" ht="13.2">
      <c r="E869" s="15"/>
    </row>
    <row r="870" spans="5:5" ht="13.2">
      <c r="E870" s="15"/>
    </row>
    <row r="871" spans="5:5" ht="13.2">
      <c r="E871" s="15"/>
    </row>
    <row r="872" spans="5:5" ht="13.2">
      <c r="E872" s="15"/>
    </row>
    <row r="873" spans="5:5" ht="13.2">
      <c r="E873" s="15"/>
    </row>
    <row r="874" spans="5:5" ht="13.2">
      <c r="E874" s="15"/>
    </row>
    <row r="875" spans="5:5" ht="13.2">
      <c r="E875" s="15"/>
    </row>
    <row r="876" spans="5:5" ht="13.2">
      <c r="E876" s="15"/>
    </row>
    <row r="877" spans="5:5" ht="13.2">
      <c r="E877" s="15"/>
    </row>
    <row r="878" spans="5:5" ht="13.2">
      <c r="E878" s="15"/>
    </row>
    <row r="879" spans="5:5" ht="13.2">
      <c r="E879" s="15"/>
    </row>
    <row r="880" spans="5:5" ht="13.2">
      <c r="E880" s="15"/>
    </row>
    <row r="881" spans="5:5" ht="13.2">
      <c r="E881" s="15"/>
    </row>
    <row r="882" spans="5:5" ht="13.2">
      <c r="E882" s="15"/>
    </row>
    <row r="883" spans="5:5" ht="13.2">
      <c r="E883" s="15"/>
    </row>
    <row r="884" spans="5:5" ht="13.2">
      <c r="E884" s="15"/>
    </row>
    <row r="885" spans="5:5" ht="13.2">
      <c r="E885" s="15"/>
    </row>
    <row r="886" spans="5:5" ht="13.2">
      <c r="E886" s="15"/>
    </row>
    <row r="887" spans="5:5" ht="13.2">
      <c r="E887" s="15"/>
    </row>
    <row r="888" spans="5:5" ht="13.2">
      <c r="E888" s="15"/>
    </row>
    <row r="889" spans="5:5" ht="13.2">
      <c r="E889" s="15"/>
    </row>
    <row r="890" spans="5:5" ht="13.2">
      <c r="E890" s="15"/>
    </row>
    <row r="891" spans="5:5" ht="13.2">
      <c r="E891" s="15"/>
    </row>
    <row r="892" spans="5:5" ht="13.2">
      <c r="E892" s="15"/>
    </row>
    <row r="893" spans="5:5" ht="13.2">
      <c r="E893" s="15"/>
    </row>
    <row r="894" spans="5:5" ht="13.2">
      <c r="E894" s="15"/>
    </row>
    <row r="895" spans="5:5" ht="13.2">
      <c r="E895" s="15"/>
    </row>
    <row r="896" spans="5:5" ht="13.2">
      <c r="E896" s="15"/>
    </row>
    <row r="897" spans="5:5" ht="13.2">
      <c r="E897" s="15"/>
    </row>
    <row r="898" spans="5:5" ht="13.2">
      <c r="E898" s="15"/>
    </row>
    <row r="899" spans="5:5" ht="13.2">
      <c r="E899" s="15"/>
    </row>
    <row r="900" spans="5:5" ht="13.2">
      <c r="E900" s="15"/>
    </row>
    <row r="901" spans="5:5" ht="13.2">
      <c r="E901" s="15"/>
    </row>
    <row r="902" spans="5:5" ht="13.2">
      <c r="E902" s="15"/>
    </row>
    <row r="903" spans="5:5" ht="13.2">
      <c r="E903" s="15"/>
    </row>
    <row r="904" spans="5:5" ht="13.2">
      <c r="E904" s="15"/>
    </row>
    <row r="905" spans="5:5" ht="13.2">
      <c r="E905" s="15"/>
    </row>
    <row r="906" spans="5:5" ht="13.2">
      <c r="E906" s="15"/>
    </row>
    <row r="907" spans="5:5" ht="13.2">
      <c r="E907" s="15"/>
    </row>
    <row r="908" spans="5:5" ht="13.2">
      <c r="E908" s="15"/>
    </row>
    <row r="909" spans="5:5" ht="13.2">
      <c r="E909" s="15"/>
    </row>
    <row r="910" spans="5:5" ht="13.2">
      <c r="E910" s="15"/>
    </row>
    <row r="911" spans="5:5" ht="13.2">
      <c r="E911" s="15"/>
    </row>
    <row r="912" spans="5:5" ht="13.2">
      <c r="E912" s="15"/>
    </row>
    <row r="913" spans="5:5" ht="13.2">
      <c r="E913" s="15"/>
    </row>
    <row r="914" spans="5:5" ht="13.2">
      <c r="E914" s="15"/>
    </row>
    <row r="915" spans="5:5" ht="13.2">
      <c r="E915" s="15"/>
    </row>
    <row r="916" spans="5:5" ht="13.2">
      <c r="E916" s="15"/>
    </row>
    <row r="917" spans="5:5" ht="13.2">
      <c r="E917" s="15"/>
    </row>
    <row r="918" spans="5:5" ht="13.2">
      <c r="E918" s="15"/>
    </row>
    <row r="919" spans="5:5" ht="13.2">
      <c r="E919" s="15"/>
    </row>
    <row r="920" spans="5:5" ht="13.2">
      <c r="E920" s="15"/>
    </row>
    <row r="921" spans="5:5" ht="13.2">
      <c r="E921" s="15"/>
    </row>
    <row r="922" spans="5:5" ht="13.2">
      <c r="E922" s="15"/>
    </row>
    <row r="923" spans="5:5" ht="13.2">
      <c r="E923" s="15"/>
    </row>
    <row r="924" spans="5:5" ht="13.2">
      <c r="E924" s="15"/>
    </row>
    <row r="925" spans="5:5" ht="13.2">
      <c r="E925" s="15"/>
    </row>
    <row r="926" spans="5:5" ht="13.2">
      <c r="E926" s="15"/>
    </row>
    <row r="927" spans="5:5" ht="13.2">
      <c r="E927" s="15"/>
    </row>
    <row r="928" spans="5:5" ht="13.2">
      <c r="E928" s="15"/>
    </row>
    <row r="929" spans="5:5" ht="13.2">
      <c r="E929" s="15"/>
    </row>
    <row r="930" spans="5:5" ht="13.2">
      <c r="E930" s="15"/>
    </row>
    <row r="931" spans="5:5" ht="13.2">
      <c r="E931" s="15"/>
    </row>
    <row r="932" spans="5:5" ht="13.2">
      <c r="E932" s="15"/>
    </row>
    <row r="933" spans="5:5" ht="13.2">
      <c r="E933" s="15"/>
    </row>
    <row r="934" spans="5:5" ht="13.2">
      <c r="E934" s="15"/>
    </row>
    <row r="935" spans="5:5" ht="13.2">
      <c r="E935" s="15"/>
    </row>
    <row r="936" spans="5:5" ht="13.2">
      <c r="E936" s="15"/>
    </row>
    <row r="937" spans="5:5" ht="13.2">
      <c r="E937" s="15"/>
    </row>
    <row r="938" spans="5:5" ht="13.2">
      <c r="E938" s="15"/>
    </row>
    <row r="939" spans="5:5" ht="13.2">
      <c r="E939" s="15"/>
    </row>
    <row r="940" spans="5:5" ht="13.2">
      <c r="E940" s="15"/>
    </row>
    <row r="941" spans="5:5" ht="13.2">
      <c r="E941" s="15"/>
    </row>
    <row r="942" spans="5:5" ht="13.2">
      <c r="E942" s="15"/>
    </row>
    <row r="943" spans="5:5" ht="13.2">
      <c r="E943" s="15"/>
    </row>
    <row r="944" spans="5:5" ht="13.2">
      <c r="E944" s="15"/>
    </row>
    <row r="945" spans="5:5" ht="13.2">
      <c r="E945" s="15"/>
    </row>
    <row r="946" spans="5:5" ht="13.2">
      <c r="E946" s="15"/>
    </row>
    <row r="947" spans="5:5" ht="13.2">
      <c r="E947" s="15"/>
    </row>
    <row r="948" spans="5:5" ht="13.2">
      <c r="E948" s="15"/>
    </row>
    <row r="949" spans="5:5" ht="13.2">
      <c r="E949" s="15"/>
    </row>
    <row r="950" spans="5:5" ht="13.2">
      <c r="E950" s="15"/>
    </row>
    <row r="951" spans="5:5" ht="13.2">
      <c r="E951" s="15"/>
    </row>
    <row r="952" spans="5:5" ht="13.2">
      <c r="E952" s="15"/>
    </row>
    <row r="953" spans="5:5" ht="13.2">
      <c r="E953" s="15"/>
    </row>
    <row r="954" spans="5:5" ht="13.2">
      <c r="E954" s="15"/>
    </row>
    <row r="955" spans="5:5" ht="13.2">
      <c r="E955" s="15"/>
    </row>
    <row r="956" spans="5:5" ht="13.2">
      <c r="E956" s="15"/>
    </row>
    <row r="957" spans="5:5" ht="13.2">
      <c r="E957" s="15"/>
    </row>
    <row r="958" spans="5:5" ht="13.2">
      <c r="E958" s="15"/>
    </row>
    <row r="959" spans="5:5" ht="13.2">
      <c r="E959" s="15"/>
    </row>
    <row r="960" spans="5:5" ht="13.2">
      <c r="E960" s="15"/>
    </row>
    <row r="961" spans="5:5" ht="13.2">
      <c r="E961" s="15"/>
    </row>
    <row r="962" spans="5:5" ht="13.2">
      <c r="E962" s="15"/>
    </row>
    <row r="963" spans="5:5" ht="13.2">
      <c r="E963" s="15"/>
    </row>
    <row r="964" spans="5:5" ht="13.2">
      <c r="E964" s="15"/>
    </row>
    <row r="965" spans="5:5" ht="13.2">
      <c r="E965" s="15"/>
    </row>
    <row r="966" spans="5:5" ht="13.2">
      <c r="E966" s="15"/>
    </row>
    <row r="967" spans="5:5" ht="13.2">
      <c r="E967" s="15"/>
    </row>
    <row r="968" spans="5:5" ht="13.2">
      <c r="E968" s="15"/>
    </row>
    <row r="969" spans="5:5" ht="13.2">
      <c r="E969" s="15"/>
    </row>
    <row r="970" spans="5:5" ht="13.2">
      <c r="E970" s="15"/>
    </row>
    <row r="971" spans="5:5" ht="13.2">
      <c r="E971" s="15"/>
    </row>
    <row r="972" spans="5:5" ht="13.2">
      <c r="E972" s="15"/>
    </row>
    <row r="973" spans="5:5" ht="13.2">
      <c r="E973" s="15"/>
    </row>
    <row r="974" spans="5:5" ht="13.2">
      <c r="E974" s="15"/>
    </row>
    <row r="975" spans="5:5" ht="13.2">
      <c r="E975" s="15"/>
    </row>
    <row r="976" spans="5:5" ht="13.2">
      <c r="E976" s="15"/>
    </row>
    <row r="977" spans="5:5" ht="13.2">
      <c r="E977" s="15"/>
    </row>
    <row r="978" spans="5:5" ht="13.2">
      <c r="E978" s="15"/>
    </row>
    <row r="979" spans="5:5" ht="13.2">
      <c r="E979" s="15"/>
    </row>
    <row r="980" spans="5:5" ht="13.2">
      <c r="E980" s="15"/>
    </row>
    <row r="981" spans="5:5" ht="13.2">
      <c r="E981" s="15"/>
    </row>
    <row r="982" spans="5:5" ht="13.2">
      <c r="E982" s="15"/>
    </row>
    <row r="983" spans="5:5" ht="13.2">
      <c r="E983" s="15"/>
    </row>
    <row r="984" spans="5:5" ht="13.2">
      <c r="E984" s="15"/>
    </row>
    <row r="985" spans="5:5" ht="13.2">
      <c r="E985" s="15"/>
    </row>
    <row r="986" spans="5:5" ht="13.2">
      <c r="E986" s="15"/>
    </row>
    <row r="987" spans="5:5" ht="13.2">
      <c r="E987" s="15"/>
    </row>
    <row r="988" spans="5:5" ht="13.2">
      <c r="E988" s="15"/>
    </row>
    <row r="989" spans="5:5" ht="13.2">
      <c r="E989" s="15"/>
    </row>
    <row r="990" spans="5:5" ht="13.2">
      <c r="E990" s="15"/>
    </row>
    <row r="991" spans="5:5" ht="13.2">
      <c r="E991" s="15"/>
    </row>
    <row r="992" spans="5:5" ht="13.2">
      <c r="E992" s="15"/>
    </row>
    <row r="993" spans="5:5" ht="13.2">
      <c r="E993" s="15"/>
    </row>
    <row r="994" spans="5:5" ht="13.2">
      <c r="E994" s="15"/>
    </row>
    <row r="995" spans="5:5" ht="13.2">
      <c r="E995" s="15"/>
    </row>
    <row r="996" spans="5:5" ht="13.2">
      <c r="E996" s="15"/>
    </row>
    <row r="997" spans="5:5" ht="13.2">
      <c r="E997" s="15"/>
    </row>
    <row r="998" spans="5:5" ht="13.2">
      <c r="E998" s="15"/>
    </row>
    <row r="999" spans="5:5" ht="13.2">
      <c r="E999" s="15"/>
    </row>
    <row r="1000" spans="5:5" ht="13.2">
      <c r="E1000" s="15"/>
    </row>
  </sheetData>
  <mergeCells count="9">
    <mergeCell ref="H1:H2"/>
    <mergeCell ref="I1:J2"/>
    <mergeCell ref="A1:A2"/>
    <mergeCell ref="B1:B2"/>
    <mergeCell ref="C1:C2"/>
    <mergeCell ref="D1:D2"/>
    <mergeCell ref="E1:E2"/>
    <mergeCell ref="F1:F2"/>
    <mergeCell ref="G1:G2"/>
  </mergeCells>
  <phoneticPr fontId="3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E1000"/>
  <sheetViews>
    <sheetView workbookViewId="0">
      <pane xSplit="3" topLeftCell="D1" activePane="topRight" state="frozen"/>
      <selection pane="topRight" activeCell="E2" sqref="E2"/>
    </sheetView>
  </sheetViews>
  <sheetFormatPr defaultColWidth="12.77734375" defaultRowHeight="15.75" customHeight="1"/>
  <cols>
    <col min="1" max="1" width="16.21875" customWidth="1"/>
    <col min="2" max="2" width="10" customWidth="1"/>
    <col min="3" max="3" width="114.44140625" customWidth="1"/>
    <col min="4" max="4" width="37.21875" customWidth="1"/>
    <col min="5" max="5" width="20.21875" customWidth="1"/>
    <col min="6" max="6" width="58.21875" customWidth="1"/>
    <col min="7" max="7" width="69.21875" customWidth="1"/>
    <col min="8" max="8" width="68.21875" customWidth="1"/>
    <col min="9" max="9" width="17.77734375" customWidth="1"/>
    <col min="10" max="10" width="41.77734375" customWidth="1"/>
    <col min="11" max="11" width="16.21875" customWidth="1"/>
    <col min="12" max="12" width="37" customWidth="1"/>
  </cols>
  <sheetData>
    <row r="1" spans="1:31" ht="13.2">
      <c r="A1" s="208" t="s">
        <v>1686</v>
      </c>
      <c r="B1" s="208" t="s">
        <v>46</v>
      </c>
      <c r="C1" s="208" t="s">
        <v>1687</v>
      </c>
      <c r="D1" s="208" t="s">
        <v>1688</v>
      </c>
      <c r="E1" s="208" t="s">
        <v>1689</v>
      </c>
      <c r="F1" s="208" t="s">
        <v>1690</v>
      </c>
      <c r="G1" s="208" t="s">
        <v>1691</v>
      </c>
      <c r="H1" s="208" t="s">
        <v>1692</v>
      </c>
      <c r="I1" s="209" t="s">
        <v>1214</v>
      </c>
      <c r="J1" s="207"/>
      <c r="K1" s="209" t="s">
        <v>1899</v>
      </c>
      <c r="L1" s="207"/>
    </row>
    <row r="2" spans="1:31" ht="13.2">
      <c r="A2" s="189"/>
      <c r="B2" s="189"/>
      <c r="C2" s="189"/>
      <c r="D2" s="189"/>
      <c r="E2" s="189"/>
      <c r="F2" s="189"/>
      <c r="G2" s="189"/>
      <c r="H2" s="189"/>
      <c r="I2" s="198"/>
      <c r="J2" s="200"/>
      <c r="K2" s="198"/>
      <c r="L2" s="200"/>
    </row>
    <row r="3" spans="1:31" ht="15.75" customHeight="1">
      <c r="A3" s="105" t="s">
        <v>1900</v>
      </c>
      <c r="B3" s="106">
        <v>1</v>
      </c>
      <c r="C3" s="107" t="s">
        <v>1901</v>
      </c>
      <c r="D3" s="108" t="s">
        <v>1902</v>
      </c>
      <c r="E3" s="105" t="s">
        <v>155</v>
      </c>
      <c r="F3" s="109" t="s">
        <v>1750</v>
      </c>
      <c r="G3" s="108" t="s">
        <v>1903</v>
      </c>
      <c r="H3" s="108" t="s">
        <v>1904</v>
      </c>
      <c r="I3" s="110"/>
      <c r="J3" s="108"/>
      <c r="K3" s="110" t="s">
        <v>1905</v>
      </c>
      <c r="L3" s="108" t="s">
        <v>1906</v>
      </c>
      <c r="M3" s="96"/>
      <c r="N3" s="96"/>
      <c r="O3" s="96"/>
      <c r="P3" s="96"/>
      <c r="Q3" s="96"/>
      <c r="R3" s="96"/>
      <c r="S3" s="96"/>
      <c r="T3" s="96"/>
      <c r="U3" s="96"/>
      <c r="V3" s="96"/>
      <c r="W3" s="96"/>
      <c r="X3" s="96"/>
      <c r="Y3" s="96"/>
      <c r="Z3" s="96"/>
      <c r="AA3" s="96"/>
      <c r="AB3" s="96"/>
      <c r="AC3" s="96"/>
      <c r="AD3" s="96"/>
      <c r="AE3" s="96"/>
    </row>
    <row r="4" spans="1:31" ht="15.75" customHeight="1">
      <c r="A4" s="105" t="s">
        <v>1900</v>
      </c>
      <c r="B4" s="106">
        <v>2</v>
      </c>
      <c r="C4" s="107" t="s">
        <v>1907</v>
      </c>
      <c r="D4" s="108" t="s">
        <v>1908</v>
      </c>
      <c r="E4" s="105" t="s">
        <v>155</v>
      </c>
      <c r="F4" s="109" t="s">
        <v>1750</v>
      </c>
      <c r="G4" s="108" t="s">
        <v>1909</v>
      </c>
      <c r="H4" s="108" t="s">
        <v>1910</v>
      </c>
      <c r="I4" s="110"/>
      <c r="J4" s="108"/>
      <c r="K4" s="110">
        <v>3.1</v>
      </c>
      <c r="L4" s="108" t="s">
        <v>1911</v>
      </c>
      <c r="M4" s="96"/>
      <c r="N4" s="96"/>
      <c r="O4" s="96"/>
      <c r="P4" s="96"/>
      <c r="Q4" s="96"/>
      <c r="R4" s="96"/>
      <c r="S4" s="96"/>
      <c r="T4" s="96"/>
      <c r="U4" s="96"/>
      <c r="V4" s="96"/>
      <c r="W4" s="96"/>
      <c r="X4" s="96"/>
      <c r="Y4" s="96"/>
      <c r="Z4" s="96"/>
      <c r="AA4" s="96"/>
      <c r="AB4" s="96"/>
      <c r="AC4" s="96"/>
      <c r="AD4" s="96"/>
      <c r="AE4" s="96"/>
    </row>
    <row r="5" spans="1:31" ht="15.75" customHeight="1">
      <c r="A5" s="111" t="s">
        <v>1900</v>
      </c>
      <c r="B5" s="112">
        <v>3</v>
      </c>
      <c r="C5" s="113" t="s">
        <v>1912</v>
      </c>
      <c r="D5" s="114" t="s">
        <v>1913</v>
      </c>
      <c r="E5" s="111" t="s">
        <v>83</v>
      </c>
      <c r="F5" s="115"/>
      <c r="G5" s="114" t="s">
        <v>1914</v>
      </c>
      <c r="H5" s="114" t="s">
        <v>1915</v>
      </c>
      <c r="I5" s="116"/>
      <c r="J5" s="114"/>
      <c r="K5" s="116">
        <v>4.2</v>
      </c>
      <c r="L5" s="114" t="s">
        <v>1916</v>
      </c>
    </row>
    <row r="6" spans="1:31" ht="15.75" customHeight="1">
      <c r="A6" s="111" t="s">
        <v>1900</v>
      </c>
      <c r="B6" s="112">
        <v>4</v>
      </c>
      <c r="C6" s="113" t="s">
        <v>1917</v>
      </c>
      <c r="D6" s="114" t="s">
        <v>1918</v>
      </c>
      <c r="E6" s="111" t="s">
        <v>83</v>
      </c>
      <c r="F6" s="115"/>
      <c r="G6" s="114" t="s">
        <v>1919</v>
      </c>
      <c r="H6" s="114" t="s">
        <v>1920</v>
      </c>
      <c r="I6" s="116"/>
      <c r="J6" s="114"/>
      <c r="K6" s="116" t="s">
        <v>1921</v>
      </c>
      <c r="L6" s="114" t="s">
        <v>1922</v>
      </c>
    </row>
    <row r="7" spans="1:31" ht="15.75" customHeight="1">
      <c r="A7" s="111" t="s">
        <v>1900</v>
      </c>
      <c r="B7" s="112">
        <v>5</v>
      </c>
      <c r="C7" s="113" t="s">
        <v>1923</v>
      </c>
      <c r="D7" s="114" t="s">
        <v>1924</v>
      </c>
      <c r="E7" s="111" t="s">
        <v>83</v>
      </c>
      <c r="F7" s="115"/>
      <c r="G7" s="114" t="s">
        <v>1925</v>
      </c>
      <c r="H7" s="114" t="s">
        <v>1926</v>
      </c>
      <c r="I7" s="116"/>
      <c r="J7" s="114"/>
      <c r="K7" s="116" t="s">
        <v>1927</v>
      </c>
      <c r="L7" s="114" t="s">
        <v>1928</v>
      </c>
    </row>
    <row r="8" spans="1:31" ht="15.75" customHeight="1">
      <c r="A8" s="111" t="s">
        <v>1900</v>
      </c>
      <c r="B8" s="112">
        <v>6</v>
      </c>
      <c r="C8" s="113" t="s">
        <v>1929</v>
      </c>
      <c r="D8" s="114" t="s">
        <v>1930</v>
      </c>
      <c r="E8" s="111" t="s">
        <v>83</v>
      </c>
      <c r="F8" s="115"/>
      <c r="G8" s="114" t="s">
        <v>1931</v>
      </c>
      <c r="H8" s="114" t="s">
        <v>1932</v>
      </c>
      <c r="I8" s="117" t="s">
        <v>1933</v>
      </c>
      <c r="J8" s="118" t="s">
        <v>1934</v>
      </c>
      <c r="K8" s="116">
        <v>4.3</v>
      </c>
      <c r="L8" s="114" t="s">
        <v>1935</v>
      </c>
    </row>
    <row r="9" spans="1:31" ht="15.75" customHeight="1">
      <c r="A9" s="111" t="s">
        <v>1900</v>
      </c>
      <c r="B9" s="112">
        <v>7</v>
      </c>
      <c r="C9" s="113" t="s">
        <v>1936</v>
      </c>
      <c r="D9" s="114" t="s">
        <v>1937</v>
      </c>
      <c r="E9" s="111" t="s">
        <v>83</v>
      </c>
      <c r="F9" s="115"/>
      <c r="G9" s="114" t="s">
        <v>1938</v>
      </c>
      <c r="H9" s="114" t="s">
        <v>1939</v>
      </c>
      <c r="I9" s="116"/>
      <c r="J9" s="114"/>
      <c r="K9" s="116">
        <v>3.2</v>
      </c>
      <c r="L9" s="114" t="s">
        <v>1940</v>
      </c>
    </row>
    <row r="10" spans="1:31" ht="15.75" customHeight="1">
      <c r="A10" s="111" t="s">
        <v>1900</v>
      </c>
      <c r="B10" s="112">
        <v>8</v>
      </c>
      <c r="C10" s="113" t="s">
        <v>1941</v>
      </c>
      <c r="D10" s="114" t="s">
        <v>1942</v>
      </c>
      <c r="E10" s="111" t="s">
        <v>83</v>
      </c>
      <c r="F10" s="115"/>
      <c r="G10" s="114" t="s">
        <v>1943</v>
      </c>
      <c r="H10" s="114" t="s">
        <v>1944</v>
      </c>
      <c r="I10" s="117">
        <v>3.8</v>
      </c>
      <c r="J10" s="114" t="s">
        <v>1945</v>
      </c>
      <c r="K10" s="116" t="s">
        <v>1946</v>
      </c>
      <c r="L10" s="114" t="s">
        <v>1947</v>
      </c>
    </row>
    <row r="11" spans="1:31" ht="15.75" customHeight="1">
      <c r="A11" s="111" t="s">
        <v>1900</v>
      </c>
      <c r="B11" s="112">
        <v>9</v>
      </c>
      <c r="C11" s="113" t="s">
        <v>1948</v>
      </c>
      <c r="D11" s="114" t="s">
        <v>1949</v>
      </c>
      <c r="E11" s="111" t="s">
        <v>83</v>
      </c>
      <c r="F11" s="115"/>
      <c r="G11" s="114" t="s">
        <v>1950</v>
      </c>
      <c r="H11" s="114" t="s">
        <v>1951</v>
      </c>
      <c r="I11" s="117" t="s">
        <v>1933</v>
      </c>
      <c r="J11" s="118" t="s">
        <v>1934</v>
      </c>
      <c r="K11" s="116" t="s">
        <v>1952</v>
      </c>
      <c r="L11" s="114" t="s">
        <v>1953</v>
      </c>
    </row>
    <row r="12" spans="1:31" ht="15.75" customHeight="1">
      <c r="A12" s="111" t="s">
        <v>1900</v>
      </c>
      <c r="B12" s="112">
        <v>10</v>
      </c>
      <c r="C12" s="113" t="s">
        <v>1954</v>
      </c>
      <c r="D12" s="114" t="s">
        <v>1955</v>
      </c>
      <c r="E12" s="111" t="s">
        <v>83</v>
      </c>
      <c r="F12" s="115"/>
      <c r="G12" s="114" t="s">
        <v>1956</v>
      </c>
      <c r="H12" s="114" t="s">
        <v>1957</v>
      </c>
      <c r="I12" s="116"/>
      <c r="J12" s="114"/>
      <c r="K12" s="116">
        <v>4.4000000000000004</v>
      </c>
      <c r="L12" s="114" t="s">
        <v>1958</v>
      </c>
    </row>
    <row r="13" spans="1:31" ht="15.75" customHeight="1">
      <c r="A13" s="111" t="s">
        <v>1900</v>
      </c>
      <c r="B13" s="112">
        <v>11</v>
      </c>
      <c r="C13" s="113" t="s">
        <v>1959</v>
      </c>
      <c r="D13" s="114" t="s">
        <v>1960</v>
      </c>
      <c r="E13" s="111" t="s">
        <v>83</v>
      </c>
      <c r="F13" s="115"/>
      <c r="G13" s="114" t="s">
        <v>1961</v>
      </c>
      <c r="H13" s="114" t="s">
        <v>1962</v>
      </c>
      <c r="I13" s="116"/>
      <c r="J13" s="114"/>
      <c r="K13" s="116" t="s">
        <v>1963</v>
      </c>
      <c r="L13" s="114" t="s">
        <v>1964</v>
      </c>
    </row>
    <row r="14" spans="1:31" ht="15.75" customHeight="1">
      <c r="A14" s="111" t="s">
        <v>1900</v>
      </c>
      <c r="B14" s="112">
        <v>12</v>
      </c>
      <c r="C14" s="113" t="s">
        <v>1965</v>
      </c>
      <c r="D14" s="114" t="s">
        <v>1966</v>
      </c>
      <c r="E14" s="111" t="s">
        <v>83</v>
      </c>
      <c r="F14" s="115"/>
      <c r="G14" s="114" t="s">
        <v>1967</v>
      </c>
      <c r="H14" s="114" t="s">
        <v>1968</v>
      </c>
      <c r="I14" s="116"/>
      <c r="J14" s="114"/>
      <c r="K14" s="116">
        <v>4.5</v>
      </c>
      <c r="L14" s="114" t="s">
        <v>1969</v>
      </c>
    </row>
    <row r="15" spans="1:31" ht="15.75" customHeight="1">
      <c r="A15" s="111" t="s">
        <v>1900</v>
      </c>
      <c r="B15" s="112">
        <v>13</v>
      </c>
      <c r="C15" s="113" t="s">
        <v>1970</v>
      </c>
      <c r="D15" s="114" t="s">
        <v>1971</v>
      </c>
      <c r="E15" s="111" t="s">
        <v>83</v>
      </c>
      <c r="F15" s="115"/>
      <c r="G15" s="114" t="s">
        <v>1972</v>
      </c>
      <c r="H15" s="114" t="s">
        <v>1973</v>
      </c>
      <c r="I15" s="116"/>
      <c r="J15" s="114"/>
      <c r="K15" s="116">
        <v>4.5999999999999996</v>
      </c>
      <c r="L15" s="114" t="s">
        <v>1974</v>
      </c>
    </row>
    <row r="16" spans="1:31" ht="15.75" customHeight="1">
      <c r="A16" s="105" t="s">
        <v>1900</v>
      </c>
      <c r="B16" s="106">
        <v>14</v>
      </c>
      <c r="C16" s="107" t="s">
        <v>1975</v>
      </c>
      <c r="D16" s="108" t="s">
        <v>1976</v>
      </c>
      <c r="E16" s="105" t="s">
        <v>155</v>
      </c>
      <c r="F16" s="109" t="s">
        <v>1750</v>
      </c>
      <c r="G16" s="108" t="s">
        <v>1977</v>
      </c>
      <c r="H16" s="108" t="s">
        <v>1978</v>
      </c>
      <c r="I16" s="110"/>
      <c r="J16" s="108"/>
      <c r="K16" s="110">
        <v>3.3</v>
      </c>
      <c r="L16" s="108" t="s">
        <v>1979</v>
      </c>
      <c r="M16" s="96"/>
      <c r="N16" s="96"/>
      <c r="O16" s="96"/>
      <c r="P16" s="96"/>
      <c r="Q16" s="96"/>
      <c r="R16" s="96"/>
      <c r="S16" s="96"/>
      <c r="T16" s="96"/>
      <c r="U16" s="96"/>
      <c r="V16" s="96"/>
      <c r="W16" s="96"/>
      <c r="X16" s="96"/>
      <c r="Y16" s="96"/>
      <c r="Z16" s="96"/>
      <c r="AA16" s="96"/>
      <c r="AB16" s="96"/>
      <c r="AC16" s="96"/>
      <c r="AD16" s="96"/>
      <c r="AE16" s="96"/>
    </row>
    <row r="17" spans="1:31" ht="15.75" customHeight="1">
      <c r="A17" s="105" t="s">
        <v>1900</v>
      </c>
      <c r="B17" s="106">
        <v>15</v>
      </c>
      <c r="C17" s="107" t="s">
        <v>1980</v>
      </c>
      <c r="D17" s="108" t="s">
        <v>1981</v>
      </c>
      <c r="E17" s="105" t="s">
        <v>155</v>
      </c>
      <c r="F17" s="109" t="s">
        <v>1750</v>
      </c>
      <c r="G17" s="108" t="s">
        <v>1982</v>
      </c>
      <c r="H17" s="108" t="s">
        <v>1983</v>
      </c>
      <c r="I17" s="110"/>
      <c r="J17" s="108"/>
      <c r="K17" s="110">
        <v>3.4</v>
      </c>
      <c r="L17" s="108" t="s">
        <v>1984</v>
      </c>
      <c r="M17" s="96"/>
      <c r="N17" s="96"/>
      <c r="O17" s="96"/>
      <c r="P17" s="96"/>
      <c r="Q17" s="96"/>
      <c r="R17" s="96"/>
      <c r="S17" s="96"/>
      <c r="T17" s="96"/>
      <c r="U17" s="96"/>
      <c r="V17" s="96"/>
      <c r="W17" s="96"/>
      <c r="X17" s="96"/>
      <c r="Y17" s="96"/>
      <c r="Z17" s="96"/>
      <c r="AA17" s="96"/>
      <c r="AB17" s="96"/>
      <c r="AC17" s="96"/>
      <c r="AD17" s="96"/>
      <c r="AE17" s="96"/>
    </row>
    <row r="18" spans="1:31" ht="15.75" customHeight="1">
      <c r="A18" s="111" t="s">
        <v>1900</v>
      </c>
      <c r="B18" s="112">
        <v>16</v>
      </c>
      <c r="C18" s="113" t="s">
        <v>1985</v>
      </c>
      <c r="D18" s="114" t="s">
        <v>1986</v>
      </c>
      <c r="E18" s="111" t="s">
        <v>83</v>
      </c>
      <c r="F18" s="115"/>
      <c r="G18" s="114" t="s">
        <v>1987</v>
      </c>
      <c r="H18" s="114" t="s">
        <v>1988</v>
      </c>
      <c r="I18" s="116"/>
      <c r="J18" s="114"/>
      <c r="K18" s="116">
        <v>3.5</v>
      </c>
      <c r="L18" s="114" t="s">
        <v>1989</v>
      </c>
    </row>
    <row r="19" spans="1:31" ht="15.75" customHeight="1">
      <c r="A19" s="111" t="s">
        <v>1900</v>
      </c>
      <c r="B19" s="112">
        <v>17</v>
      </c>
      <c r="C19" s="113" t="s">
        <v>1990</v>
      </c>
      <c r="D19" s="114" t="s">
        <v>1991</v>
      </c>
      <c r="E19" s="111" t="s">
        <v>83</v>
      </c>
      <c r="F19" s="115"/>
      <c r="G19" s="114" t="s">
        <v>1992</v>
      </c>
      <c r="H19" s="114" t="s">
        <v>1993</v>
      </c>
      <c r="I19" s="116"/>
      <c r="J19" s="114"/>
      <c r="K19" s="116" t="s">
        <v>1905</v>
      </c>
      <c r="L19" s="114" t="s">
        <v>1994</v>
      </c>
    </row>
    <row r="20" spans="1:31" ht="15.75" customHeight="1">
      <c r="A20" s="111" t="s">
        <v>1900</v>
      </c>
      <c r="B20" s="112">
        <v>18</v>
      </c>
      <c r="C20" s="113" t="s">
        <v>1995</v>
      </c>
      <c r="D20" s="114" t="s">
        <v>1996</v>
      </c>
      <c r="E20" s="111" t="s">
        <v>83</v>
      </c>
      <c r="F20" s="115"/>
      <c r="G20" s="114" t="s">
        <v>1997</v>
      </c>
      <c r="H20" s="114" t="s">
        <v>1998</v>
      </c>
      <c r="I20" s="117">
        <v>3.8</v>
      </c>
      <c r="J20" s="114" t="s">
        <v>1945</v>
      </c>
      <c r="K20" s="116" t="s">
        <v>1927</v>
      </c>
      <c r="L20" s="114" t="s">
        <v>1999</v>
      </c>
    </row>
    <row r="21" spans="1:31" ht="15.75" customHeight="1">
      <c r="A21" s="111" t="s">
        <v>1900</v>
      </c>
      <c r="B21" s="112">
        <v>19</v>
      </c>
      <c r="C21" s="113" t="s">
        <v>2000</v>
      </c>
      <c r="D21" s="114" t="s">
        <v>2001</v>
      </c>
      <c r="E21" s="111" t="s">
        <v>83</v>
      </c>
      <c r="F21" s="115"/>
      <c r="G21" s="114" t="s">
        <v>2002</v>
      </c>
      <c r="H21" s="114" t="s">
        <v>2003</v>
      </c>
      <c r="I21" s="116"/>
      <c r="J21" s="114"/>
      <c r="K21" s="116">
        <v>4.7</v>
      </c>
      <c r="L21" s="114" t="s">
        <v>2004</v>
      </c>
    </row>
    <row r="22" spans="1:31" ht="15.75" customHeight="1">
      <c r="A22" s="105" t="s">
        <v>1900</v>
      </c>
      <c r="B22" s="106">
        <v>20</v>
      </c>
      <c r="C22" s="107" t="s">
        <v>2005</v>
      </c>
      <c r="D22" s="108" t="s">
        <v>2006</v>
      </c>
      <c r="E22" s="105" t="s">
        <v>155</v>
      </c>
      <c r="F22" s="109" t="s">
        <v>2007</v>
      </c>
      <c r="G22" s="108" t="s">
        <v>2008</v>
      </c>
      <c r="H22" s="108" t="s">
        <v>2009</v>
      </c>
      <c r="I22" s="110"/>
      <c r="J22" s="108"/>
      <c r="K22" s="110" t="s">
        <v>2010</v>
      </c>
      <c r="L22" s="108" t="s">
        <v>2011</v>
      </c>
      <c r="M22" s="96"/>
      <c r="N22" s="96"/>
      <c r="O22" s="96"/>
      <c r="P22" s="96"/>
      <c r="Q22" s="96"/>
      <c r="R22" s="96"/>
      <c r="S22" s="96"/>
      <c r="T22" s="96"/>
      <c r="U22" s="96"/>
      <c r="V22" s="96"/>
      <c r="W22" s="96"/>
      <c r="X22" s="96"/>
      <c r="Y22" s="96"/>
      <c r="Z22" s="96"/>
      <c r="AA22" s="96"/>
      <c r="AB22" s="96"/>
      <c r="AC22" s="96"/>
      <c r="AD22" s="96"/>
      <c r="AE22" s="96"/>
    </row>
    <row r="23" spans="1:31" ht="17.399999999999999">
      <c r="A23" s="111" t="s">
        <v>1900</v>
      </c>
      <c r="B23" s="112">
        <v>21</v>
      </c>
      <c r="C23" s="113" t="s">
        <v>2012</v>
      </c>
      <c r="D23" s="114" t="s">
        <v>2013</v>
      </c>
      <c r="E23" s="111" t="s">
        <v>83</v>
      </c>
      <c r="F23" s="115"/>
      <c r="G23" s="114" t="s">
        <v>2014</v>
      </c>
      <c r="H23" s="114" t="s">
        <v>2015</v>
      </c>
      <c r="I23" s="116"/>
      <c r="J23" s="114"/>
      <c r="K23" s="116">
        <v>4.8</v>
      </c>
      <c r="L23" s="114" t="s">
        <v>2016</v>
      </c>
    </row>
    <row r="24" spans="1:31" ht="17.399999999999999">
      <c r="A24" s="111" t="s">
        <v>1900</v>
      </c>
      <c r="B24" s="112">
        <v>22</v>
      </c>
      <c r="C24" s="113" t="s">
        <v>2017</v>
      </c>
      <c r="D24" s="114" t="s">
        <v>2018</v>
      </c>
      <c r="E24" s="111" t="s">
        <v>83</v>
      </c>
      <c r="F24" s="115"/>
      <c r="G24" s="114" t="s">
        <v>2019</v>
      </c>
      <c r="H24" s="114" t="s">
        <v>2020</v>
      </c>
      <c r="I24" s="117">
        <v>3.8</v>
      </c>
      <c r="J24" s="114" t="s">
        <v>1945</v>
      </c>
      <c r="K24" s="116" t="s">
        <v>2021</v>
      </c>
      <c r="L24" s="114" t="s">
        <v>2022</v>
      </c>
    </row>
    <row r="25" spans="1:31" ht="17.399999999999999">
      <c r="A25" s="111" t="s">
        <v>1900</v>
      </c>
      <c r="B25" s="112">
        <v>23</v>
      </c>
      <c r="C25" s="113" t="s">
        <v>2023</v>
      </c>
      <c r="D25" s="114" t="s">
        <v>2024</v>
      </c>
      <c r="E25" s="111" t="s">
        <v>83</v>
      </c>
      <c r="F25" s="115"/>
      <c r="G25" s="114" t="s">
        <v>2025</v>
      </c>
      <c r="H25" s="114" t="s">
        <v>2026</v>
      </c>
      <c r="I25" s="116"/>
      <c r="J25" s="114"/>
      <c r="K25" s="116">
        <v>3.6</v>
      </c>
      <c r="L25" s="114" t="s">
        <v>2027</v>
      </c>
    </row>
    <row r="26" spans="1:31" ht="17.399999999999999">
      <c r="A26" s="111" t="s">
        <v>1900</v>
      </c>
      <c r="B26" s="112">
        <v>24</v>
      </c>
      <c r="C26" s="113" t="s">
        <v>2028</v>
      </c>
      <c r="D26" s="119" t="s">
        <v>2029</v>
      </c>
      <c r="E26" s="111" t="s">
        <v>83</v>
      </c>
      <c r="F26" s="115"/>
      <c r="G26" s="114" t="s">
        <v>2030</v>
      </c>
      <c r="H26" s="114" t="s">
        <v>2031</v>
      </c>
      <c r="I26" s="116"/>
      <c r="J26" s="114"/>
      <c r="K26" s="116" t="s">
        <v>2032</v>
      </c>
      <c r="L26" s="114" t="s">
        <v>2033</v>
      </c>
    </row>
    <row r="27" spans="1:31" ht="17.399999999999999">
      <c r="A27" s="111" t="s">
        <v>1900</v>
      </c>
      <c r="B27" s="112">
        <v>25</v>
      </c>
      <c r="C27" s="113" t="s">
        <v>2034</v>
      </c>
      <c r="D27" s="114" t="s">
        <v>2035</v>
      </c>
      <c r="E27" s="111" t="s">
        <v>83</v>
      </c>
      <c r="F27" s="115"/>
      <c r="G27" s="114" t="s">
        <v>2036</v>
      </c>
      <c r="H27" s="114" t="s">
        <v>2037</v>
      </c>
      <c r="I27" s="117">
        <v>3.8</v>
      </c>
      <c r="J27" s="114" t="s">
        <v>1945</v>
      </c>
      <c r="K27" s="116">
        <v>3.7</v>
      </c>
      <c r="L27" s="114" t="s">
        <v>2038</v>
      </c>
    </row>
    <row r="28" spans="1:31" ht="17.399999999999999">
      <c r="A28" s="111" t="s">
        <v>1900</v>
      </c>
      <c r="B28" s="112">
        <v>26</v>
      </c>
      <c r="C28" s="113" t="s">
        <v>2039</v>
      </c>
      <c r="D28" s="114" t="s">
        <v>2040</v>
      </c>
      <c r="E28" s="111" t="s">
        <v>83</v>
      </c>
      <c r="F28" s="115"/>
      <c r="G28" s="114" t="s">
        <v>2041</v>
      </c>
      <c r="H28" s="114" t="s">
        <v>2042</v>
      </c>
      <c r="I28" s="117" t="s">
        <v>1875</v>
      </c>
      <c r="J28" s="114" t="s">
        <v>1011</v>
      </c>
      <c r="K28" s="116" t="s">
        <v>2043</v>
      </c>
      <c r="L28" s="114" t="s">
        <v>2044</v>
      </c>
    </row>
    <row r="29" spans="1:31" ht="17.399999999999999">
      <c r="A29" s="111" t="s">
        <v>1900</v>
      </c>
      <c r="B29" s="112">
        <v>27</v>
      </c>
      <c r="C29" s="113" t="s">
        <v>2045</v>
      </c>
      <c r="D29" s="114" t="s">
        <v>2046</v>
      </c>
      <c r="E29" s="111" t="s">
        <v>83</v>
      </c>
      <c r="F29" s="115"/>
      <c r="G29" s="114" t="s">
        <v>2047</v>
      </c>
      <c r="H29" s="114" t="s">
        <v>2048</v>
      </c>
      <c r="I29" s="117" t="s">
        <v>1875</v>
      </c>
      <c r="J29" s="114" t="s">
        <v>1011</v>
      </c>
      <c r="K29" s="116" t="s">
        <v>2049</v>
      </c>
      <c r="L29" s="114" t="s">
        <v>2050</v>
      </c>
    </row>
    <row r="30" spans="1:31" ht="17.399999999999999">
      <c r="A30" s="111" t="s">
        <v>1900</v>
      </c>
      <c r="B30" s="112">
        <v>28</v>
      </c>
      <c r="C30" s="113" t="s">
        <v>2051</v>
      </c>
      <c r="D30" s="114" t="s">
        <v>2052</v>
      </c>
      <c r="E30" s="111" t="s">
        <v>83</v>
      </c>
      <c r="F30" s="115"/>
      <c r="G30" s="114" t="s">
        <v>2053</v>
      </c>
      <c r="H30" s="114" t="s">
        <v>2054</v>
      </c>
      <c r="I30" s="117" t="s">
        <v>1875</v>
      </c>
      <c r="J30" s="114" t="s">
        <v>1011</v>
      </c>
      <c r="K30" s="116" t="s">
        <v>2055</v>
      </c>
      <c r="L30" s="114" t="s">
        <v>2056</v>
      </c>
    </row>
    <row r="31" spans="1:31" ht="17.399999999999999">
      <c r="A31" s="111" t="s">
        <v>1900</v>
      </c>
      <c r="B31" s="112">
        <v>29</v>
      </c>
      <c r="C31" s="113" t="s">
        <v>2057</v>
      </c>
      <c r="D31" s="114" t="s">
        <v>2058</v>
      </c>
      <c r="E31" s="111" t="s">
        <v>83</v>
      </c>
      <c r="F31" s="115"/>
      <c r="G31" s="114" t="s">
        <v>2059</v>
      </c>
      <c r="H31" s="114" t="s">
        <v>2060</v>
      </c>
      <c r="I31" s="116"/>
      <c r="J31" s="114"/>
      <c r="K31" s="116" t="s">
        <v>2061</v>
      </c>
      <c r="L31" s="114" t="s">
        <v>2062</v>
      </c>
    </row>
    <row r="32" spans="1:31" ht="17.399999999999999">
      <c r="A32" s="111" t="s">
        <v>1900</v>
      </c>
      <c r="B32" s="112">
        <v>30</v>
      </c>
      <c r="C32" s="113" t="s">
        <v>2063</v>
      </c>
      <c r="D32" s="114" t="s">
        <v>2064</v>
      </c>
      <c r="E32" s="111" t="s">
        <v>83</v>
      </c>
      <c r="F32" s="115"/>
      <c r="G32" s="114" t="s">
        <v>2065</v>
      </c>
      <c r="H32" s="114" t="s">
        <v>2066</v>
      </c>
      <c r="I32" s="116"/>
      <c r="J32" s="114"/>
      <c r="K32" s="116" t="s">
        <v>2067</v>
      </c>
      <c r="L32" s="114" t="s">
        <v>2068</v>
      </c>
    </row>
    <row r="33" spans="1:31" ht="17.399999999999999">
      <c r="A33" s="105" t="s">
        <v>1900</v>
      </c>
      <c r="B33" s="106">
        <v>31</v>
      </c>
      <c r="C33" s="120" t="s">
        <v>2069</v>
      </c>
      <c r="D33" s="108" t="s">
        <v>2070</v>
      </c>
      <c r="E33" s="105" t="s">
        <v>155</v>
      </c>
      <c r="F33" s="109" t="s">
        <v>2007</v>
      </c>
      <c r="G33" s="108" t="s">
        <v>2071</v>
      </c>
      <c r="H33" s="108" t="s">
        <v>2072</v>
      </c>
      <c r="I33" s="110"/>
      <c r="J33" s="108"/>
      <c r="K33" s="110" t="s">
        <v>2073</v>
      </c>
      <c r="L33" s="108" t="s">
        <v>2074</v>
      </c>
      <c r="M33" s="96"/>
      <c r="N33" s="96"/>
      <c r="O33" s="96"/>
      <c r="P33" s="96"/>
      <c r="Q33" s="96"/>
      <c r="R33" s="96"/>
      <c r="S33" s="96"/>
      <c r="T33" s="96"/>
      <c r="U33" s="96"/>
      <c r="V33" s="96"/>
      <c r="W33" s="96"/>
      <c r="X33" s="96"/>
      <c r="Y33" s="96"/>
      <c r="Z33" s="96"/>
      <c r="AA33" s="96"/>
      <c r="AB33" s="96"/>
      <c r="AC33" s="96"/>
      <c r="AD33" s="96"/>
      <c r="AE33" s="96"/>
    </row>
    <row r="34" spans="1:31" ht="14.4">
      <c r="D34" s="103"/>
      <c r="G34" s="103"/>
      <c r="H34" s="103"/>
      <c r="I34" s="121"/>
      <c r="J34" s="103"/>
      <c r="K34" s="121"/>
      <c r="L34" s="103"/>
    </row>
    <row r="35" spans="1:31" ht="14.4">
      <c r="A35" s="44" t="s">
        <v>2075</v>
      </c>
      <c r="D35" s="103"/>
      <c r="G35" s="103"/>
      <c r="H35" s="103"/>
      <c r="I35" s="121"/>
      <c r="J35" s="103"/>
      <c r="K35" s="121"/>
      <c r="L35" s="103"/>
    </row>
    <row r="36" spans="1:31" ht="13.2">
      <c r="A36" s="44" t="s">
        <v>2076</v>
      </c>
      <c r="G36" s="13"/>
      <c r="H36" s="13"/>
      <c r="I36" s="15"/>
      <c r="K36" s="15"/>
    </row>
    <row r="37" spans="1:31" ht="13.2">
      <c r="G37" s="13"/>
      <c r="H37" s="13"/>
      <c r="I37" s="15"/>
      <c r="K37" s="15"/>
    </row>
    <row r="38" spans="1:31" ht="13.2">
      <c r="G38" s="13"/>
      <c r="H38" s="13"/>
      <c r="I38" s="15"/>
      <c r="K38" s="15"/>
    </row>
    <row r="39" spans="1:31" ht="13.2">
      <c r="G39" s="13"/>
      <c r="H39" s="13"/>
      <c r="I39" s="15"/>
      <c r="K39" s="15"/>
    </row>
    <row r="40" spans="1:31" ht="13.2">
      <c r="G40" s="13"/>
      <c r="H40" s="13"/>
      <c r="I40" s="15"/>
      <c r="K40" s="15"/>
    </row>
    <row r="41" spans="1:31" ht="13.2">
      <c r="G41" s="13"/>
      <c r="H41" s="13"/>
      <c r="I41" s="15"/>
      <c r="K41" s="15"/>
    </row>
    <row r="42" spans="1:31" ht="13.2">
      <c r="G42" s="13"/>
      <c r="H42" s="13"/>
      <c r="I42" s="15"/>
      <c r="K42" s="15"/>
    </row>
    <row r="43" spans="1:31" ht="13.2">
      <c r="G43" s="13"/>
      <c r="H43" s="13"/>
      <c r="I43" s="15"/>
      <c r="K43" s="15"/>
    </row>
    <row r="44" spans="1:31" ht="13.2">
      <c r="G44" s="13"/>
      <c r="H44" s="13"/>
      <c r="I44" s="15"/>
      <c r="K44" s="15"/>
    </row>
    <row r="45" spans="1:31" ht="13.2">
      <c r="G45" s="13"/>
      <c r="H45" s="13"/>
      <c r="I45" s="15"/>
      <c r="K45" s="15"/>
    </row>
    <row r="46" spans="1:31" ht="13.2">
      <c r="G46" s="13"/>
      <c r="H46" s="13"/>
      <c r="I46" s="15"/>
      <c r="K46" s="15"/>
    </row>
    <row r="47" spans="1:31" ht="13.2">
      <c r="G47" s="13"/>
      <c r="H47" s="13"/>
      <c r="I47" s="15"/>
      <c r="K47" s="15"/>
    </row>
    <row r="48" spans="1:31" ht="13.2">
      <c r="G48" s="13"/>
      <c r="H48" s="13"/>
      <c r="I48" s="15"/>
      <c r="K48" s="15"/>
    </row>
    <row r="49" spans="7:11" ht="13.2">
      <c r="G49" s="13"/>
      <c r="H49" s="13"/>
      <c r="I49" s="15"/>
      <c r="K49" s="15"/>
    </row>
    <row r="50" spans="7:11" ht="13.2">
      <c r="G50" s="13"/>
      <c r="H50" s="13"/>
      <c r="I50" s="15"/>
      <c r="K50" s="15"/>
    </row>
    <row r="51" spans="7:11" ht="13.2">
      <c r="G51" s="13"/>
      <c r="H51" s="13"/>
      <c r="I51" s="15"/>
      <c r="K51" s="15"/>
    </row>
    <row r="52" spans="7:11" ht="13.2">
      <c r="G52" s="13"/>
      <c r="H52" s="13"/>
      <c r="I52" s="15"/>
      <c r="K52" s="15"/>
    </row>
    <row r="53" spans="7:11" ht="13.2">
      <c r="G53" s="13"/>
      <c r="H53" s="13"/>
      <c r="I53" s="15"/>
      <c r="K53" s="15"/>
    </row>
    <row r="54" spans="7:11" ht="13.2">
      <c r="G54" s="13"/>
      <c r="H54" s="13"/>
      <c r="I54" s="15"/>
      <c r="K54" s="15"/>
    </row>
    <row r="55" spans="7:11" ht="13.2">
      <c r="G55" s="13"/>
      <c r="H55" s="13"/>
      <c r="I55" s="15"/>
      <c r="K55" s="15"/>
    </row>
    <row r="56" spans="7:11" ht="13.2">
      <c r="G56" s="13"/>
      <c r="H56" s="13"/>
      <c r="I56" s="15"/>
      <c r="K56" s="15"/>
    </row>
    <row r="57" spans="7:11" ht="13.2">
      <c r="G57" s="13"/>
      <c r="H57" s="13"/>
      <c r="I57" s="15"/>
      <c r="K57" s="15"/>
    </row>
    <row r="58" spans="7:11" ht="13.2">
      <c r="G58" s="13"/>
      <c r="H58" s="13"/>
      <c r="I58" s="15"/>
      <c r="K58" s="15"/>
    </row>
    <row r="59" spans="7:11" ht="13.2">
      <c r="G59" s="13"/>
      <c r="H59" s="13"/>
      <c r="I59" s="15"/>
      <c r="K59" s="15"/>
    </row>
    <row r="60" spans="7:11" ht="13.2">
      <c r="G60" s="13"/>
      <c r="H60" s="13"/>
      <c r="I60" s="15"/>
      <c r="K60" s="15"/>
    </row>
    <row r="61" spans="7:11" ht="13.2">
      <c r="G61" s="13"/>
      <c r="H61" s="13"/>
      <c r="I61" s="15"/>
      <c r="K61" s="15"/>
    </row>
    <row r="62" spans="7:11" ht="13.2">
      <c r="G62" s="13"/>
      <c r="H62" s="13"/>
      <c r="I62" s="15"/>
      <c r="K62" s="15"/>
    </row>
    <row r="63" spans="7:11" ht="13.2">
      <c r="G63" s="13"/>
      <c r="H63" s="13"/>
      <c r="I63" s="15"/>
      <c r="K63" s="15"/>
    </row>
    <row r="64" spans="7:11" ht="13.2">
      <c r="G64" s="13"/>
      <c r="H64" s="13"/>
      <c r="I64" s="15"/>
      <c r="K64" s="15"/>
    </row>
    <row r="65" spans="7:11" ht="13.2">
      <c r="G65" s="13"/>
      <c r="H65" s="13"/>
      <c r="I65" s="15"/>
      <c r="K65" s="15"/>
    </row>
    <row r="66" spans="7:11" ht="13.2">
      <c r="G66" s="13"/>
      <c r="H66" s="13"/>
      <c r="I66" s="15"/>
      <c r="K66" s="15"/>
    </row>
    <row r="67" spans="7:11" ht="13.2">
      <c r="G67" s="13"/>
      <c r="H67" s="13"/>
      <c r="I67" s="15"/>
      <c r="K67" s="15"/>
    </row>
    <row r="68" spans="7:11" ht="13.2">
      <c r="G68" s="13"/>
      <c r="H68" s="13"/>
      <c r="I68" s="15"/>
      <c r="K68" s="15"/>
    </row>
    <row r="69" spans="7:11" ht="13.2">
      <c r="G69" s="13"/>
      <c r="H69" s="13"/>
      <c r="I69" s="15"/>
      <c r="K69" s="15"/>
    </row>
    <row r="70" spans="7:11" ht="13.2">
      <c r="G70" s="13"/>
      <c r="H70" s="13"/>
      <c r="I70" s="15"/>
      <c r="K70" s="15"/>
    </row>
    <row r="71" spans="7:11" ht="13.2">
      <c r="G71" s="13"/>
      <c r="H71" s="13"/>
      <c r="I71" s="15"/>
      <c r="K71" s="15"/>
    </row>
    <row r="72" spans="7:11" ht="13.2">
      <c r="G72" s="13"/>
      <c r="H72" s="13"/>
      <c r="I72" s="15"/>
      <c r="K72" s="15"/>
    </row>
    <row r="73" spans="7:11" ht="13.2">
      <c r="G73" s="13"/>
      <c r="H73" s="13"/>
      <c r="I73" s="15"/>
      <c r="K73" s="15"/>
    </row>
    <row r="74" spans="7:11" ht="13.2">
      <c r="G74" s="13"/>
      <c r="H74" s="13"/>
      <c r="I74" s="15"/>
      <c r="K74" s="15"/>
    </row>
    <row r="75" spans="7:11" ht="13.2">
      <c r="G75" s="13"/>
      <c r="H75" s="13"/>
      <c r="I75" s="15"/>
      <c r="K75" s="15"/>
    </row>
    <row r="76" spans="7:11" ht="13.2">
      <c r="G76" s="13"/>
      <c r="H76" s="13"/>
      <c r="I76" s="15"/>
      <c r="K76" s="15"/>
    </row>
    <row r="77" spans="7:11" ht="13.2">
      <c r="G77" s="13"/>
      <c r="H77" s="13"/>
      <c r="I77" s="15"/>
      <c r="K77" s="15"/>
    </row>
    <row r="78" spans="7:11" ht="13.2">
      <c r="G78" s="13"/>
      <c r="H78" s="13"/>
      <c r="I78" s="15"/>
      <c r="K78" s="15"/>
    </row>
    <row r="79" spans="7:11" ht="13.2">
      <c r="G79" s="13"/>
      <c r="H79" s="13"/>
      <c r="I79" s="15"/>
      <c r="K79" s="15"/>
    </row>
    <row r="80" spans="7:11" ht="13.2">
      <c r="G80" s="13"/>
      <c r="H80" s="13"/>
      <c r="I80" s="15"/>
      <c r="K80" s="15"/>
    </row>
    <row r="81" spans="7:11" ht="13.2">
      <c r="G81" s="13"/>
      <c r="H81" s="13"/>
      <c r="I81" s="15"/>
      <c r="K81" s="15"/>
    </row>
    <row r="82" spans="7:11" ht="13.2">
      <c r="G82" s="13"/>
      <c r="H82" s="13"/>
      <c r="I82" s="15"/>
      <c r="K82" s="15"/>
    </row>
    <row r="83" spans="7:11" ht="13.2">
      <c r="G83" s="13"/>
      <c r="H83" s="13"/>
      <c r="I83" s="15"/>
      <c r="K83" s="15"/>
    </row>
    <row r="84" spans="7:11" ht="13.2">
      <c r="G84" s="13"/>
      <c r="H84" s="13"/>
      <c r="I84" s="15"/>
      <c r="K84" s="15"/>
    </row>
    <row r="85" spans="7:11" ht="13.2">
      <c r="G85" s="13"/>
      <c r="H85" s="13"/>
      <c r="I85" s="15"/>
      <c r="K85" s="15"/>
    </row>
    <row r="86" spans="7:11" ht="13.2">
      <c r="G86" s="13"/>
      <c r="H86" s="13"/>
      <c r="I86" s="15"/>
      <c r="K86" s="15"/>
    </row>
    <row r="87" spans="7:11" ht="13.2">
      <c r="G87" s="13"/>
      <c r="H87" s="13"/>
      <c r="I87" s="15"/>
      <c r="K87" s="15"/>
    </row>
    <row r="88" spans="7:11" ht="13.2">
      <c r="G88" s="13"/>
      <c r="H88" s="13"/>
      <c r="I88" s="15"/>
      <c r="K88" s="15"/>
    </row>
    <row r="89" spans="7:11" ht="13.2">
      <c r="G89" s="13"/>
      <c r="H89" s="13"/>
      <c r="I89" s="15"/>
      <c r="K89" s="15"/>
    </row>
    <row r="90" spans="7:11" ht="13.2">
      <c r="G90" s="13"/>
      <c r="H90" s="13"/>
      <c r="I90" s="15"/>
      <c r="K90" s="15"/>
    </row>
    <row r="91" spans="7:11" ht="13.2">
      <c r="G91" s="13"/>
      <c r="H91" s="13"/>
      <c r="I91" s="15"/>
      <c r="K91" s="15"/>
    </row>
    <row r="92" spans="7:11" ht="13.2">
      <c r="G92" s="13"/>
      <c r="H92" s="13"/>
      <c r="I92" s="15"/>
      <c r="K92" s="15"/>
    </row>
    <row r="93" spans="7:11" ht="13.2">
      <c r="G93" s="13"/>
      <c r="H93" s="13"/>
      <c r="I93" s="15"/>
      <c r="K93" s="15"/>
    </row>
    <row r="94" spans="7:11" ht="13.2">
      <c r="G94" s="13"/>
      <c r="H94" s="13"/>
      <c r="I94" s="15"/>
      <c r="K94" s="15"/>
    </row>
    <row r="95" spans="7:11" ht="13.2">
      <c r="G95" s="13"/>
      <c r="H95" s="13"/>
      <c r="I95" s="15"/>
      <c r="K95" s="15"/>
    </row>
    <row r="96" spans="7:11" ht="13.2">
      <c r="G96" s="13"/>
      <c r="H96" s="13"/>
      <c r="I96" s="15"/>
      <c r="K96" s="15"/>
    </row>
    <row r="97" spans="7:11" ht="13.2">
      <c r="G97" s="13"/>
      <c r="H97" s="13"/>
      <c r="I97" s="15"/>
      <c r="K97" s="15"/>
    </row>
    <row r="98" spans="7:11" ht="13.2">
      <c r="G98" s="13"/>
      <c r="H98" s="13"/>
      <c r="I98" s="15"/>
      <c r="K98" s="15"/>
    </row>
    <row r="99" spans="7:11" ht="13.2">
      <c r="G99" s="13"/>
      <c r="H99" s="13"/>
      <c r="I99" s="15"/>
      <c r="K99" s="15"/>
    </row>
    <row r="100" spans="7:11" ht="13.2">
      <c r="G100" s="13"/>
      <c r="H100" s="13"/>
      <c r="I100" s="15"/>
      <c r="K100" s="15"/>
    </row>
    <row r="101" spans="7:11" ht="13.2">
      <c r="G101" s="13"/>
      <c r="H101" s="13"/>
      <c r="I101" s="15"/>
      <c r="K101" s="15"/>
    </row>
    <row r="102" spans="7:11" ht="13.2">
      <c r="G102" s="13"/>
      <c r="H102" s="13"/>
      <c r="I102" s="15"/>
      <c r="K102" s="15"/>
    </row>
    <row r="103" spans="7:11" ht="13.2">
      <c r="G103" s="13"/>
      <c r="H103" s="13"/>
      <c r="I103" s="15"/>
      <c r="K103" s="15"/>
    </row>
    <row r="104" spans="7:11" ht="13.2">
      <c r="G104" s="13"/>
      <c r="H104" s="13"/>
      <c r="I104" s="15"/>
      <c r="K104" s="15"/>
    </row>
    <row r="105" spans="7:11" ht="13.2">
      <c r="G105" s="13"/>
      <c r="H105" s="13"/>
      <c r="I105" s="15"/>
      <c r="K105" s="15"/>
    </row>
    <row r="106" spans="7:11" ht="13.2">
      <c r="G106" s="13"/>
      <c r="H106" s="13"/>
      <c r="I106" s="15"/>
      <c r="K106" s="15"/>
    </row>
    <row r="107" spans="7:11" ht="13.2">
      <c r="G107" s="13"/>
      <c r="H107" s="13"/>
      <c r="I107" s="15"/>
      <c r="K107" s="15"/>
    </row>
    <row r="108" spans="7:11" ht="13.2">
      <c r="G108" s="13"/>
      <c r="H108" s="13"/>
      <c r="I108" s="15"/>
      <c r="K108" s="15"/>
    </row>
    <row r="109" spans="7:11" ht="13.2">
      <c r="G109" s="13"/>
      <c r="H109" s="13"/>
      <c r="I109" s="15"/>
      <c r="K109" s="15"/>
    </row>
    <row r="110" spans="7:11" ht="13.2">
      <c r="G110" s="13"/>
      <c r="H110" s="13"/>
      <c r="I110" s="15"/>
      <c r="K110" s="15"/>
    </row>
    <row r="111" spans="7:11" ht="13.2">
      <c r="G111" s="13"/>
      <c r="H111" s="13"/>
      <c r="I111" s="15"/>
      <c r="K111" s="15"/>
    </row>
    <row r="112" spans="7:11" ht="13.2">
      <c r="G112" s="13"/>
      <c r="H112" s="13"/>
      <c r="I112" s="15"/>
      <c r="K112" s="15"/>
    </row>
    <row r="113" spans="7:11" ht="13.2">
      <c r="G113" s="13"/>
      <c r="H113" s="13"/>
      <c r="I113" s="15"/>
      <c r="K113" s="15"/>
    </row>
    <row r="114" spans="7:11" ht="13.2">
      <c r="G114" s="13"/>
      <c r="H114" s="13"/>
      <c r="I114" s="15"/>
      <c r="K114" s="15"/>
    </row>
    <row r="115" spans="7:11" ht="13.2">
      <c r="G115" s="13"/>
      <c r="H115" s="13"/>
      <c r="I115" s="15"/>
      <c r="K115" s="15"/>
    </row>
    <row r="116" spans="7:11" ht="13.2">
      <c r="G116" s="13"/>
      <c r="H116" s="13"/>
      <c r="I116" s="15"/>
      <c r="K116" s="15"/>
    </row>
    <row r="117" spans="7:11" ht="13.2">
      <c r="G117" s="13"/>
      <c r="H117" s="13"/>
      <c r="I117" s="15"/>
      <c r="K117" s="15"/>
    </row>
    <row r="118" spans="7:11" ht="13.2">
      <c r="G118" s="13"/>
      <c r="H118" s="13"/>
      <c r="I118" s="15"/>
      <c r="K118" s="15"/>
    </row>
    <row r="119" spans="7:11" ht="13.2">
      <c r="G119" s="13"/>
      <c r="H119" s="13"/>
      <c r="I119" s="15"/>
      <c r="K119" s="15"/>
    </row>
    <row r="120" spans="7:11" ht="13.2">
      <c r="G120" s="13"/>
      <c r="H120" s="13"/>
      <c r="I120" s="15"/>
      <c r="K120" s="15"/>
    </row>
    <row r="121" spans="7:11" ht="13.2">
      <c r="G121" s="13"/>
      <c r="H121" s="13"/>
      <c r="I121" s="15"/>
      <c r="K121" s="15"/>
    </row>
    <row r="122" spans="7:11" ht="13.2">
      <c r="G122" s="13"/>
      <c r="H122" s="13"/>
      <c r="I122" s="15"/>
      <c r="K122" s="15"/>
    </row>
    <row r="123" spans="7:11" ht="13.2">
      <c r="G123" s="13"/>
      <c r="H123" s="13"/>
      <c r="I123" s="15"/>
      <c r="K123" s="15"/>
    </row>
    <row r="124" spans="7:11" ht="13.2">
      <c r="G124" s="13"/>
      <c r="H124" s="13"/>
      <c r="I124" s="15"/>
      <c r="K124" s="15"/>
    </row>
    <row r="125" spans="7:11" ht="13.2">
      <c r="G125" s="13"/>
      <c r="H125" s="13"/>
      <c r="I125" s="15"/>
      <c r="K125" s="15"/>
    </row>
    <row r="126" spans="7:11" ht="13.2">
      <c r="G126" s="13"/>
      <c r="H126" s="13"/>
      <c r="I126" s="15"/>
      <c r="K126" s="15"/>
    </row>
    <row r="127" spans="7:11" ht="13.2">
      <c r="G127" s="13"/>
      <c r="H127" s="13"/>
      <c r="I127" s="15"/>
      <c r="K127" s="15"/>
    </row>
    <row r="128" spans="7:11" ht="13.2">
      <c r="G128" s="13"/>
      <c r="H128" s="13"/>
      <c r="I128" s="15"/>
      <c r="K128" s="15"/>
    </row>
    <row r="129" spans="7:11" ht="13.2">
      <c r="G129" s="13"/>
      <c r="H129" s="13"/>
      <c r="I129" s="15"/>
      <c r="K129" s="15"/>
    </row>
    <row r="130" spans="7:11" ht="13.2">
      <c r="G130" s="13"/>
      <c r="H130" s="13"/>
      <c r="I130" s="15"/>
      <c r="K130" s="15"/>
    </row>
    <row r="131" spans="7:11" ht="13.2">
      <c r="G131" s="13"/>
      <c r="H131" s="13"/>
      <c r="I131" s="15"/>
      <c r="K131" s="15"/>
    </row>
    <row r="132" spans="7:11" ht="13.2">
      <c r="G132" s="13"/>
      <c r="H132" s="13"/>
      <c r="I132" s="15"/>
      <c r="K132" s="15"/>
    </row>
    <row r="133" spans="7:11" ht="13.2">
      <c r="G133" s="13"/>
      <c r="H133" s="13"/>
      <c r="I133" s="15"/>
      <c r="K133" s="15"/>
    </row>
    <row r="134" spans="7:11" ht="13.2">
      <c r="G134" s="13"/>
      <c r="H134" s="13"/>
      <c r="I134" s="15"/>
      <c r="K134" s="15"/>
    </row>
    <row r="135" spans="7:11" ht="13.2">
      <c r="G135" s="13"/>
      <c r="H135" s="13"/>
      <c r="I135" s="15"/>
      <c r="K135" s="15"/>
    </row>
    <row r="136" spans="7:11" ht="13.2">
      <c r="G136" s="13"/>
      <c r="H136" s="13"/>
      <c r="I136" s="15"/>
      <c r="K136" s="15"/>
    </row>
    <row r="137" spans="7:11" ht="13.2">
      <c r="G137" s="13"/>
      <c r="H137" s="13"/>
      <c r="I137" s="15"/>
      <c r="K137" s="15"/>
    </row>
    <row r="138" spans="7:11" ht="13.2">
      <c r="G138" s="13"/>
      <c r="H138" s="13"/>
      <c r="I138" s="15"/>
      <c r="K138" s="15"/>
    </row>
    <row r="139" spans="7:11" ht="13.2">
      <c r="G139" s="13"/>
      <c r="H139" s="13"/>
      <c r="I139" s="15"/>
      <c r="K139" s="15"/>
    </row>
    <row r="140" spans="7:11" ht="13.2">
      <c r="G140" s="13"/>
      <c r="H140" s="13"/>
      <c r="I140" s="15"/>
      <c r="K140" s="15"/>
    </row>
    <row r="141" spans="7:11" ht="13.2">
      <c r="G141" s="13"/>
      <c r="H141" s="13"/>
      <c r="I141" s="15"/>
      <c r="K141" s="15"/>
    </row>
    <row r="142" spans="7:11" ht="13.2">
      <c r="G142" s="13"/>
      <c r="H142" s="13"/>
      <c r="I142" s="15"/>
      <c r="K142" s="15"/>
    </row>
    <row r="143" spans="7:11" ht="13.2">
      <c r="G143" s="13"/>
      <c r="H143" s="13"/>
      <c r="I143" s="15"/>
      <c r="K143" s="15"/>
    </row>
    <row r="144" spans="7:11" ht="13.2">
      <c r="G144" s="13"/>
      <c r="H144" s="13"/>
      <c r="I144" s="15"/>
      <c r="K144" s="15"/>
    </row>
    <row r="145" spans="7:11" ht="13.2">
      <c r="G145" s="13"/>
      <c r="H145" s="13"/>
      <c r="I145" s="15"/>
      <c r="K145" s="15"/>
    </row>
    <row r="146" spans="7:11" ht="13.2">
      <c r="G146" s="13"/>
      <c r="H146" s="13"/>
      <c r="I146" s="15"/>
      <c r="K146" s="15"/>
    </row>
    <row r="147" spans="7:11" ht="13.2">
      <c r="G147" s="13"/>
      <c r="H147" s="13"/>
      <c r="I147" s="15"/>
      <c r="K147" s="15"/>
    </row>
    <row r="148" spans="7:11" ht="13.2">
      <c r="G148" s="13"/>
      <c r="H148" s="13"/>
      <c r="I148" s="15"/>
      <c r="K148" s="15"/>
    </row>
    <row r="149" spans="7:11" ht="13.2">
      <c r="G149" s="13"/>
      <c r="H149" s="13"/>
      <c r="I149" s="15"/>
      <c r="K149" s="15"/>
    </row>
    <row r="150" spans="7:11" ht="13.2">
      <c r="G150" s="13"/>
      <c r="H150" s="13"/>
      <c r="I150" s="15"/>
      <c r="K150" s="15"/>
    </row>
    <row r="151" spans="7:11" ht="13.2">
      <c r="G151" s="13"/>
      <c r="H151" s="13"/>
      <c r="I151" s="15"/>
      <c r="K151" s="15"/>
    </row>
    <row r="152" spans="7:11" ht="13.2">
      <c r="G152" s="13"/>
      <c r="H152" s="13"/>
      <c r="I152" s="15"/>
      <c r="K152" s="15"/>
    </row>
    <row r="153" spans="7:11" ht="13.2">
      <c r="G153" s="13"/>
      <c r="H153" s="13"/>
      <c r="I153" s="15"/>
      <c r="K153" s="15"/>
    </row>
    <row r="154" spans="7:11" ht="13.2">
      <c r="G154" s="13"/>
      <c r="H154" s="13"/>
      <c r="I154" s="15"/>
      <c r="K154" s="15"/>
    </row>
    <row r="155" spans="7:11" ht="13.2">
      <c r="G155" s="13"/>
      <c r="H155" s="13"/>
      <c r="I155" s="15"/>
      <c r="K155" s="15"/>
    </row>
    <row r="156" spans="7:11" ht="13.2">
      <c r="G156" s="13"/>
      <c r="H156" s="13"/>
      <c r="I156" s="15"/>
      <c r="K156" s="15"/>
    </row>
    <row r="157" spans="7:11" ht="13.2">
      <c r="G157" s="13"/>
      <c r="H157" s="13"/>
      <c r="I157" s="15"/>
      <c r="K157" s="15"/>
    </row>
    <row r="158" spans="7:11" ht="13.2">
      <c r="G158" s="13"/>
      <c r="H158" s="13"/>
      <c r="I158" s="15"/>
      <c r="K158" s="15"/>
    </row>
    <row r="159" spans="7:11" ht="13.2">
      <c r="G159" s="13"/>
      <c r="H159" s="13"/>
      <c r="I159" s="15"/>
      <c r="K159" s="15"/>
    </row>
    <row r="160" spans="7:11" ht="13.2">
      <c r="G160" s="13"/>
      <c r="H160" s="13"/>
      <c r="I160" s="15"/>
      <c r="K160" s="15"/>
    </row>
    <row r="161" spans="7:11" ht="13.2">
      <c r="G161" s="13"/>
      <c r="H161" s="13"/>
      <c r="I161" s="15"/>
      <c r="K161" s="15"/>
    </row>
    <row r="162" spans="7:11" ht="13.2">
      <c r="G162" s="13"/>
      <c r="H162" s="13"/>
      <c r="I162" s="15"/>
      <c r="K162" s="15"/>
    </row>
    <row r="163" spans="7:11" ht="13.2">
      <c r="G163" s="13"/>
      <c r="H163" s="13"/>
      <c r="I163" s="15"/>
      <c r="K163" s="15"/>
    </row>
    <row r="164" spans="7:11" ht="13.2">
      <c r="G164" s="13"/>
      <c r="H164" s="13"/>
      <c r="I164" s="15"/>
      <c r="K164" s="15"/>
    </row>
    <row r="165" spans="7:11" ht="13.2">
      <c r="G165" s="13"/>
      <c r="H165" s="13"/>
      <c r="I165" s="15"/>
      <c r="K165" s="15"/>
    </row>
    <row r="166" spans="7:11" ht="13.2">
      <c r="G166" s="13"/>
      <c r="H166" s="13"/>
      <c r="I166" s="15"/>
      <c r="K166" s="15"/>
    </row>
    <row r="167" spans="7:11" ht="13.2">
      <c r="G167" s="13"/>
      <c r="H167" s="13"/>
      <c r="I167" s="15"/>
      <c r="K167" s="15"/>
    </row>
    <row r="168" spans="7:11" ht="13.2">
      <c r="G168" s="13"/>
      <c r="H168" s="13"/>
      <c r="I168" s="15"/>
      <c r="K168" s="15"/>
    </row>
    <row r="169" spans="7:11" ht="13.2">
      <c r="G169" s="13"/>
      <c r="H169" s="13"/>
      <c r="I169" s="15"/>
      <c r="K169" s="15"/>
    </row>
    <row r="170" spans="7:11" ht="13.2">
      <c r="G170" s="13"/>
      <c r="H170" s="13"/>
      <c r="I170" s="15"/>
      <c r="K170" s="15"/>
    </row>
    <row r="171" spans="7:11" ht="13.2">
      <c r="G171" s="13"/>
      <c r="H171" s="13"/>
      <c r="I171" s="15"/>
      <c r="K171" s="15"/>
    </row>
    <row r="172" spans="7:11" ht="13.2">
      <c r="G172" s="13"/>
      <c r="H172" s="13"/>
      <c r="I172" s="15"/>
      <c r="K172" s="15"/>
    </row>
    <row r="173" spans="7:11" ht="13.2">
      <c r="G173" s="13"/>
      <c r="H173" s="13"/>
      <c r="I173" s="15"/>
      <c r="K173" s="15"/>
    </row>
    <row r="174" spans="7:11" ht="13.2">
      <c r="G174" s="13"/>
      <c r="H174" s="13"/>
      <c r="I174" s="15"/>
      <c r="K174" s="15"/>
    </row>
    <row r="175" spans="7:11" ht="13.2">
      <c r="G175" s="13"/>
      <c r="H175" s="13"/>
      <c r="I175" s="15"/>
      <c r="K175" s="15"/>
    </row>
    <row r="176" spans="7:11" ht="13.2">
      <c r="G176" s="13"/>
      <c r="H176" s="13"/>
      <c r="I176" s="15"/>
      <c r="K176" s="15"/>
    </row>
    <row r="177" spans="7:11" ht="13.2">
      <c r="G177" s="13"/>
      <c r="H177" s="13"/>
      <c r="I177" s="15"/>
      <c r="K177" s="15"/>
    </row>
    <row r="178" spans="7:11" ht="13.2">
      <c r="G178" s="13"/>
      <c r="H178" s="13"/>
      <c r="I178" s="15"/>
      <c r="K178" s="15"/>
    </row>
    <row r="179" spans="7:11" ht="13.2">
      <c r="G179" s="13"/>
      <c r="H179" s="13"/>
      <c r="I179" s="15"/>
      <c r="K179" s="15"/>
    </row>
    <row r="180" spans="7:11" ht="13.2">
      <c r="G180" s="13"/>
      <c r="H180" s="13"/>
      <c r="I180" s="15"/>
      <c r="K180" s="15"/>
    </row>
    <row r="181" spans="7:11" ht="13.2">
      <c r="G181" s="13"/>
      <c r="H181" s="13"/>
      <c r="I181" s="15"/>
      <c r="K181" s="15"/>
    </row>
    <row r="182" spans="7:11" ht="13.2">
      <c r="G182" s="13"/>
      <c r="H182" s="13"/>
      <c r="I182" s="15"/>
      <c r="K182" s="15"/>
    </row>
    <row r="183" spans="7:11" ht="13.2">
      <c r="G183" s="13"/>
      <c r="H183" s="13"/>
      <c r="I183" s="15"/>
      <c r="K183" s="15"/>
    </row>
    <row r="184" spans="7:11" ht="13.2">
      <c r="G184" s="13"/>
      <c r="H184" s="13"/>
      <c r="I184" s="15"/>
      <c r="K184" s="15"/>
    </row>
    <row r="185" spans="7:11" ht="13.2">
      <c r="G185" s="13"/>
      <c r="H185" s="13"/>
      <c r="I185" s="15"/>
      <c r="K185" s="15"/>
    </row>
    <row r="186" spans="7:11" ht="13.2">
      <c r="G186" s="13"/>
      <c r="H186" s="13"/>
      <c r="I186" s="15"/>
      <c r="K186" s="15"/>
    </row>
    <row r="187" spans="7:11" ht="13.2">
      <c r="G187" s="13"/>
      <c r="H187" s="13"/>
      <c r="I187" s="15"/>
      <c r="K187" s="15"/>
    </row>
    <row r="188" spans="7:11" ht="13.2">
      <c r="G188" s="13"/>
      <c r="H188" s="13"/>
      <c r="I188" s="15"/>
      <c r="K188" s="15"/>
    </row>
    <row r="189" spans="7:11" ht="13.2">
      <c r="G189" s="13"/>
      <c r="H189" s="13"/>
      <c r="I189" s="15"/>
      <c r="K189" s="15"/>
    </row>
    <row r="190" spans="7:11" ht="13.2">
      <c r="G190" s="13"/>
      <c r="H190" s="13"/>
      <c r="I190" s="15"/>
      <c r="K190" s="15"/>
    </row>
    <row r="191" spans="7:11" ht="13.2">
      <c r="G191" s="13"/>
      <c r="H191" s="13"/>
      <c r="I191" s="15"/>
      <c r="K191" s="15"/>
    </row>
    <row r="192" spans="7:11" ht="13.2">
      <c r="G192" s="13"/>
      <c r="H192" s="13"/>
      <c r="I192" s="15"/>
      <c r="K192" s="15"/>
    </row>
    <row r="193" spans="7:11" ht="13.2">
      <c r="G193" s="13"/>
      <c r="H193" s="13"/>
      <c r="I193" s="15"/>
      <c r="K193" s="15"/>
    </row>
    <row r="194" spans="7:11" ht="13.2">
      <c r="G194" s="13"/>
      <c r="H194" s="13"/>
      <c r="I194" s="15"/>
      <c r="K194" s="15"/>
    </row>
    <row r="195" spans="7:11" ht="13.2">
      <c r="G195" s="13"/>
      <c r="H195" s="13"/>
      <c r="I195" s="15"/>
      <c r="K195" s="15"/>
    </row>
    <row r="196" spans="7:11" ht="13.2">
      <c r="G196" s="13"/>
      <c r="H196" s="13"/>
      <c r="I196" s="15"/>
      <c r="K196" s="15"/>
    </row>
    <row r="197" spans="7:11" ht="13.2">
      <c r="G197" s="13"/>
      <c r="H197" s="13"/>
      <c r="I197" s="15"/>
      <c r="K197" s="15"/>
    </row>
    <row r="198" spans="7:11" ht="13.2">
      <c r="G198" s="13"/>
      <c r="H198" s="13"/>
      <c r="I198" s="15"/>
      <c r="K198" s="15"/>
    </row>
    <row r="199" spans="7:11" ht="13.2">
      <c r="G199" s="13"/>
      <c r="H199" s="13"/>
      <c r="I199" s="15"/>
      <c r="K199" s="15"/>
    </row>
    <row r="200" spans="7:11" ht="13.2">
      <c r="G200" s="13"/>
      <c r="H200" s="13"/>
      <c r="I200" s="15"/>
      <c r="K200" s="15"/>
    </row>
    <row r="201" spans="7:11" ht="13.2">
      <c r="G201" s="13"/>
      <c r="H201" s="13"/>
      <c r="I201" s="15"/>
      <c r="K201" s="15"/>
    </row>
    <row r="202" spans="7:11" ht="13.2">
      <c r="G202" s="13"/>
      <c r="H202" s="13"/>
      <c r="I202" s="15"/>
      <c r="K202" s="15"/>
    </row>
    <row r="203" spans="7:11" ht="13.2">
      <c r="G203" s="13"/>
      <c r="H203" s="13"/>
      <c r="I203" s="15"/>
      <c r="K203" s="15"/>
    </row>
    <row r="204" spans="7:11" ht="13.2">
      <c r="G204" s="13"/>
      <c r="H204" s="13"/>
      <c r="I204" s="15"/>
      <c r="K204" s="15"/>
    </row>
    <row r="205" spans="7:11" ht="13.2">
      <c r="G205" s="13"/>
      <c r="H205" s="13"/>
      <c r="I205" s="15"/>
      <c r="K205" s="15"/>
    </row>
    <row r="206" spans="7:11" ht="13.2">
      <c r="G206" s="13"/>
      <c r="H206" s="13"/>
      <c r="I206" s="15"/>
      <c r="K206" s="15"/>
    </row>
    <row r="207" spans="7:11" ht="13.2">
      <c r="G207" s="13"/>
      <c r="H207" s="13"/>
      <c r="I207" s="15"/>
      <c r="K207" s="15"/>
    </row>
    <row r="208" spans="7:11" ht="13.2">
      <c r="G208" s="13"/>
      <c r="H208" s="13"/>
      <c r="I208" s="15"/>
      <c r="K208" s="15"/>
    </row>
    <row r="209" spans="7:11" ht="13.2">
      <c r="G209" s="13"/>
      <c r="H209" s="13"/>
      <c r="I209" s="15"/>
      <c r="K209" s="15"/>
    </row>
    <row r="210" spans="7:11" ht="13.2">
      <c r="G210" s="13"/>
      <c r="H210" s="13"/>
      <c r="I210" s="15"/>
      <c r="K210" s="15"/>
    </row>
    <row r="211" spans="7:11" ht="13.2">
      <c r="G211" s="13"/>
      <c r="H211" s="13"/>
      <c r="I211" s="15"/>
      <c r="K211" s="15"/>
    </row>
    <row r="212" spans="7:11" ht="13.2">
      <c r="G212" s="13"/>
      <c r="H212" s="13"/>
      <c r="I212" s="15"/>
      <c r="K212" s="15"/>
    </row>
    <row r="213" spans="7:11" ht="13.2">
      <c r="G213" s="13"/>
      <c r="H213" s="13"/>
      <c r="I213" s="15"/>
      <c r="K213" s="15"/>
    </row>
    <row r="214" spans="7:11" ht="13.2">
      <c r="G214" s="13"/>
      <c r="H214" s="13"/>
      <c r="I214" s="15"/>
      <c r="K214" s="15"/>
    </row>
    <row r="215" spans="7:11" ht="13.2">
      <c r="G215" s="13"/>
      <c r="H215" s="13"/>
      <c r="I215" s="15"/>
      <c r="K215" s="15"/>
    </row>
    <row r="216" spans="7:11" ht="13.2">
      <c r="G216" s="13"/>
      <c r="H216" s="13"/>
      <c r="I216" s="15"/>
      <c r="K216" s="15"/>
    </row>
    <row r="217" spans="7:11" ht="13.2">
      <c r="G217" s="13"/>
      <c r="H217" s="13"/>
      <c r="I217" s="15"/>
      <c r="K217" s="15"/>
    </row>
    <row r="218" spans="7:11" ht="13.2">
      <c r="G218" s="13"/>
      <c r="H218" s="13"/>
      <c r="I218" s="15"/>
      <c r="K218" s="15"/>
    </row>
    <row r="219" spans="7:11" ht="13.2">
      <c r="G219" s="13"/>
      <c r="H219" s="13"/>
      <c r="I219" s="15"/>
      <c r="K219" s="15"/>
    </row>
    <row r="220" spans="7:11" ht="13.2">
      <c r="G220" s="13"/>
      <c r="H220" s="13"/>
      <c r="I220" s="15"/>
      <c r="K220" s="15"/>
    </row>
    <row r="221" spans="7:11" ht="13.2">
      <c r="G221" s="13"/>
      <c r="H221" s="13"/>
      <c r="I221" s="15"/>
      <c r="K221" s="15"/>
    </row>
    <row r="222" spans="7:11" ht="13.2">
      <c r="G222" s="13"/>
      <c r="H222" s="13"/>
      <c r="I222" s="15"/>
      <c r="K222" s="15"/>
    </row>
    <row r="223" spans="7:11" ht="13.2">
      <c r="G223" s="13"/>
      <c r="H223" s="13"/>
      <c r="I223" s="15"/>
      <c r="K223" s="15"/>
    </row>
    <row r="224" spans="7:11" ht="13.2">
      <c r="G224" s="13"/>
      <c r="H224" s="13"/>
      <c r="I224" s="15"/>
      <c r="K224" s="15"/>
    </row>
    <row r="225" spans="7:11" ht="13.2">
      <c r="G225" s="13"/>
      <c r="H225" s="13"/>
      <c r="I225" s="15"/>
      <c r="K225" s="15"/>
    </row>
    <row r="226" spans="7:11" ht="13.2">
      <c r="G226" s="13"/>
      <c r="H226" s="13"/>
      <c r="I226" s="15"/>
      <c r="K226" s="15"/>
    </row>
    <row r="227" spans="7:11" ht="13.2">
      <c r="G227" s="13"/>
      <c r="H227" s="13"/>
      <c r="I227" s="15"/>
      <c r="K227" s="15"/>
    </row>
    <row r="228" spans="7:11" ht="13.2">
      <c r="G228" s="13"/>
      <c r="H228" s="13"/>
      <c r="I228" s="15"/>
      <c r="K228" s="15"/>
    </row>
    <row r="229" spans="7:11" ht="13.2">
      <c r="G229" s="13"/>
      <c r="H229" s="13"/>
      <c r="I229" s="15"/>
      <c r="K229" s="15"/>
    </row>
    <row r="230" spans="7:11" ht="13.2">
      <c r="G230" s="13"/>
      <c r="H230" s="13"/>
      <c r="I230" s="15"/>
      <c r="K230" s="15"/>
    </row>
    <row r="231" spans="7:11" ht="13.2">
      <c r="G231" s="13"/>
      <c r="H231" s="13"/>
      <c r="I231" s="15"/>
      <c r="K231" s="15"/>
    </row>
    <row r="232" spans="7:11" ht="13.2">
      <c r="G232" s="13"/>
      <c r="H232" s="13"/>
      <c r="I232" s="15"/>
      <c r="K232" s="15"/>
    </row>
    <row r="233" spans="7:11" ht="13.2">
      <c r="G233" s="13"/>
      <c r="H233" s="13"/>
      <c r="I233" s="15"/>
      <c r="K233" s="15"/>
    </row>
    <row r="234" spans="7:11" ht="13.2">
      <c r="G234" s="13"/>
      <c r="H234" s="13"/>
      <c r="I234" s="15"/>
      <c r="K234" s="15"/>
    </row>
    <row r="235" spans="7:11" ht="13.2">
      <c r="G235" s="13"/>
      <c r="H235" s="13"/>
      <c r="I235" s="15"/>
      <c r="K235" s="15"/>
    </row>
    <row r="236" spans="7:11" ht="13.2">
      <c r="G236" s="13"/>
      <c r="H236" s="13"/>
      <c r="I236" s="15"/>
      <c r="K236" s="15"/>
    </row>
    <row r="237" spans="7:11" ht="13.2">
      <c r="G237" s="13"/>
      <c r="H237" s="13"/>
      <c r="I237" s="15"/>
      <c r="K237" s="15"/>
    </row>
    <row r="238" spans="7:11" ht="13.2">
      <c r="G238" s="13"/>
      <c r="H238" s="13"/>
      <c r="I238" s="15"/>
      <c r="K238" s="15"/>
    </row>
    <row r="239" spans="7:11" ht="13.2">
      <c r="G239" s="13"/>
      <c r="H239" s="13"/>
      <c r="I239" s="15"/>
      <c r="K239" s="15"/>
    </row>
    <row r="240" spans="7:11" ht="13.2">
      <c r="G240" s="13"/>
      <c r="H240" s="13"/>
      <c r="I240" s="15"/>
      <c r="K240" s="15"/>
    </row>
    <row r="241" spans="7:11" ht="13.2">
      <c r="G241" s="13"/>
      <c r="H241" s="13"/>
      <c r="I241" s="15"/>
      <c r="K241" s="15"/>
    </row>
    <row r="242" spans="7:11" ht="13.2">
      <c r="G242" s="13"/>
      <c r="H242" s="13"/>
      <c r="I242" s="15"/>
      <c r="K242" s="15"/>
    </row>
    <row r="243" spans="7:11" ht="13.2">
      <c r="G243" s="13"/>
      <c r="H243" s="13"/>
      <c r="I243" s="15"/>
      <c r="K243" s="15"/>
    </row>
    <row r="244" spans="7:11" ht="13.2">
      <c r="G244" s="13"/>
      <c r="H244" s="13"/>
      <c r="I244" s="15"/>
      <c r="K244" s="15"/>
    </row>
    <row r="245" spans="7:11" ht="13.2">
      <c r="G245" s="13"/>
      <c r="H245" s="13"/>
      <c r="I245" s="15"/>
      <c r="K245" s="15"/>
    </row>
    <row r="246" spans="7:11" ht="13.2">
      <c r="G246" s="13"/>
      <c r="H246" s="13"/>
      <c r="I246" s="15"/>
      <c r="K246" s="15"/>
    </row>
    <row r="247" spans="7:11" ht="13.2">
      <c r="G247" s="13"/>
      <c r="H247" s="13"/>
      <c r="I247" s="15"/>
      <c r="K247" s="15"/>
    </row>
    <row r="248" spans="7:11" ht="13.2">
      <c r="G248" s="13"/>
      <c r="H248" s="13"/>
      <c r="I248" s="15"/>
      <c r="K248" s="15"/>
    </row>
    <row r="249" spans="7:11" ht="13.2">
      <c r="G249" s="13"/>
      <c r="H249" s="13"/>
      <c r="I249" s="15"/>
      <c r="K249" s="15"/>
    </row>
    <row r="250" spans="7:11" ht="13.2">
      <c r="G250" s="13"/>
      <c r="H250" s="13"/>
      <c r="I250" s="15"/>
      <c r="K250" s="15"/>
    </row>
    <row r="251" spans="7:11" ht="13.2">
      <c r="G251" s="13"/>
      <c r="H251" s="13"/>
      <c r="I251" s="15"/>
      <c r="K251" s="15"/>
    </row>
    <row r="252" spans="7:11" ht="13.2">
      <c r="G252" s="13"/>
      <c r="H252" s="13"/>
      <c r="I252" s="15"/>
      <c r="K252" s="15"/>
    </row>
    <row r="253" spans="7:11" ht="13.2">
      <c r="G253" s="13"/>
      <c r="H253" s="13"/>
      <c r="I253" s="15"/>
      <c r="K253" s="15"/>
    </row>
    <row r="254" spans="7:11" ht="13.2">
      <c r="G254" s="13"/>
      <c r="H254" s="13"/>
      <c r="I254" s="15"/>
      <c r="K254" s="15"/>
    </row>
    <row r="255" spans="7:11" ht="13.2">
      <c r="G255" s="13"/>
      <c r="H255" s="13"/>
      <c r="I255" s="15"/>
      <c r="K255" s="15"/>
    </row>
    <row r="256" spans="7:11" ht="13.2">
      <c r="G256" s="13"/>
      <c r="H256" s="13"/>
      <c r="I256" s="15"/>
      <c r="K256" s="15"/>
    </row>
    <row r="257" spans="7:11" ht="13.2">
      <c r="G257" s="13"/>
      <c r="H257" s="13"/>
      <c r="I257" s="15"/>
      <c r="K257" s="15"/>
    </row>
    <row r="258" spans="7:11" ht="13.2">
      <c r="G258" s="13"/>
      <c r="H258" s="13"/>
      <c r="I258" s="15"/>
      <c r="K258" s="15"/>
    </row>
    <row r="259" spans="7:11" ht="13.2">
      <c r="G259" s="13"/>
      <c r="H259" s="13"/>
      <c r="I259" s="15"/>
      <c r="K259" s="15"/>
    </row>
    <row r="260" spans="7:11" ht="13.2">
      <c r="G260" s="13"/>
      <c r="H260" s="13"/>
      <c r="I260" s="15"/>
      <c r="K260" s="15"/>
    </row>
    <row r="261" spans="7:11" ht="13.2">
      <c r="G261" s="13"/>
      <c r="H261" s="13"/>
      <c r="I261" s="15"/>
      <c r="K261" s="15"/>
    </row>
    <row r="262" spans="7:11" ht="13.2">
      <c r="G262" s="13"/>
      <c r="H262" s="13"/>
      <c r="I262" s="15"/>
      <c r="K262" s="15"/>
    </row>
    <row r="263" spans="7:11" ht="13.2">
      <c r="G263" s="13"/>
      <c r="H263" s="13"/>
      <c r="I263" s="15"/>
      <c r="K263" s="15"/>
    </row>
    <row r="264" spans="7:11" ht="13.2">
      <c r="G264" s="13"/>
      <c r="H264" s="13"/>
      <c r="I264" s="15"/>
      <c r="K264" s="15"/>
    </row>
    <row r="265" spans="7:11" ht="13.2">
      <c r="G265" s="13"/>
      <c r="H265" s="13"/>
      <c r="I265" s="15"/>
      <c r="K265" s="15"/>
    </row>
    <row r="266" spans="7:11" ht="13.2">
      <c r="G266" s="13"/>
      <c r="H266" s="13"/>
      <c r="I266" s="15"/>
      <c r="K266" s="15"/>
    </row>
    <row r="267" spans="7:11" ht="13.2">
      <c r="G267" s="13"/>
      <c r="H267" s="13"/>
      <c r="I267" s="15"/>
      <c r="K267" s="15"/>
    </row>
    <row r="268" spans="7:11" ht="13.2">
      <c r="G268" s="13"/>
      <c r="H268" s="13"/>
      <c r="I268" s="15"/>
      <c r="K268" s="15"/>
    </row>
    <row r="269" spans="7:11" ht="13.2">
      <c r="G269" s="13"/>
      <c r="H269" s="13"/>
      <c r="I269" s="15"/>
      <c r="K269" s="15"/>
    </row>
    <row r="270" spans="7:11" ht="13.2">
      <c r="G270" s="13"/>
      <c r="H270" s="13"/>
      <c r="I270" s="15"/>
      <c r="K270" s="15"/>
    </row>
    <row r="271" spans="7:11" ht="13.2">
      <c r="G271" s="13"/>
      <c r="H271" s="13"/>
      <c r="I271" s="15"/>
      <c r="K271" s="15"/>
    </row>
    <row r="272" spans="7:11" ht="13.2">
      <c r="G272" s="13"/>
      <c r="H272" s="13"/>
      <c r="I272" s="15"/>
      <c r="K272" s="15"/>
    </row>
    <row r="273" spans="7:11" ht="13.2">
      <c r="G273" s="13"/>
      <c r="H273" s="13"/>
      <c r="I273" s="15"/>
      <c r="K273" s="15"/>
    </row>
    <row r="274" spans="7:11" ht="13.2">
      <c r="G274" s="13"/>
      <c r="H274" s="13"/>
      <c r="I274" s="15"/>
      <c r="K274" s="15"/>
    </row>
    <row r="275" spans="7:11" ht="13.2">
      <c r="G275" s="13"/>
      <c r="H275" s="13"/>
      <c r="I275" s="15"/>
      <c r="K275" s="15"/>
    </row>
    <row r="276" spans="7:11" ht="13.2">
      <c r="G276" s="13"/>
      <c r="H276" s="13"/>
      <c r="I276" s="15"/>
      <c r="K276" s="15"/>
    </row>
    <row r="277" spans="7:11" ht="13.2">
      <c r="G277" s="13"/>
      <c r="H277" s="13"/>
      <c r="I277" s="15"/>
      <c r="K277" s="15"/>
    </row>
    <row r="278" spans="7:11" ht="13.2">
      <c r="G278" s="13"/>
      <c r="H278" s="13"/>
      <c r="I278" s="15"/>
      <c r="K278" s="15"/>
    </row>
    <row r="279" spans="7:11" ht="13.2">
      <c r="G279" s="13"/>
      <c r="H279" s="13"/>
      <c r="I279" s="15"/>
      <c r="K279" s="15"/>
    </row>
    <row r="280" spans="7:11" ht="13.2">
      <c r="G280" s="13"/>
      <c r="H280" s="13"/>
      <c r="I280" s="15"/>
      <c r="K280" s="15"/>
    </row>
    <row r="281" spans="7:11" ht="13.2">
      <c r="G281" s="13"/>
      <c r="H281" s="13"/>
      <c r="I281" s="15"/>
      <c r="K281" s="15"/>
    </row>
    <row r="282" spans="7:11" ht="13.2">
      <c r="G282" s="13"/>
      <c r="H282" s="13"/>
      <c r="I282" s="15"/>
      <c r="K282" s="15"/>
    </row>
    <row r="283" spans="7:11" ht="13.2">
      <c r="G283" s="13"/>
      <c r="H283" s="13"/>
      <c r="I283" s="15"/>
      <c r="K283" s="15"/>
    </row>
    <row r="284" spans="7:11" ht="13.2">
      <c r="G284" s="13"/>
      <c r="H284" s="13"/>
      <c r="I284" s="15"/>
      <c r="K284" s="15"/>
    </row>
    <row r="285" spans="7:11" ht="13.2">
      <c r="G285" s="13"/>
      <c r="H285" s="13"/>
      <c r="I285" s="15"/>
      <c r="K285" s="15"/>
    </row>
    <row r="286" spans="7:11" ht="13.2">
      <c r="G286" s="13"/>
      <c r="H286" s="13"/>
      <c r="I286" s="15"/>
      <c r="K286" s="15"/>
    </row>
    <row r="287" spans="7:11" ht="13.2">
      <c r="G287" s="13"/>
      <c r="H287" s="13"/>
      <c r="I287" s="15"/>
      <c r="K287" s="15"/>
    </row>
    <row r="288" spans="7:11" ht="13.2">
      <c r="G288" s="13"/>
      <c r="H288" s="13"/>
      <c r="I288" s="15"/>
      <c r="K288" s="15"/>
    </row>
    <row r="289" spans="7:11" ht="13.2">
      <c r="G289" s="13"/>
      <c r="H289" s="13"/>
      <c r="I289" s="15"/>
      <c r="K289" s="15"/>
    </row>
    <row r="290" spans="7:11" ht="13.2">
      <c r="G290" s="13"/>
      <c r="H290" s="13"/>
      <c r="I290" s="15"/>
      <c r="K290" s="15"/>
    </row>
    <row r="291" spans="7:11" ht="13.2">
      <c r="G291" s="13"/>
      <c r="H291" s="13"/>
      <c r="I291" s="15"/>
      <c r="K291" s="15"/>
    </row>
    <row r="292" spans="7:11" ht="13.2">
      <c r="G292" s="13"/>
      <c r="H292" s="13"/>
      <c r="I292" s="15"/>
      <c r="K292" s="15"/>
    </row>
    <row r="293" spans="7:11" ht="13.2">
      <c r="G293" s="13"/>
      <c r="H293" s="13"/>
      <c r="I293" s="15"/>
      <c r="K293" s="15"/>
    </row>
    <row r="294" spans="7:11" ht="13.2">
      <c r="G294" s="13"/>
      <c r="H294" s="13"/>
      <c r="I294" s="15"/>
      <c r="K294" s="15"/>
    </row>
    <row r="295" spans="7:11" ht="13.2">
      <c r="G295" s="13"/>
      <c r="H295" s="13"/>
      <c r="I295" s="15"/>
      <c r="K295" s="15"/>
    </row>
    <row r="296" spans="7:11" ht="13.2">
      <c r="G296" s="13"/>
      <c r="H296" s="13"/>
      <c r="I296" s="15"/>
      <c r="K296" s="15"/>
    </row>
    <row r="297" spans="7:11" ht="13.2">
      <c r="G297" s="13"/>
      <c r="H297" s="13"/>
      <c r="I297" s="15"/>
      <c r="K297" s="15"/>
    </row>
    <row r="298" spans="7:11" ht="13.2">
      <c r="G298" s="13"/>
      <c r="H298" s="13"/>
      <c r="I298" s="15"/>
      <c r="K298" s="15"/>
    </row>
    <row r="299" spans="7:11" ht="13.2">
      <c r="G299" s="13"/>
      <c r="H299" s="13"/>
      <c r="I299" s="15"/>
      <c r="K299" s="15"/>
    </row>
    <row r="300" spans="7:11" ht="13.2">
      <c r="G300" s="13"/>
      <c r="H300" s="13"/>
      <c r="I300" s="15"/>
      <c r="K300" s="15"/>
    </row>
    <row r="301" spans="7:11" ht="13.2">
      <c r="G301" s="13"/>
      <c r="H301" s="13"/>
      <c r="I301" s="15"/>
      <c r="K301" s="15"/>
    </row>
    <row r="302" spans="7:11" ht="13.2">
      <c r="G302" s="13"/>
      <c r="H302" s="13"/>
      <c r="I302" s="15"/>
      <c r="K302" s="15"/>
    </row>
    <row r="303" spans="7:11" ht="13.2">
      <c r="G303" s="13"/>
      <c r="H303" s="13"/>
      <c r="I303" s="15"/>
      <c r="K303" s="15"/>
    </row>
    <row r="304" spans="7:11" ht="13.2">
      <c r="G304" s="13"/>
      <c r="H304" s="13"/>
      <c r="I304" s="15"/>
      <c r="K304" s="15"/>
    </row>
    <row r="305" spans="7:11" ht="13.2">
      <c r="G305" s="13"/>
      <c r="H305" s="13"/>
      <c r="I305" s="15"/>
      <c r="K305" s="15"/>
    </row>
    <row r="306" spans="7:11" ht="13.2">
      <c r="G306" s="13"/>
      <c r="H306" s="13"/>
      <c r="I306" s="15"/>
      <c r="K306" s="15"/>
    </row>
    <row r="307" spans="7:11" ht="13.2">
      <c r="G307" s="13"/>
      <c r="H307" s="13"/>
      <c r="I307" s="15"/>
      <c r="K307" s="15"/>
    </row>
    <row r="308" spans="7:11" ht="13.2">
      <c r="G308" s="13"/>
      <c r="H308" s="13"/>
      <c r="I308" s="15"/>
      <c r="K308" s="15"/>
    </row>
    <row r="309" spans="7:11" ht="13.2">
      <c r="G309" s="13"/>
      <c r="H309" s="13"/>
      <c r="I309" s="15"/>
      <c r="K309" s="15"/>
    </row>
    <row r="310" spans="7:11" ht="13.2">
      <c r="G310" s="13"/>
      <c r="H310" s="13"/>
      <c r="I310" s="15"/>
      <c r="K310" s="15"/>
    </row>
    <row r="311" spans="7:11" ht="13.2">
      <c r="G311" s="13"/>
      <c r="H311" s="13"/>
      <c r="I311" s="15"/>
      <c r="K311" s="15"/>
    </row>
    <row r="312" spans="7:11" ht="13.2">
      <c r="G312" s="13"/>
      <c r="H312" s="13"/>
      <c r="I312" s="15"/>
      <c r="K312" s="15"/>
    </row>
    <row r="313" spans="7:11" ht="13.2">
      <c r="G313" s="13"/>
      <c r="H313" s="13"/>
      <c r="I313" s="15"/>
      <c r="K313" s="15"/>
    </row>
    <row r="314" spans="7:11" ht="13.2">
      <c r="G314" s="13"/>
      <c r="H314" s="13"/>
      <c r="I314" s="15"/>
      <c r="K314" s="15"/>
    </row>
    <row r="315" spans="7:11" ht="13.2">
      <c r="G315" s="13"/>
      <c r="H315" s="13"/>
      <c r="I315" s="15"/>
      <c r="K315" s="15"/>
    </row>
    <row r="316" spans="7:11" ht="13.2">
      <c r="G316" s="13"/>
      <c r="H316" s="13"/>
      <c r="I316" s="15"/>
      <c r="K316" s="15"/>
    </row>
    <row r="317" spans="7:11" ht="13.2">
      <c r="G317" s="13"/>
      <c r="H317" s="13"/>
      <c r="I317" s="15"/>
      <c r="K317" s="15"/>
    </row>
    <row r="318" spans="7:11" ht="13.2">
      <c r="G318" s="13"/>
      <c r="H318" s="13"/>
      <c r="I318" s="15"/>
      <c r="K318" s="15"/>
    </row>
    <row r="319" spans="7:11" ht="13.2">
      <c r="G319" s="13"/>
      <c r="H319" s="13"/>
      <c r="I319" s="15"/>
      <c r="K319" s="15"/>
    </row>
    <row r="320" spans="7:11" ht="13.2">
      <c r="G320" s="13"/>
      <c r="H320" s="13"/>
      <c r="I320" s="15"/>
      <c r="K320" s="15"/>
    </row>
    <row r="321" spans="7:11" ht="13.2">
      <c r="G321" s="13"/>
      <c r="H321" s="13"/>
      <c r="I321" s="15"/>
      <c r="K321" s="15"/>
    </row>
    <row r="322" spans="7:11" ht="13.2">
      <c r="G322" s="13"/>
      <c r="H322" s="13"/>
      <c r="I322" s="15"/>
      <c r="K322" s="15"/>
    </row>
    <row r="323" spans="7:11" ht="13.2">
      <c r="G323" s="13"/>
      <c r="H323" s="13"/>
      <c r="I323" s="15"/>
      <c r="K323" s="15"/>
    </row>
    <row r="324" spans="7:11" ht="13.2">
      <c r="G324" s="13"/>
      <c r="H324" s="13"/>
      <c r="I324" s="15"/>
      <c r="K324" s="15"/>
    </row>
    <row r="325" spans="7:11" ht="13.2">
      <c r="G325" s="13"/>
      <c r="H325" s="13"/>
      <c r="I325" s="15"/>
      <c r="K325" s="15"/>
    </row>
    <row r="326" spans="7:11" ht="13.2">
      <c r="G326" s="13"/>
      <c r="H326" s="13"/>
      <c r="I326" s="15"/>
      <c r="K326" s="15"/>
    </row>
    <row r="327" spans="7:11" ht="13.2">
      <c r="G327" s="13"/>
      <c r="H327" s="13"/>
      <c r="I327" s="15"/>
      <c r="K327" s="15"/>
    </row>
    <row r="328" spans="7:11" ht="13.2">
      <c r="G328" s="13"/>
      <c r="H328" s="13"/>
      <c r="I328" s="15"/>
      <c r="K328" s="15"/>
    </row>
    <row r="329" spans="7:11" ht="13.2">
      <c r="G329" s="13"/>
      <c r="H329" s="13"/>
      <c r="I329" s="15"/>
      <c r="K329" s="15"/>
    </row>
    <row r="330" spans="7:11" ht="13.2">
      <c r="G330" s="13"/>
      <c r="H330" s="13"/>
      <c r="I330" s="15"/>
      <c r="K330" s="15"/>
    </row>
    <row r="331" spans="7:11" ht="13.2">
      <c r="G331" s="13"/>
      <c r="H331" s="13"/>
      <c r="I331" s="15"/>
      <c r="K331" s="15"/>
    </row>
    <row r="332" spans="7:11" ht="13.2">
      <c r="G332" s="13"/>
      <c r="H332" s="13"/>
      <c r="I332" s="15"/>
      <c r="K332" s="15"/>
    </row>
    <row r="333" spans="7:11" ht="13.2">
      <c r="G333" s="13"/>
      <c r="H333" s="13"/>
      <c r="I333" s="15"/>
      <c r="K333" s="15"/>
    </row>
    <row r="334" spans="7:11" ht="13.2">
      <c r="G334" s="13"/>
      <c r="H334" s="13"/>
      <c r="I334" s="15"/>
      <c r="K334" s="15"/>
    </row>
    <row r="335" spans="7:11" ht="13.2">
      <c r="G335" s="13"/>
      <c r="H335" s="13"/>
      <c r="I335" s="15"/>
      <c r="K335" s="15"/>
    </row>
    <row r="336" spans="7:11" ht="13.2">
      <c r="G336" s="13"/>
      <c r="H336" s="13"/>
      <c r="I336" s="15"/>
      <c r="K336" s="15"/>
    </row>
    <row r="337" spans="7:11" ht="13.2">
      <c r="G337" s="13"/>
      <c r="H337" s="13"/>
      <c r="I337" s="15"/>
      <c r="K337" s="15"/>
    </row>
    <row r="338" spans="7:11" ht="13.2">
      <c r="G338" s="13"/>
      <c r="H338" s="13"/>
      <c r="I338" s="15"/>
      <c r="K338" s="15"/>
    </row>
    <row r="339" spans="7:11" ht="13.2">
      <c r="G339" s="13"/>
      <c r="H339" s="13"/>
      <c r="I339" s="15"/>
      <c r="K339" s="15"/>
    </row>
    <row r="340" spans="7:11" ht="13.2">
      <c r="G340" s="13"/>
      <c r="H340" s="13"/>
      <c r="I340" s="15"/>
      <c r="K340" s="15"/>
    </row>
    <row r="341" spans="7:11" ht="13.2">
      <c r="G341" s="13"/>
      <c r="H341" s="13"/>
      <c r="I341" s="15"/>
      <c r="K341" s="15"/>
    </row>
    <row r="342" spans="7:11" ht="13.2">
      <c r="G342" s="13"/>
      <c r="H342" s="13"/>
      <c r="I342" s="15"/>
      <c r="K342" s="15"/>
    </row>
    <row r="343" spans="7:11" ht="13.2">
      <c r="G343" s="13"/>
      <c r="H343" s="13"/>
      <c r="I343" s="15"/>
      <c r="K343" s="15"/>
    </row>
    <row r="344" spans="7:11" ht="13.2">
      <c r="G344" s="13"/>
      <c r="H344" s="13"/>
      <c r="I344" s="15"/>
      <c r="K344" s="15"/>
    </row>
    <row r="345" spans="7:11" ht="13.2">
      <c r="G345" s="13"/>
      <c r="H345" s="13"/>
      <c r="I345" s="15"/>
      <c r="K345" s="15"/>
    </row>
    <row r="346" spans="7:11" ht="13.2">
      <c r="G346" s="13"/>
      <c r="H346" s="13"/>
      <c r="I346" s="15"/>
      <c r="K346" s="15"/>
    </row>
    <row r="347" spans="7:11" ht="13.2">
      <c r="G347" s="13"/>
      <c r="H347" s="13"/>
      <c r="I347" s="15"/>
      <c r="K347" s="15"/>
    </row>
    <row r="348" spans="7:11" ht="13.2">
      <c r="G348" s="13"/>
      <c r="H348" s="13"/>
      <c r="I348" s="15"/>
      <c r="K348" s="15"/>
    </row>
    <row r="349" spans="7:11" ht="13.2">
      <c r="G349" s="13"/>
      <c r="H349" s="13"/>
      <c r="I349" s="15"/>
      <c r="K349" s="15"/>
    </row>
    <row r="350" spans="7:11" ht="13.2">
      <c r="G350" s="13"/>
      <c r="H350" s="13"/>
      <c r="I350" s="15"/>
      <c r="K350" s="15"/>
    </row>
    <row r="351" spans="7:11" ht="13.2">
      <c r="G351" s="13"/>
      <c r="H351" s="13"/>
      <c r="I351" s="15"/>
      <c r="K351" s="15"/>
    </row>
    <row r="352" spans="7:11" ht="13.2">
      <c r="G352" s="13"/>
      <c r="H352" s="13"/>
      <c r="I352" s="15"/>
      <c r="K352" s="15"/>
    </row>
    <row r="353" spans="7:11" ht="13.2">
      <c r="G353" s="13"/>
      <c r="H353" s="13"/>
      <c r="I353" s="15"/>
      <c r="K353" s="15"/>
    </row>
    <row r="354" spans="7:11" ht="13.2">
      <c r="G354" s="13"/>
      <c r="H354" s="13"/>
      <c r="I354" s="15"/>
      <c r="K354" s="15"/>
    </row>
    <row r="355" spans="7:11" ht="13.2">
      <c r="G355" s="13"/>
      <c r="H355" s="13"/>
      <c r="I355" s="15"/>
      <c r="K355" s="15"/>
    </row>
    <row r="356" spans="7:11" ht="13.2">
      <c r="G356" s="13"/>
      <c r="H356" s="13"/>
      <c r="I356" s="15"/>
      <c r="K356" s="15"/>
    </row>
    <row r="357" spans="7:11" ht="13.2">
      <c r="G357" s="13"/>
      <c r="H357" s="13"/>
      <c r="I357" s="15"/>
      <c r="K357" s="15"/>
    </row>
    <row r="358" spans="7:11" ht="13.2">
      <c r="G358" s="13"/>
      <c r="H358" s="13"/>
      <c r="I358" s="15"/>
      <c r="K358" s="15"/>
    </row>
    <row r="359" spans="7:11" ht="13.2">
      <c r="G359" s="13"/>
      <c r="H359" s="13"/>
      <c r="I359" s="15"/>
      <c r="K359" s="15"/>
    </row>
    <row r="360" spans="7:11" ht="13.2">
      <c r="G360" s="13"/>
      <c r="H360" s="13"/>
      <c r="I360" s="15"/>
      <c r="K360" s="15"/>
    </row>
    <row r="361" spans="7:11" ht="13.2">
      <c r="G361" s="13"/>
      <c r="H361" s="13"/>
      <c r="I361" s="15"/>
      <c r="K361" s="15"/>
    </row>
    <row r="362" spans="7:11" ht="13.2">
      <c r="G362" s="13"/>
      <c r="H362" s="13"/>
      <c r="I362" s="15"/>
      <c r="K362" s="15"/>
    </row>
    <row r="363" spans="7:11" ht="13.2">
      <c r="G363" s="13"/>
      <c r="H363" s="13"/>
      <c r="I363" s="15"/>
      <c r="K363" s="15"/>
    </row>
    <row r="364" spans="7:11" ht="13.2">
      <c r="G364" s="13"/>
      <c r="H364" s="13"/>
      <c r="I364" s="15"/>
      <c r="K364" s="15"/>
    </row>
    <row r="365" spans="7:11" ht="13.2">
      <c r="G365" s="13"/>
      <c r="H365" s="13"/>
      <c r="I365" s="15"/>
      <c r="K365" s="15"/>
    </row>
    <row r="366" spans="7:11" ht="13.2">
      <c r="G366" s="13"/>
      <c r="H366" s="13"/>
      <c r="I366" s="15"/>
      <c r="K366" s="15"/>
    </row>
    <row r="367" spans="7:11" ht="13.2">
      <c r="G367" s="13"/>
      <c r="H367" s="13"/>
      <c r="I367" s="15"/>
      <c r="K367" s="15"/>
    </row>
    <row r="368" spans="7:11" ht="13.2">
      <c r="G368" s="13"/>
      <c r="H368" s="13"/>
      <c r="I368" s="15"/>
      <c r="K368" s="15"/>
    </row>
    <row r="369" spans="7:11" ht="13.2">
      <c r="G369" s="13"/>
      <c r="H369" s="13"/>
      <c r="I369" s="15"/>
      <c r="K369" s="15"/>
    </row>
    <row r="370" spans="7:11" ht="13.2">
      <c r="G370" s="13"/>
      <c r="H370" s="13"/>
      <c r="I370" s="15"/>
      <c r="K370" s="15"/>
    </row>
    <row r="371" spans="7:11" ht="13.2">
      <c r="G371" s="13"/>
      <c r="H371" s="13"/>
      <c r="I371" s="15"/>
      <c r="K371" s="15"/>
    </row>
    <row r="372" spans="7:11" ht="13.2">
      <c r="G372" s="13"/>
      <c r="H372" s="13"/>
      <c r="I372" s="15"/>
      <c r="K372" s="15"/>
    </row>
    <row r="373" spans="7:11" ht="13.2">
      <c r="G373" s="13"/>
      <c r="H373" s="13"/>
      <c r="I373" s="15"/>
      <c r="K373" s="15"/>
    </row>
    <row r="374" spans="7:11" ht="13.2">
      <c r="G374" s="13"/>
      <c r="H374" s="13"/>
      <c r="I374" s="15"/>
      <c r="K374" s="15"/>
    </row>
    <row r="375" spans="7:11" ht="13.2">
      <c r="G375" s="13"/>
      <c r="H375" s="13"/>
      <c r="I375" s="15"/>
      <c r="K375" s="15"/>
    </row>
    <row r="376" spans="7:11" ht="13.2">
      <c r="G376" s="13"/>
      <c r="H376" s="13"/>
      <c r="I376" s="15"/>
      <c r="K376" s="15"/>
    </row>
    <row r="377" spans="7:11" ht="13.2">
      <c r="G377" s="13"/>
      <c r="H377" s="13"/>
      <c r="I377" s="15"/>
      <c r="K377" s="15"/>
    </row>
    <row r="378" spans="7:11" ht="13.2">
      <c r="G378" s="13"/>
      <c r="H378" s="13"/>
      <c r="I378" s="15"/>
      <c r="K378" s="15"/>
    </row>
    <row r="379" spans="7:11" ht="13.2">
      <c r="G379" s="13"/>
      <c r="H379" s="13"/>
      <c r="I379" s="15"/>
      <c r="K379" s="15"/>
    </row>
    <row r="380" spans="7:11" ht="13.2">
      <c r="G380" s="13"/>
      <c r="H380" s="13"/>
      <c r="I380" s="15"/>
      <c r="K380" s="15"/>
    </row>
    <row r="381" spans="7:11" ht="13.2">
      <c r="G381" s="13"/>
      <c r="H381" s="13"/>
      <c r="I381" s="15"/>
      <c r="K381" s="15"/>
    </row>
    <row r="382" spans="7:11" ht="13.2">
      <c r="G382" s="13"/>
      <c r="H382" s="13"/>
      <c r="I382" s="15"/>
      <c r="K382" s="15"/>
    </row>
    <row r="383" spans="7:11" ht="13.2">
      <c r="G383" s="13"/>
      <c r="H383" s="13"/>
      <c r="I383" s="15"/>
      <c r="K383" s="15"/>
    </row>
    <row r="384" spans="7:11" ht="13.2">
      <c r="G384" s="13"/>
      <c r="H384" s="13"/>
      <c r="I384" s="15"/>
      <c r="K384" s="15"/>
    </row>
    <row r="385" spans="7:11" ht="13.2">
      <c r="G385" s="13"/>
      <c r="H385" s="13"/>
      <c r="I385" s="15"/>
      <c r="K385" s="15"/>
    </row>
    <row r="386" spans="7:11" ht="13.2">
      <c r="G386" s="13"/>
      <c r="H386" s="13"/>
      <c r="I386" s="15"/>
      <c r="K386" s="15"/>
    </row>
    <row r="387" spans="7:11" ht="13.2">
      <c r="G387" s="13"/>
      <c r="H387" s="13"/>
      <c r="I387" s="15"/>
      <c r="K387" s="15"/>
    </row>
    <row r="388" spans="7:11" ht="13.2">
      <c r="G388" s="13"/>
      <c r="H388" s="13"/>
      <c r="I388" s="15"/>
      <c r="K388" s="15"/>
    </row>
    <row r="389" spans="7:11" ht="13.2">
      <c r="G389" s="13"/>
      <c r="H389" s="13"/>
      <c r="I389" s="15"/>
      <c r="K389" s="15"/>
    </row>
    <row r="390" spans="7:11" ht="13.2">
      <c r="G390" s="13"/>
      <c r="H390" s="13"/>
      <c r="I390" s="15"/>
      <c r="K390" s="15"/>
    </row>
    <row r="391" spans="7:11" ht="13.2">
      <c r="G391" s="13"/>
      <c r="H391" s="13"/>
      <c r="I391" s="15"/>
      <c r="K391" s="15"/>
    </row>
    <row r="392" spans="7:11" ht="13.2">
      <c r="G392" s="13"/>
      <c r="H392" s="13"/>
      <c r="I392" s="15"/>
      <c r="K392" s="15"/>
    </row>
    <row r="393" spans="7:11" ht="13.2">
      <c r="G393" s="13"/>
      <c r="H393" s="13"/>
      <c r="I393" s="15"/>
      <c r="K393" s="15"/>
    </row>
    <row r="394" spans="7:11" ht="13.2">
      <c r="G394" s="13"/>
      <c r="H394" s="13"/>
      <c r="I394" s="15"/>
      <c r="K394" s="15"/>
    </row>
    <row r="395" spans="7:11" ht="13.2">
      <c r="G395" s="13"/>
      <c r="H395" s="13"/>
      <c r="I395" s="15"/>
      <c r="K395" s="15"/>
    </row>
    <row r="396" spans="7:11" ht="13.2">
      <c r="G396" s="13"/>
      <c r="H396" s="13"/>
      <c r="I396" s="15"/>
      <c r="K396" s="15"/>
    </row>
    <row r="397" spans="7:11" ht="13.2">
      <c r="G397" s="13"/>
      <c r="H397" s="13"/>
      <c r="I397" s="15"/>
      <c r="K397" s="15"/>
    </row>
    <row r="398" spans="7:11" ht="13.2">
      <c r="G398" s="13"/>
      <c r="H398" s="13"/>
      <c r="I398" s="15"/>
      <c r="K398" s="15"/>
    </row>
    <row r="399" spans="7:11" ht="13.2">
      <c r="G399" s="13"/>
      <c r="H399" s="13"/>
      <c r="I399" s="15"/>
      <c r="K399" s="15"/>
    </row>
    <row r="400" spans="7:11" ht="13.2">
      <c r="G400" s="13"/>
      <c r="H400" s="13"/>
      <c r="I400" s="15"/>
      <c r="K400" s="15"/>
    </row>
    <row r="401" spans="7:11" ht="13.2">
      <c r="G401" s="13"/>
      <c r="H401" s="13"/>
      <c r="I401" s="15"/>
      <c r="K401" s="15"/>
    </row>
    <row r="402" spans="7:11" ht="13.2">
      <c r="G402" s="13"/>
      <c r="H402" s="13"/>
      <c r="I402" s="15"/>
      <c r="K402" s="15"/>
    </row>
    <row r="403" spans="7:11" ht="13.2">
      <c r="G403" s="13"/>
      <c r="H403" s="13"/>
      <c r="I403" s="15"/>
      <c r="K403" s="15"/>
    </row>
    <row r="404" spans="7:11" ht="13.2">
      <c r="G404" s="13"/>
      <c r="H404" s="13"/>
      <c r="I404" s="15"/>
      <c r="K404" s="15"/>
    </row>
    <row r="405" spans="7:11" ht="13.2">
      <c r="G405" s="13"/>
      <c r="H405" s="13"/>
      <c r="I405" s="15"/>
      <c r="K405" s="15"/>
    </row>
    <row r="406" spans="7:11" ht="13.2">
      <c r="G406" s="13"/>
      <c r="H406" s="13"/>
      <c r="I406" s="15"/>
      <c r="K406" s="15"/>
    </row>
    <row r="407" spans="7:11" ht="13.2">
      <c r="G407" s="13"/>
      <c r="H407" s="13"/>
      <c r="I407" s="15"/>
      <c r="K407" s="15"/>
    </row>
    <row r="408" spans="7:11" ht="13.2">
      <c r="G408" s="13"/>
      <c r="H408" s="13"/>
      <c r="I408" s="15"/>
      <c r="K408" s="15"/>
    </row>
    <row r="409" spans="7:11" ht="13.2">
      <c r="G409" s="13"/>
      <c r="H409" s="13"/>
      <c r="I409" s="15"/>
      <c r="K409" s="15"/>
    </row>
    <row r="410" spans="7:11" ht="13.2">
      <c r="G410" s="13"/>
      <c r="H410" s="13"/>
      <c r="I410" s="15"/>
      <c r="K410" s="15"/>
    </row>
    <row r="411" spans="7:11" ht="13.2">
      <c r="G411" s="13"/>
      <c r="H411" s="13"/>
      <c r="I411" s="15"/>
      <c r="K411" s="15"/>
    </row>
    <row r="412" spans="7:11" ht="13.2">
      <c r="G412" s="13"/>
      <c r="H412" s="13"/>
      <c r="I412" s="15"/>
      <c r="K412" s="15"/>
    </row>
    <row r="413" spans="7:11" ht="13.2">
      <c r="G413" s="13"/>
      <c r="H413" s="13"/>
      <c r="I413" s="15"/>
      <c r="K413" s="15"/>
    </row>
    <row r="414" spans="7:11" ht="13.2">
      <c r="G414" s="13"/>
      <c r="H414" s="13"/>
      <c r="I414" s="15"/>
      <c r="K414" s="15"/>
    </row>
    <row r="415" spans="7:11" ht="13.2">
      <c r="G415" s="13"/>
      <c r="H415" s="13"/>
      <c r="I415" s="15"/>
      <c r="K415" s="15"/>
    </row>
    <row r="416" spans="7:11" ht="13.2">
      <c r="G416" s="13"/>
      <c r="H416" s="13"/>
      <c r="I416" s="15"/>
      <c r="K416" s="15"/>
    </row>
    <row r="417" spans="7:11" ht="13.2">
      <c r="G417" s="13"/>
      <c r="H417" s="13"/>
      <c r="I417" s="15"/>
      <c r="K417" s="15"/>
    </row>
    <row r="418" spans="7:11" ht="13.2">
      <c r="G418" s="13"/>
      <c r="H418" s="13"/>
      <c r="I418" s="15"/>
      <c r="K418" s="15"/>
    </row>
    <row r="419" spans="7:11" ht="13.2">
      <c r="G419" s="13"/>
      <c r="H419" s="13"/>
      <c r="I419" s="15"/>
      <c r="K419" s="15"/>
    </row>
    <row r="420" spans="7:11" ht="13.2">
      <c r="G420" s="13"/>
      <c r="H420" s="13"/>
      <c r="I420" s="15"/>
      <c r="K420" s="15"/>
    </row>
    <row r="421" spans="7:11" ht="13.2">
      <c r="G421" s="13"/>
      <c r="H421" s="13"/>
      <c r="I421" s="15"/>
      <c r="K421" s="15"/>
    </row>
    <row r="422" spans="7:11" ht="13.2">
      <c r="G422" s="13"/>
      <c r="H422" s="13"/>
      <c r="I422" s="15"/>
      <c r="K422" s="15"/>
    </row>
    <row r="423" spans="7:11" ht="13.2">
      <c r="G423" s="13"/>
      <c r="H423" s="13"/>
      <c r="I423" s="15"/>
      <c r="K423" s="15"/>
    </row>
    <row r="424" spans="7:11" ht="13.2">
      <c r="G424" s="13"/>
      <c r="H424" s="13"/>
      <c r="I424" s="15"/>
      <c r="K424" s="15"/>
    </row>
    <row r="425" spans="7:11" ht="13.2">
      <c r="G425" s="13"/>
      <c r="H425" s="13"/>
      <c r="I425" s="15"/>
      <c r="K425" s="15"/>
    </row>
    <row r="426" spans="7:11" ht="13.2">
      <c r="G426" s="13"/>
      <c r="H426" s="13"/>
      <c r="I426" s="15"/>
      <c r="K426" s="15"/>
    </row>
    <row r="427" spans="7:11" ht="13.2">
      <c r="G427" s="13"/>
      <c r="H427" s="13"/>
      <c r="I427" s="15"/>
      <c r="K427" s="15"/>
    </row>
    <row r="428" spans="7:11" ht="13.2">
      <c r="G428" s="13"/>
      <c r="H428" s="13"/>
      <c r="I428" s="15"/>
      <c r="K428" s="15"/>
    </row>
    <row r="429" spans="7:11" ht="13.2">
      <c r="G429" s="13"/>
      <c r="H429" s="13"/>
      <c r="I429" s="15"/>
      <c r="K429" s="15"/>
    </row>
    <row r="430" spans="7:11" ht="13.2">
      <c r="G430" s="13"/>
      <c r="H430" s="13"/>
      <c r="I430" s="15"/>
      <c r="K430" s="15"/>
    </row>
    <row r="431" spans="7:11" ht="13.2">
      <c r="G431" s="13"/>
      <c r="H431" s="13"/>
      <c r="I431" s="15"/>
      <c r="K431" s="15"/>
    </row>
    <row r="432" spans="7:11" ht="13.2">
      <c r="G432" s="13"/>
      <c r="H432" s="13"/>
      <c r="I432" s="15"/>
      <c r="K432" s="15"/>
    </row>
    <row r="433" spans="7:11" ht="13.2">
      <c r="G433" s="13"/>
      <c r="H433" s="13"/>
      <c r="I433" s="15"/>
      <c r="K433" s="15"/>
    </row>
    <row r="434" spans="7:11" ht="13.2">
      <c r="G434" s="13"/>
      <c r="H434" s="13"/>
      <c r="I434" s="15"/>
      <c r="K434" s="15"/>
    </row>
    <row r="435" spans="7:11" ht="13.2">
      <c r="G435" s="13"/>
      <c r="H435" s="13"/>
      <c r="I435" s="15"/>
      <c r="K435" s="15"/>
    </row>
    <row r="436" spans="7:11" ht="13.2">
      <c r="G436" s="13"/>
      <c r="H436" s="13"/>
      <c r="I436" s="15"/>
      <c r="K436" s="15"/>
    </row>
    <row r="437" spans="7:11" ht="13.2">
      <c r="G437" s="13"/>
      <c r="H437" s="13"/>
      <c r="I437" s="15"/>
      <c r="K437" s="15"/>
    </row>
    <row r="438" spans="7:11" ht="13.2">
      <c r="G438" s="13"/>
      <c r="H438" s="13"/>
      <c r="I438" s="15"/>
      <c r="K438" s="15"/>
    </row>
    <row r="439" spans="7:11" ht="13.2">
      <c r="G439" s="13"/>
      <c r="H439" s="13"/>
      <c r="I439" s="15"/>
      <c r="K439" s="15"/>
    </row>
    <row r="440" spans="7:11" ht="13.2">
      <c r="G440" s="13"/>
      <c r="H440" s="13"/>
      <c r="I440" s="15"/>
      <c r="K440" s="15"/>
    </row>
    <row r="441" spans="7:11" ht="13.2">
      <c r="G441" s="13"/>
      <c r="H441" s="13"/>
      <c r="I441" s="15"/>
      <c r="K441" s="15"/>
    </row>
    <row r="442" spans="7:11" ht="13.2">
      <c r="G442" s="13"/>
      <c r="H442" s="13"/>
      <c r="I442" s="15"/>
      <c r="K442" s="15"/>
    </row>
    <row r="443" spans="7:11" ht="13.2">
      <c r="G443" s="13"/>
      <c r="H443" s="13"/>
      <c r="I443" s="15"/>
      <c r="K443" s="15"/>
    </row>
    <row r="444" spans="7:11" ht="13.2">
      <c r="G444" s="13"/>
      <c r="H444" s="13"/>
      <c r="I444" s="15"/>
      <c r="K444" s="15"/>
    </row>
    <row r="445" spans="7:11" ht="13.2">
      <c r="G445" s="13"/>
      <c r="H445" s="13"/>
      <c r="I445" s="15"/>
      <c r="K445" s="15"/>
    </row>
    <row r="446" spans="7:11" ht="13.2">
      <c r="G446" s="13"/>
      <c r="H446" s="13"/>
      <c r="I446" s="15"/>
      <c r="K446" s="15"/>
    </row>
    <row r="447" spans="7:11" ht="13.2">
      <c r="G447" s="13"/>
      <c r="H447" s="13"/>
      <c r="I447" s="15"/>
      <c r="K447" s="15"/>
    </row>
    <row r="448" spans="7:11" ht="13.2">
      <c r="G448" s="13"/>
      <c r="H448" s="13"/>
      <c r="I448" s="15"/>
      <c r="K448" s="15"/>
    </row>
    <row r="449" spans="7:11" ht="13.2">
      <c r="G449" s="13"/>
      <c r="H449" s="13"/>
      <c r="I449" s="15"/>
      <c r="K449" s="15"/>
    </row>
    <row r="450" spans="7:11" ht="13.2">
      <c r="G450" s="13"/>
      <c r="H450" s="13"/>
      <c r="I450" s="15"/>
      <c r="K450" s="15"/>
    </row>
    <row r="451" spans="7:11" ht="13.2">
      <c r="G451" s="13"/>
      <c r="H451" s="13"/>
      <c r="I451" s="15"/>
      <c r="K451" s="15"/>
    </row>
    <row r="452" spans="7:11" ht="13.2">
      <c r="G452" s="13"/>
      <c r="H452" s="13"/>
      <c r="I452" s="15"/>
      <c r="K452" s="15"/>
    </row>
    <row r="453" spans="7:11" ht="13.2">
      <c r="G453" s="13"/>
      <c r="H453" s="13"/>
      <c r="I453" s="15"/>
      <c r="K453" s="15"/>
    </row>
    <row r="454" spans="7:11" ht="13.2">
      <c r="G454" s="13"/>
      <c r="H454" s="13"/>
      <c r="I454" s="15"/>
      <c r="K454" s="15"/>
    </row>
    <row r="455" spans="7:11" ht="13.2">
      <c r="G455" s="13"/>
      <c r="H455" s="13"/>
      <c r="I455" s="15"/>
      <c r="K455" s="15"/>
    </row>
    <row r="456" spans="7:11" ht="13.2">
      <c r="G456" s="13"/>
      <c r="H456" s="13"/>
      <c r="I456" s="15"/>
      <c r="K456" s="15"/>
    </row>
    <row r="457" spans="7:11" ht="13.2">
      <c r="G457" s="13"/>
      <c r="H457" s="13"/>
      <c r="I457" s="15"/>
      <c r="K457" s="15"/>
    </row>
    <row r="458" spans="7:11" ht="13.2">
      <c r="G458" s="13"/>
      <c r="H458" s="13"/>
      <c r="I458" s="15"/>
      <c r="K458" s="15"/>
    </row>
    <row r="459" spans="7:11" ht="13.2">
      <c r="G459" s="13"/>
      <c r="H459" s="13"/>
      <c r="I459" s="15"/>
      <c r="K459" s="15"/>
    </row>
    <row r="460" spans="7:11" ht="13.2">
      <c r="G460" s="13"/>
      <c r="H460" s="13"/>
      <c r="I460" s="15"/>
      <c r="K460" s="15"/>
    </row>
    <row r="461" spans="7:11" ht="13.2">
      <c r="G461" s="13"/>
      <c r="H461" s="13"/>
      <c r="I461" s="15"/>
      <c r="K461" s="15"/>
    </row>
    <row r="462" spans="7:11" ht="13.2">
      <c r="G462" s="13"/>
      <c r="H462" s="13"/>
      <c r="I462" s="15"/>
      <c r="K462" s="15"/>
    </row>
    <row r="463" spans="7:11" ht="13.2">
      <c r="G463" s="13"/>
      <c r="H463" s="13"/>
      <c r="I463" s="15"/>
      <c r="K463" s="15"/>
    </row>
    <row r="464" spans="7:11" ht="13.2">
      <c r="G464" s="13"/>
      <c r="H464" s="13"/>
      <c r="I464" s="15"/>
      <c r="K464" s="15"/>
    </row>
    <row r="465" spans="7:11" ht="13.2">
      <c r="G465" s="13"/>
      <c r="H465" s="13"/>
      <c r="I465" s="15"/>
      <c r="K465" s="15"/>
    </row>
    <row r="466" spans="7:11" ht="13.2">
      <c r="G466" s="13"/>
      <c r="H466" s="13"/>
      <c r="I466" s="15"/>
      <c r="K466" s="15"/>
    </row>
    <row r="467" spans="7:11" ht="13.2">
      <c r="G467" s="13"/>
      <c r="H467" s="13"/>
      <c r="I467" s="15"/>
      <c r="K467" s="15"/>
    </row>
    <row r="468" spans="7:11" ht="13.2">
      <c r="G468" s="13"/>
      <c r="H468" s="13"/>
      <c r="I468" s="15"/>
      <c r="K468" s="15"/>
    </row>
    <row r="469" spans="7:11" ht="13.2">
      <c r="G469" s="13"/>
      <c r="H469" s="13"/>
      <c r="I469" s="15"/>
      <c r="K469" s="15"/>
    </row>
    <row r="470" spans="7:11" ht="13.2">
      <c r="G470" s="13"/>
      <c r="H470" s="13"/>
      <c r="I470" s="15"/>
      <c r="K470" s="15"/>
    </row>
    <row r="471" spans="7:11" ht="13.2">
      <c r="G471" s="13"/>
      <c r="H471" s="13"/>
      <c r="I471" s="15"/>
      <c r="K471" s="15"/>
    </row>
    <row r="472" spans="7:11" ht="13.2">
      <c r="G472" s="13"/>
      <c r="H472" s="13"/>
      <c r="I472" s="15"/>
      <c r="K472" s="15"/>
    </row>
    <row r="473" spans="7:11" ht="13.2">
      <c r="G473" s="13"/>
      <c r="H473" s="13"/>
      <c r="I473" s="15"/>
      <c r="K473" s="15"/>
    </row>
    <row r="474" spans="7:11" ht="13.2">
      <c r="G474" s="13"/>
      <c r="H474" s="13"/>
      <c r="I474" s="15"/>
      <c r="K474" s="15"/>
    </row>
    <row r="475" spans="7:11" ht="13.2">
      <c r="G475" s="13"/>
      <c r="H475" s="13"/>
      <c r="I475" s="15"/>
      <c r="K475" s="15"/>
    </row>
    <row r="476" spans="7:11" ht="13.2">
      <c r="G476" s="13"/>
      <c r="H476" s="13"/>
      <c r="I476" s="15"/>
      <c r="K476" s="15"/>
    </row>
    <row r="477" spans="7:11" ht="13.2">
      <c r="G477" s="13"/>
      <c r="H477" s="13"/>
      <c r="I477" s="15"/>
      <c r="K477" s="15"/>
    </row>
    <row r="478" spans="7:11" ht="13.2">
      <c r="G478" s="13"/>
      <c r="H478" s="13"/>
      <c r="I478" s="15"/>
      <c r="K478" s="15"/>
    </row>
    <row r="479" spans="7:11" ht="13.2">
      <c r="G479" s="13"/>
      <c r="H479" s="13"/>
      <c r="I479" s="15"/>
      <c r="K479" s="15"/>
    </row>
    <row r="480" spans="7:11" ht="13.2">
      <c r="G480" s="13"/>
      <c r="H480" s="13"/>
      <c r="I480" s="15"/>
      <c r="K480" s="15"/>
    </row>
    <row r="481" spans="7:11" ht="13.2">
      <c r="G481" s="13"/>
      <c r="H481" s="13"/>
      <c r="I481" s="15"/>
      <c r="K481" s="15"/>
    </row>
    <row r="482" spans="7:11" ht="13.2">
      <c r="G482" s="13"/>
      <c r="H482" s="13"/>
      <c r="I482" s="15"/>
      <c r="K482" s="15"/>
    </row>
    <row r="483" spans="7:11" ht="13.2">
      <c r="G483" s="13"/>
      <c r="H483" s="13"/>
      <c r="I483" s="15"/>
      <c r="K483" s="15"/>
    </row>
    <row r="484" spans="7:11" ht="13.2">
      <c r="G484" s="13"/>
      <c r="H484" s="13"/>
      <c r="I484" s="15"/>
      <c r="K484" s="15"/>
    </row>
    <row r="485" spans="7:11" ht="13.2">
      <c r="G485" s="13"/>
      <c r="H485" s="13"/>
      <c r="I485" s="15"/>
      <c r="K485" s="15"/>
    </row>
    <row r="486" spans="7:11" ht="13.2">
      <c r="G486" s="13"/>
      <c r="H486" s="13"/>
      <c r="I486" s="15"/>
      <c r="K486" s="15"/>
    </row>
    <row r="487" spans="7:11" ht="13.2">
      <c r="G487" s="13"/>
      <c r="H487" s="13"/>
      <c r="I487" s="15"/>
      <c r="K487" s="15"/>
    </row>
    <row r="488" spans="7:11" ht="13.2">
      <c r="G488" s="13"/>
      <c r="H488" s="13"/>
      <c r="I488" s="15"/>
      <c r="K488" s="15"/>
    </row>
    <row r="489" spans="7:11" ht="13.2">
      <c r="G489" s="13"/>
      <c r="H489" s="13"/>
      <c r="I489" s="15"/>
      <c r="K489" s="15"/>
    </row>
    <row r="490" spans="7:11" ht="13.2">
      <c r="G490" s="13"/>
      <c r="H490" s="13"/>
      <c r="I490" s="15"/>
      <c r="K490" s="15"/>
    </row>
    <row r="491" spans="7:11" ht="13.2">
      <c r="G491" s="13"/>
      <c r="H491" s="13"/>
      <c r="I491" s="15"/>
      <c r="K491" s="15"/>
    </row>
    <row r="492" spans="7:11" ht="13.2">
      <c r="G492" s="13"/>
      <c r="H492" s="13"/>
      <c r="I492" s="15"/>
      <c r="K492" s="15"/>
    </row>
    <row r="493" spans="7:11" ht="13.2">
      <c r="G493" s="13"/>
      <c r="H493" s="13"/>
      <c r="I493" s="15"/>
      <c r="K493" s="15"/>
    </row>
    <row r="494" spans="7:11" ht="13.2">
      <c r="G494" s="13"/>
      <c r="H494" s="13"/>
      <c r="I494" s="15"/>
      <c r="K494" s="15"/>
    </row>
    <row r="495" spans="7:11" ht="13.2">
      <c r="G495" s="13"/>
      <c r="H495" s="13"/>
      <c r="I495" s="15"/>
      <c r="K495" s="15"/>
    </row>
    <row r="496" spans="7:11" ht="13.2">
      <c r="G496" s="13"/>
      <c r="H496" s="13"/>
      <c r="I496" s="15"/>
      <c r="K496" s="15"/>
    </row>
    <row r="497" spans="7:11" ht="13.2">
      <c r="G497" s="13"/>
      <c r="H497" s="13"/>
      <c r="I497" s="15"/>
      <c r="K497" s="15"/>
    </row>
    <row r="498" spans="7:11" ht="13.2">
      <c r="G498" s="13"/>
      <c r="H498" s="13"/>
      <c r="I498" s="15"/>
      <c r="K498" s="15"/>
    </row>
    <row r="499" spans="7:11" ht="13.2">
      <c r="G499" s="13"/>
      <c r="H499" s="13"/>
      <c r="I499" s="15"/>
      <c r="K499" s="15"/>
    </row>
    <row r="500" spans="7:11" ht="13.2">
      <c r="G500" s="13"/>
      <c r="H500" s="13"/>
      <c r="I500" s="15"/>
      <c r="K500" s="15"/>
    </row>
    <row r="501" spans="7:11" ht="13.2">
      <c r="G501" s="13"/>
      <c r="H501" s="13"/>
      <c r="I501" s="15"/>
      <c r="K501" s="15"/>
    </row>
    <row r="502" spans="7:11" ht="13.2">
      <c r="G502" s="13"/>
      <c r="H502" s="13"/>
      <c r="I502" s="15"/>
      <c r="K502" s="15"/>
    </row>
    <row r="503" spans="7:11" ht="13.2">
      <c r="G503" s="13"/>
      <c r="H503" s="13"/>
      <c r="I503" s="15"/>
      <c r="K503" s="15"/>
    </row>
    <row r="504" spans="7:11" ht="13.2">
      <c r="G504" s="13"/>
      <c r="H504" s="13"/>
      <c r="I504" s="15"/>
      <c r="K504" s="15"/>
    </row>
    <row r="505" spans="7:11" ht="13.2">
      <c r="G505" s="13"/>
      <c r="H505" s="13"/>
      <c r="I505" s="15"/>
      <c r="K505" s="15"/>
    </row>
    <row r="506" spans="7:11" ht="13.2">
      <c r="G506" s="13"/>
      <c r="H506" s="13"/>
      <c r="I506" s="15"/>
      <c r="K506" s="15"/>
    </row>
    <row r="507" spans="7:11" ht="13.2">
      <c r="G507" s="13"/>
      <c r="H507" s="13"/>
      <c r="I507" s="15"/>
      <c r="K507" s="15"/>
    </row>
    <row r="508" spans="7:11" ht="13.2">
      <c r="G508" s="13"/>
      <c r="H508" s="13"/>
      <c r="I508" s="15"/>
      <c r="K508" s="15"/>
    </row>
    <row r="509" spans="7:11" ht="13.2">
      <c r="G509" s="13"/>
      <c r="H509" s="13"/>
      <c r="I509" s="15"/>
      <c r="K509" s="15"/>
    </row>
    <row r="510" spans="7:11" ht="13.2">
      <c r="G510" s="13"/>
      <c r="H510" s="13"/>
      <c r="I510" s="15"/>
      <c r="K510" s="15"/>
    </row>
    <row r="511" spans="7:11" ht="13.2">
      <c r="G511" s="13"/>
      <c r="H511" s="13"/>
      <c r="I511" s="15"/>
      <c r="K511" s="15"/>
    </row>
    <row r="512" spans="7:11" ht="13.2">
      <c r="G512" s="13"/>
      <c r="H512" s="13"/>
      <c r="I512" s="15"/>
      <c r="K512" s="15"/>
    </row>
    <row r="513" spans="7:11" ht="13.2">
      <c r="G513" s="13"/>
      <c r="H513" s="13"/>
      <c r="I513" s="15"/>
      <c r="K513" s="15"/>
    </row>
    <row r="514" spans="7:11" ht="13.2">
      <c r="G514" s="13"/>
      <c r="H514" s="13"/>
      <c r="I514" s="15"/>
      <c r="K514" s="15"/>
    </row>
    <row r="515" spans="7:11" ht="13.2">
      <c r="G515" s="13"/>
      <c r="H515" s="13"/>
      <c r="I515" s="15"/>
      <c r="K515" s="15"/>
    </row>
    <row r="516" spans="7:11" ht="13.2">
      <c r="G516" s="13"/>
      <c r="H516" s="13"/>
      <c r="I516" s="15"/>
      <c r="K516" s="15"/>
    </row>
    <row r="517" spans="7:11" ht="13.2">
      <c r="G517" s="13"/>
      <c r="H517" s="13"/>
      <c r="I517" s="15"/>
      <c r="K517" s="15"/>
    </row>
    <row r="518" spans="7:11" ht="13.2">
      <c r="G518" s="13"/>
      <c r="H518" s="13"/>
      <c r="I518" s="15"/>
      <c r="K518" s="15"/>
    </row>
    <row r="519" spans="7:11" ht="13.2">
      <c r="G519" s="13"/>
      <c r="H519" s="13"/>
      <c r="I519" s="15"/>
      <c r="K519" s="15"/>
    </row>
    <row r="520" spans="7:11" ht="13.2">
      <c r="G520" s="13"/>
      <c r="H520" s="13"/>
      <c r="I520" s="15"/>
      <c r="K520" s="15"/>
    </row>
    <row r="521" spans="7:11" ht="13.2">
      <c r="G521" s="13"/>
      <c r="H521" s="13"/>
      <c r="I521" s="15"/>
      <c r="K521" s="15"/>
    </row>
    <row r="522" spans="7:11" ht="13.2">
      <c r="G522" s="13"/>
      <c r="H522" s="13"/>
      <c r="I522" s="15"/>
      <c r="K522" s="15"/>
    </row>
    <row r="523" spans="7:11" ht="13.2">
      <c r="G523" s="13"/>
      <c r="H523" s="13"/>
      <c r="I523" s="15"/>
      <c r="K523" s="15"/>
    </row>
    <row r="524" spans="7:11" ht="13.2">
      <c r="G524" s="13"/>
      <c r="H524" s="13"/>
      <c r="I524" s="15"/>
      <c r="K524" s="15"/>
    </row>
    <row r="525" spans="7:11" ht="13.2">
      <c r="G525" s="13"/>
      <c r="H525" s="13"/>
      <c r="I525" s="15"/>
      <c r="K525" s="15"/>
    </row>
    <row r="526" spans="7:11" ht="13.2">
      <c r="G526" s="13"/>
      <c r="H526" s="13"/>
      <c r="I526" s="15"/>
      <c r="K526" s="15"/>
    </row>
    <row r="527" spans="7:11" ht="13.2">
      <c r="G527" s="13"/>
      <c r="H527" s="13"/>
      <c r="I527" s="15"/>
      <c r="K527" s="15"/>
    </row>
    <row r="528" spans="7:11" ht="13.2">
      <c r="G528" s="13"/>
      <c r="H528" s="13"/>
      <c r="I528" s="15"/>
      <c r="K528" s="15"/>
    </row>
    <row r="529" spans="7:11" ht="13.2">
      <c r="G529" s="13"/>
      <c r="H529" s="13"/>
      <c r="I529" s="15"/>
      <c r="K529" s="15"/>
    </row>
    <row r="530" spans="7:11" ht="13.2">
      <c r="G530" s="13"/>
      <c r="H530" s="13"/>
      <c r="I530" s="15"/>
      <c r="K530" s="15"/>
    </row>
    <row r="531" spans="7:11" ht="13.2">
      <c r="G531" s="13"/>
      <c r="H531" s="13"/>
      <c r="I531" s="15"/>
      <c r="K531" s="15"/>
    </row>
    <row r="532" spans="7:11" ht="13.2">
      <c r="G532" s="13"/>
      <c r="H532" s="13"/>
      <c r="I532" s="15"/>
      <c r="K532" s="15"/>
    </row>
    <row r="533" spans="7:11" ht="13.2">
      <c r="G533" s="13"/>
      <c r="H533" s="13"/>
      <c r="I533" s="15"/>
      <c r="K533" s="15"/>
    </row>
    <row r="534" spans="7:11" ht="13.2">
      <c r="G534" s="13"/>
      <c r="H534" s="13"/>
      <c r="I534" s="15"/>
      <c r="K534" s="15"/>
    </row>
    <row r="535" spans="7:11" ht="13.2">
      <c r="G535" s="13"/>
      <c r="H535" s="13"/>
      <c r="I535" s="15"/>
      <c r="K535" s="15"/>
    </row>
    <row r="536" spans="7:11" ht="13.2">
      <c r="G536" s="13"/>
      <c r="H536" s="13"/>
      <c r="I536" s="15"/>
      <c r="K536" s="15"/>
    </row>
    <row r="537" spans="7:11" ht="13.2">
      <c r="G537" s="13"/>
      <c r="H537" s="13"/>
      <c r="I537" s="15"/>
      <c r="K537" s="15"/>
    </row>
    <row r="538" spans="7:11" ht="13.2">
      <c r="G538" s="13"/>
      <c r="H538" s="13"/>
      <c r="I538" s="15"/>
      <c r="K538" s="15"/>
    </row>
    <row r="539" spans="7:11" ht="13.2">
      <c r="G539" s="13"/>
      <c r="H539" s="13"/>
      <c r="I539" s="15"/>
      <c r="K539" s="15"/>
    </row>
    <row r="540" spans="7:11" ht="13.2">
      <c r="G540" s="13"/>
      <c r="H540" s="13"/>
      <c r="I540" s="15"/>
      <c r="K540" s="15"/>
    </row>
    <row r="541" spans="7:11" ht="13.2">
      <c r="G541" s="13"/>
      <c r="H541" s="13"/>
      <c r="I541" s="15"/>
      <c r="K541" s="15"/>
    </row>
    <row r="542" spans="7:11" ht="13.2">
      <c r="G542" s="13"/>
      <c r="H542" s="13"/>
      <c r="I542" s="15"/>
      <c r="K542" s="15"/>
    </row>
    <row r="543" spans="7:11" ht="13.2">
      <c r="G543" s="13"/>
      <c r="H543" s="13"/>
      <c r="I543" s="15"/>
      <c r="K543" s="15"/>
    </row>
    <row r="544" spans="7:11" ht="13.2">
      <c r="G544" s="13"/>
      <c r="H544" s="13"/>
      <c r="I544" s="15"/>
      <c r="K544" s="15"/>
    </row>
    <row r="545" spans="7:11" ht="13.2">
      <c r="G545" s="13"/>
      <c r="H545" s="13"/>
      <c r="I545" s="15"/>
      <c r="K545" s="15"/>
    </row>
    <row r="546" spans="7:11" ht="13.2">
      <c r="G546" s="13"/>
      <c r="H546" s="13"/>
      <c r="I546" s="15"/>
      <c r="K546" s="15"/>
    </row>
    <row r="547" spans="7:11" ht="13.2">
      <c r="G547" s="13"/>
      <c r="H547" s="13"/>
      <c r="I547" s="15"/>
      <c r="K547" s="15"/>
    </row>
    <row r="548" spans="7:11" ht="13.2">
      <c r="G548" s="13"/>
      <c r="H548" s="13"/>
      <c r="I548" s="15"/>
      <c r="K548" s="15"/>
    </row>
    <row r="549" spans="7:11" ht="13.2">
      <c r="G549" s="13"/>
      <c r="H549" s="13"/>
      <c r="I549" s="15"/>
      <c r="K549" s="15"/>
    </row>
    <row r="550" spans="7:11" ht="13.2">
      <c r="G550" s="13"/>
      <c r="H550" s="13"/>
      <c r="I550" s="15"/>
      <c r="K550" s="15"/>
    </row>
    <row r="551" spans="7:11" ht="13.2">
      <c r="G551" s="13"/>
      <c r="H551" s="13"/>
      <c r="I551" s="15"/>
      <c r="K551" s="15"/>
    </row>
    <row r="552" spans="7:11" ht="13.2">
      <c r="G552" s="13"/>
      <c r="H552" s="13"/>
      <c r="I552" s="15"/>
      <c r="K552" s="15"/>
    </row>
    <row r="553" spans="7:11" ht="13.2">
      <c r="G553" s="13"/>
      <c r="H553" s="13"/>
      <c r="I553" s="15"/>
      <c r="K553" s="15"/>
    </row>
    <row r="554" spans="7:11" ht="13.2">
      <c r="G554" s="13"/>
      <c r="H554" s="13"/>
      <c r="I554" s="15"/>
      <c r="K554" s="15"/>
    </row>
    <row r="555" spans="7:11" ht="13.2">
      <c r="G555" s="13"/>
      <c r="H555" s="13"/>
      <c r="I555" s="15"/>
      <c r="K555" s="15"/>
    </row>
    <row r="556" spans="7:11" ht="13.2">
      <c r="G556" s="13"/>
      <c r="H556" s="13"/>
      <c r="I556" s="15"/>
      <c r="K556" s="15"/>
    </row>
    <row r="557" spans="7:11" ht="13.2">
      <c r="G557" s="13"/>
      <c r="H557" s="13"/>
      <c r="I557" s="15"/>
      <c r="K557" s="15"/>
    </row>
    <row r="558" spans="7:11" ht="13.2">
      <c r="G558" s="13"/>
      <c r="H558" s="13"/>
      <c r="I558" s="15"/>
      <c r="K558" s="15"/>
    </row>
    <row r="559" spans="7:11" ht="13.2">
      <c r="G559" s="13"/>
      <c r="H559" s="13"/>
      <c r="I559" s="15"/>
      <c r="K559" s="15"/>
    </row>
    <row r="560" spans="7:11" ht="13.2">
      <c r="G560" s="13"/>
      <c r="H560" s="13"/>
      <c r="I560" s="15"/>
      <c r="K560" s="15"/>
    </row>
    <row r="561" spans="7:11" ht="13.2">
      <c r="G561" s="13"/>
      <c r="H561" s="13"/>
      <c r="I561" s="15"/>
      <c r="K561" s="15"/>
    </row>
    <row r="562" spans="7:11" ht="13.2">
      <c r="G562" s="13"/>
      <c r="H562" s="13"/>
      <c r="I562" s="15"/>
      <c r="K562" s="15"/>
    </row>
    <row r="563" spans="7:11" ht="13.2">
      <c r="G563" s="13"/>
      <c r="H563" s="13"/>
      <c r="I563" s="15"/>
      <c r="K563" s="15"/>
    </row>
    <row r="564" spans="7:11" ht="13.2">
      <c r="G564" s="13"/>
      <c r="H564" s="13"/>
      <c r="I564" s="15"/>
      <c r="K564" s="15"/>
    </row>
    <row r="565" spans="7:11" ht="13.2">
      <c r="G565" s="13"/>
      <c r="H565" s="13"/>
      <c r="I565" s="15"/>
      <c r="K565" s="15"/>
    </row>
    <row r="566" spans="7:11" ht="13.2">
      <c r="G566" s="13"/>
      <c r="H566" s="13"/>
      <c r="I566" s="15"/>
      <c r="K566" s="15"/>
    </row>
    <row r="567" spans="7:11" ht="13.2">
      <c r="G567" s="13"/>
      <c r="H567" s="13"/>
      <c r="I567" s="15"/>
      <c r="K567" s="15"/>
    </row>
    <row r="568" spans="7:11" ht="13.2">
      <c r="G568" s="13"/>
      <c r="H568" s="13"/>
      <c r="I568" s="15"/>
      <c r="K568" s="15"/>
    </row>
    <row r="569" spans="7:11" ht="13.2">
      <c r="G569" s="13"/>
      <c r="H569" s="13"/>
      <c r="I569" s="15"/>
      <c r="K569" s="15"/>
    </row>
    <row r="570" spans="7:11" ht="13.2">
      <c r="G570" s="13"/>
      <c r="H570" s="13"/>
      <c r="I570" s="15"/>
      <c r="K570" s="15"/>
    </row>
    <row r="571" spans="7:11" ht="13.2">
      <c r="G571" s="13"/>
      <c r="H571" s="13"/>
      <c r="I571" s="15"/>
      <c r="K571" s="15"/>
    </row>
    <row r="572" spans="7:11" ht="13.2">
      <c r="G572" s="13"/>
      <c r="H572" s="13"/>
      <c r="I572" s="15"/>
      <c r="K572" s="15"/>
    </row>
    <row r="573" spans="7:11" ht="13.2">
      <c r="G573" s="13"/>
      <c r="H573" s="13"/>
      <c r="I573" s="15"/>
      <c r="K573" s="15"/>
    </row>
    <row r="574" spans="7:11" ht="13.2">
      <c r="G574" s="13"/>
      <c r="H574" s="13"/>
      <c r="I574" s="15"/>
      <c r="K574" s="15"/>
    </row>
    <row r="575" spans="7:11" ht="13.2">
      <c r="G575" s="13"/>
      <c r="H575" s="13"/>
      <c r="I575" s="15"/>
      <c r="K575" s="15"/>
    </row>
    <row r="576" spans="7:11" ht="13.2">
      <c r="G576" s="13"/>
      <c r="H576" s="13"/>
      <c r="I576" s="15"/>
      <c r="K576" s="15"/>
    </row>
    <row r="577" spans="7:11" ht="13.2">
      <c r="G577" s="13"/>
      <c r="H577" s="13"/>
      <c r="I577" s="15"/>
      <c r="K577" s="15"/>
    </row>
    <row r="578" spans="7:11" ht="13.2">
      <c r="G578" s="13"/>
      <c r="H578" s="13"/>
      <c r="I578" s="15"/>
      <c r="K578" s="15"/>
    </row>
    <row r="579" spans="7:11" ht="13.2">
      <c r="G579" s="13"/>
      <c r="H579" s="13"/>
      <c r="I579" s="15"/>
      <c r="K579" s="15"/>
    </row>
    <row r="580" spans="7:11" ht="13.2">
      <c r="G580" s="13"/>
      <c r="H580" s="13"/>
      <c r="I580" s="15"/>
      <c r="K580" s="15"/>
    </row>
    <row r="581" spans="7:11" ht="13.2">
      <c r="G581" s="13"/>
      <c r="H581" s="13"/>
      <c r="I581" s="15"/>
      <c r="K581" s="15"/>
    </row>
    <row r="582" spans="7:11" ht="13.2">
      <c r="G582" s="13"/>
      <c r="H582" s="13"/>
      <c r="I582" s="15"/>
      <c r="K582" s="15"/>
    </row>
    <row r="583" spans="7:11" ht="13.2">
      <c r="G583" s="13"/>
      <c r="H583" s="13"/>
      <c r="I583" s="15"/>
      <c r="K583" s="15"/>
    </row>
    <row r="584" spans="7:11" ht="13.2">
      <c r="G584" s="13"/>
      <c r="H584" s="13"/>
      <c r="I584" s="15"/>
      <c r="K584" s="15"/>
    </row>
    <row r="585" spans="7:11" ht="13.2">
      <c r="G585" s="13"/>
      <c r="H585" s="13"/>
      <c r="I585" s="15"/>
      <c r="K585" s="15"/>
    </row>
    <row r="586" spans="7:11" ht="13.2">
      <c r="G586" s="13"/>
      <c r="H586" s="13"/>
      <c r="I586" s="15"/>
      <c r="K586" s="15"/>
    </row>
    <row r="587" spans="7:11" ht="13.2">
      <c r="G587" s="13"/>
      <c r="H587" s="13"/>
      <c r="I587" s="15"/>
      <c r="K587" s="15"/>
    </row>
    <row r="588" spans="7:11" ht="13.2">
      <c r="G588" s="13"/>
      <c r="H588" s="13"/>
      <c r="I588" s="15"/>
      <c r="K588" s="15"/>
    </row>
    <row r="589" spans="7:11" ht="13.2">
      <c r="G589" s="13"/>
      <c r="H589" s="13"/>
      <c r="I589" s="15"/>
      <c r="K589" s="15"/>
    </row>
    <row r="590" spans="7:11" ht="13.2">
      <c r="G590" s="13"/>
      <c r="H590" s="13"/>
      <c r="I590" s="15"/>
      <c r="K590" s="15"/>
    </row>
    <row r="591" spans="7:11" ht="13.2">
      <c r="G591" s="13"/>
      <c r="H591" s="13"/>
      <c r="I591" s="15"/>
      <c r="K591" s="15"/>
    </row>
    <row r="592" spans="7:11" ht="13.2">
      <c r="G592" s="13"/>
      <c r="H592" s="13"/>
      <c r="I592" s="15"/>
      <c r="K592" s="15"/>
    </row>
    <row r="593" spans="7:11" ht="13.2">
      <c r="G593" s="13"/>
      <c r="H593" s="13"/>
      <c r="I593" s="15"/>
      <c r="K593" s="15"/>
    </row>
    <row r="594" spans="7:11" ht="13.2">
      <c r="G594" s="13"/>
      <c r="H594" s="13"/>
      <c r="I594" s="15"/>
      <c r="K594" s="15"/>
    </row>
    <row r="595" spans="7:11" ht="13.2">
      <c r="G595" s="13"/>
      <c r="H595" s="13"/>
      <c r="I595" s="15"/>
      <c r="K595" s="15"/>
    </row>
    <row r="596" spans="7:11" ht="13.2">
      <c r="G596" s="13"/>
      <c r="H596" s="13"/>
      <c r="I596" s="15"/>
      <c r="K596" s="15"/>
    </row>
    <row r="597" spans="7:11" ht="13.2">
      <c r="G597" s="13"/>
      <c r="H597" s="13"/>
      <c r="I597" s="15"/>
      <c r="K597" s="15"/>
    </row>
    <row r="598" spans="7:11" ht="13.2">
      <c r="G598" s="13"/>
      <c r="H598" s="13"/>
      <c r="I598" s="15"/>
      <c r="K598" s="15"/>
    </row>
    <row r="599" spans="7:11" ht="13.2">
      <c r="G599" s="13"/>
      <c r="H599" s="13"/>
      <c r="I599" s="15"/>
      <c r="K599" s="15"/>
    </row>
    <row r="600" spans="7:11" ht="13.2">
      <c r="G600" s="13"/>
      <c r="H600" s="13"/>
      <c r="I600" s="15"/>
      <c r="K600" s="15"/>
    </row>
    <row r="601" spans="7:11" ht="13.2">
      <c r="G601" s="13"/>
      <c r="H601" s="13"/>
      <c r="I601" s="15"/>
      <c r="K601" s="15"/>
    </row>
    <row r="602" spans="7:11" ht="13.2">
      <c r="G602" s="13"/>
      <c r="H602" s="13"/>
      <c r="I602" s="15"/>
      <c r="K602" s="15"/>
    </row>
    <row r="603" spans="7:11" ht="13.2">
      <c r="G603" s="13"/>
      <c r="H603" s="13"/>
      <c r="I603" s="15"/>
      <c r="K603" s="15"/>
    </row>
    <row r="604" spans="7:11" ht="13.2">
      <c r="G604" s="13"/>
      <c r="H604" s="13"/>
      <c r="I604" s="15"/>
      <c r="K604" s="15"/>
    </row>
    <row r="605" spans="7:11" ht="13.2">
      <c r="G605" s="13"/>
      <c r="H605" s="13"/>
      <c r="I605" s="15"/>
      <c r="K605" s="15"/>
    </row>
    <row r="606" spans="7:11" ht="13.2">
      <c r="G606" s="13"/>
      <c r="H606" s="13"/>
      <c r="I606" s="15"/>
      <c r="K606" s="15"/>
    </row>
    <row r="607" spans="7:11" ht="13.2">
      <c r="G607" s="13"/>
      <c r="H607" s="13"/>
      <c r="I607" s="15"/>
      <c r="K607" s="15"/>
    </row>
    <row r="608" spans="7:11" ht="13.2">
      <c r="G608" s="13"/>
      <c r="H608" s="13"/>
      <c r="I608" s="15"/>
      <c r="K608" s="15"/>
    </row>
    <row r="609" spans="7:11" ht="13.2">
      <c r="G609" s="13"/>
      <c r="H609" s="13"/>
      <c r="I609" s="15"/>
      <c r="K609" s="15"/>
    </row>
    <row r="610" spans="7:11" ht="13.2">
      <c r="G610" s="13"/>
      <c r="H610" s="13"/>
      <c r="I610" s="15"/>
      <c r="K610" s="15"/>
    </row>
    <row r="611" spans="7:11" ht="13.2">
      <c r="G611" s="13"/>
      <c r="H611" s="13"/>
      <c r="I611" s="15"/>
      <c r="K611" s="15"/>
    </row>
    <row r="612" spans="7:11" ht="13.2">
      <c r="G612" s="13"/>
      <c r="H612" s="13"/>
      <c r="I612" s="15"/>
      <c r="K612" s="15"/>
    </row>
    <row r="613" spans="7:11" ht="13.2">
      <c r="G613" s="13"/>
      <c r="H613" s="13"/>
      <c r="I613" s="15"/>
      <c r="K613" s="15"/>
    </row>
    <row r="614" spans="7:11" ht="13.2">
      <c r="G614" s="13"/>
      <c r="H614" s="13"/>
      <c r="I614" s="15"/>
      <c r="K614" s="15"/>
    </row>
    <row r="615" spans="7:11" ht="13.2">
      <c r="G615" s="13"/>
      <c r="H615" s="13"/>
      <c r="I615" s="15"/>
      <c r="K615" s="15"/>
    </row>
    <row r="616" spans="7:11" ht="13.2">
      <c r="G616" s="13"/>
      <c r="H616" s="13"/>
      <c r="I616" s="15"/>
      <c r="K616" s="15"/>
    </row>
    <row r="617" spans="7:11" ht="13.2">
      <c r="G617" s="13"/>
      <c r="H617" s="13"/>
      <c r="I617" s="15"/>
      <c r="K617" s="15"/>
    </row>
    <row r="618" spans="7:11" ht="13.2">
      <c r="G618" s="13"/>
      <c r="H618" s="13"/>
      <c r="I618" s="15"/>
      <c r="K618" s="15"/>
    </row>
    <row r="619" spans="7:11" ht="13.2">
      <c r="G619" s="13"/>
      <c r="H619" s="13"/>
      <c r="I619" s="15"/>
      <c r="K619" s="15"/>
    </row>
    <row r="620" spans="7:11" ht="13.2">
      <c r="G620" s="13"/>
      <c r="H620" s="13"/>
      <c r="I620" s="15"/>
      <c r="K620" s="15"/>
    </row>
    <row r="621" spans="7:11" ht="13.2">
      <c r="G621" s="13"/>
      <c r="H621" s="13"/>
      <c r="I621" s="15"/>
      <c r="K621" s="15"/>
    </row>
    <row r="622" spans="7:11" ht="13.2">
      <c r="G622" s="13"/>
      <c r="H622" s="13"/>
      <c r="I622" s="15"/>
      <c r="K622" s="15"/>
    </row>
    <row r="623" spans="7:11" ht="13.2">
      <c r="G623" s="13"/>
      <c r="H623" s="13"/>
      <c r="I623" s="15"/>
      <c r="K623" s="15"/>
    </row>
    <row r="624" spans="7:11" ht="13.2">
      <c r="G624" s="13"/>
      <c r="H624" s="13"/>
      <c r="I624" s="15"/>
      <c r="K624" s="15"/>
    </row>
    <row r="625" spans="7:11" ht="13.2">
      <c r="G625" s="13"/>
      <c r="H625" s="13"/>
      <c r="I625" s="15"/>
      <c r="K625" s="15"/>
    </row>
    <row r="626" spans="7:11" ht="13.2">
      <c r="G626" s="13"/>
      <c r="H626" s="13"/>
      <c r="I626" s="15"/>
      <c r="K626" s="15"/>
    </row>
    <row r="627" spans="7:11" ht="13.2">
      <c r="G627" s="13"/>
      <c r="H627" s="13"/>
      <c r="I627" s="15"/>
      <c r="K627" s="15"/>
    </row>
    <row r="628" spans="7:11" ht="13.2">
      <c r="G628" s="13"/>
      <c r="H628" s="13"/>
      <c r="I628" s="15"/>
      <c r="K628" s="15"/>
    </row>
    <row r="629" spans="7:11" ht="13.2">
      <c r="G629" s="13"/>
      <c r="H629" s="13"/>
      <c r="I629" s="15"/>
      <c r="K629" s="15"/>
    </row>
    <row r="630" spans="7:11" ht="13.2">
      <c r="G630" s="13"/>
      <c r="H630" s="13"/>
      <c r="I630" s="15"/>
      <c r="K630" s="15"/>
    </row>
    <row r="631" spans="7:11" ht="13.2">
      <c r="G631" s="13"/>
      <c r="H631" s="13"/>
      <c r="I631" s="15"/>
      <c r="K631" s="15"/>
    </row>
    <row r="632" spans="7:11" ht="13.2">
      <c r="G632" s="13"/>
      <c r="H632" s="13"/>
      <c r="I632" s="15"/>
      <c r="K632" s="15"/>
    </row>
    <row r="633" spans="7:11" ht="13.2">
      <c r="G633" s="13"/>
      <c r="H633" s="13"/>
      <c r="I633" s="15"/>
      <c r="K633" s="15"/>
    </row>
    <row r="634" spans="7:11" ht="13.2">
      <c r="G634" s="13"/>
      <c r="H634" s="13"/>
      <c r="I634" s="15"/>
      <c r="K634" s="15"/>
    </row>
    <row r="635" spans="7:11" ht="13.2">
      <c r="G635" s="13"/>
      <c r="H635" s="13"/>
      <c r="I635" s="15"/>
      <c r="K635" s="15"/>
    </row>
    <row r="636" spans="7:11" ht="13.2">
      <c r="G636" s="13"/>
      <c r="H636" s="13"/>
      <c r="I636" s="15"/>
      <c r="K636" s="15"/>
    </row>
    <row r="637" spans="7:11" ht="13.2">
      <c r="G637" s="13"/>
      <c r="H637" s="13"/>
      <c r="I637" s="15"/>
      <c r="K637" s="15"/>
    </row>
    <row r="638" spans="7:11" ht="13.2">
      <c r="G638" s="13"/>
      <c r="H638" s="13"/>
      <c r="I638" s="15"/>
      <c r="K638" s="15"/>
    </row>
    <row r="639" spans="7:11" ht="13.2">
      <c r="G639" s="13"/>
      <c r="H639" s="13"/>
      <c r="I639" s="15"/>
      <c r="K639" s="15"/>
    </row>
    <row r="640" spans="7:11" ht="13.2">
      <c r="G640" s="13"/>
      <c r="H640" s="13"/>
      <c r="I640" s="15"/>
      <c r="K640" s="15"/>
    </row>
    <row r="641" spans="7:11" ht="13.2">
      <c r="G641" s="13"/>
      <c r="H641" s="13"/>
      <c r="I641" s="15"/>
      <c r="K641" s="15"/>
    </row>
    <row r="642" spans="7:11" ht="13.2">
      <c r="G642" s="13"/>
      <c r="H642" s="13"/>
      <c r="I642" s="15"/>
      <c r="K642" s="15"/>
    </row>
    <row r="643" spans="7:11" ht="13.2">
      <c r="G643" s="13"/>
      <c r="H643" s="13"/>
      <c r="I643" s="15"/>
      <c r="K643" s="15"/>
    </row>
    <row r="644" spans="7:11" ht="13.2">
      <c r="G644" s="13"/>
      <c r="H644" s="13"/>
      <c r="I644" s="15"/>
      <c r="K644" s="15"/>
    </row>
    <row r="645" spans="7:11" ht="13.2">
      <c r="G645" s="13"/>
      <c r="H645" s="13"/>
      <c r="I645" s="15"/>
      <c r="K645" s="15"/>
    </row>
    <row r="646" spans="7:11" ht="13.2">
      <c r="G646" s="13"/>
      <c r="H646" s="13"/>
      <c r="I646" s="15"/>
      <c r="K646" s="15"/>
    </row>
    <row r="647" spans="7:11" ht="13.2">
      <c r="G647" s="13"/>
      <c r="H647" s="13"/>
      <c r="I647" s="15"/>
      <c r="K647" s="15"/>
    </row>
    <row r="648" spans="7:11" ht="13.2">
      <c r="G648" s="13"/>
      <c r="H648" s="13"/>
      <c r="I648" s="15"/>
      <c r="K648" s="15"/>
    </row>
    <row r="649" spans="7:11" ht="13.2">
      <c r="G649" s="13"/>
      <c r="H649" s="13"/>
      <c r="I649" s="15"/>
      <c r="K649" s="15"/>
    </row>
    <row r="650" spans="7:11" ht="13.2">
      <c r="G650" s="13"/>
      <c r="H650" s="13"/>
      <c r="I650" s="15"/>
      <c r="K650" s="15"/>
    </row>
    <row r="651" spans="7:11" ht="13.2">
      <c r="G651" s="13"/>
      <c r="H651" s="13"/>
      <c r="I651" s="15"/>
      <c r="K651" s="15"/>
    </row>
    <row r="652" spans="7:11" ht="13.2">
      <c r="G652" s="13"/>
      <c r="H652" s="13"/>
      <c r="I652" s="15"/>
      <c r="K652" s="15"/>
    </row>
    <row r="653" spans="7:11" ht="13.2">
      <c r="G653" s="13"/>
      <c r="H653" s="13"/>
      <c r="I653" s="15"/>
      <c r="K653" s="15"/>
    </row>
    <row r="654" spans="7:11" ht="13.2">
      <c r="G654" s="13"/>
      <c r="H654" s="13"/>
      <c r="I654" s="15"/>
      <c r="K654" s="15"/>
    </row>
    <row r="655" spans="7:11" ht="13.2">
      <c r="G655" s="13"/>
      <c r="H655" s="13"/>
      <c r="I655" s="15"/>
      <c r="K655" s="15"/>
    </row>
    <row r="656" spans="7:11" ht="13.2">
      <c r="G656" s="13"/>
      <c r="H656" s="13"/>
      <c r="I656" s="15"/>
      <c r="K656" s="15"/>
    </row>
    <row r="657" spans="7:11" ht="13.2">
      <c r="G657" s="13"/>
      <c r="H657" s="13"/>
      <c r="I657" s="15"/>
      <c r="K657" s="15"/>
    </row>
    <row r="658" spans="7:11" ht="13.2">
      <c r="G658" s="13"/>
      <c r="H658" s="13"/>
      <c r="I658" s="15"/>
      <c r="K658" s="15"/>
    </row>
    <row r="659" spans="7:11" ht="13.2">
      <c r="G659" s="13"/>
      <c r="H659" s="13"/>
      <c r="I659" s="15"/>
      <c r="K659" s="15"/>
    </row>
    <row r="660" spans="7:11" ht="13.2">
      <c r="G660" s="13"/>
      <c r="H660" s="13"/>
      <c r="I660" s="15"/>
      <c r="K660" s="15"/>
    </row>
    <row r="661" spans="7:11" ht="13.2">
      <c r="G661" s="13"/>
      <c r="H661" s="13"/>
      <c r="I661" s="15"/>
      <c r="K661" s="15"/>
    </row>
    <row r="662" spans="7:11" ht="13.2">
      <c r="G662" s="13"/>
      <c r="H662" s="13"/>
      <c r="I662" s="15"/>
      <c r="K662" s="15"/>
    </row>
    <row r="663" spans="7:11" ht="13.2">
      <c r="G663" s="13"/>
      <c r="H663" s="13"/>
      <c r="I663" s="15"/>
      <c r="K663" s="15"/>
    </row>
    <row r="664" spans="7:11" ht="13.2">
      <c r="G664" s="13"/>
      <c r="H664" s="13"/>
      <c r="I664" s="15"/>
      <c r="K664" s="15"/>
    </row>
    <row r="665" spans="7:11" ht="13.2">
      <c r="G665" s="13"/>
      <c r="H665" s="13"/>
      <c r="I665" s="15"/>
      <c r="K665" s="15"/>
    </row>
    <row r="666" spans="7:11" ht="13.2">
      <c r="G666" s="13"/>
      <c r="H666" s="13"/>
      <c r="I666" s="15"/>
      <c r="K666" s="15"/>
    </row>
    <row r="667" spans="7:11" ht="13.2">
      <c r="G667" s="13"/>
      <c r="H667" s="13"/>
      <c r="I667" s="15"/>
      <c r="K667" s="15"/>
    </row>
    <row r="668" spans="7:11" ht="13.2">
      <c r="G668" s="13"/>
      <c r="H668" s="13"/>
      <c r="I668" s="15"/>
      <c r="K668" s="15"/>
    </row>
    <row r="669" spans="7:11" ht="13.2">
      <c r="G669" s="13"/>
      <c r="H669" s="13"/>
      <c r="I669" s="15"/>
      <c r="K669" s="15"/>
    </row>
    <row r="670" spans="7:11" ht="13.2">
      <c r="G670" s="13"/>
      <c r="H670" s="13"/>
      <c r="I670" s="15"/>
      <c r="K670" s="15"/>
    </row>
    <row r="671" spans="7:11" ht="13.2">
      <c r="G671" s="13"/>
      <c r="H671" s="13"/>
      <c r="I671" s="15"/>
      <c r="K671" s="15"/>
    </row>
    <row r="672" spans="7:11" ht="13.2">
      <c r="G672" s="13"/>
      <c r="H672" s="13"/>
      <c r="I672" s="15"/>
      <c r="K672" s="15"/>
    </row>
    <row r="673" spans="7:11" ht="13.2">
      <c r="G673" s="13"/>
      <c r="H673" s="13"/>
      <c r="I673" s="15"/>
      <c r="K673" s="15"/>
    </row>
    <row r="674" spans="7:11" ht="13.2">
      <c r="G674" s="13"/>
      <c r="H674" s="13"/>
      <c r="I674" s="15"/>
      <c r="K674" s="15"/>
    </row>
    <row r="675" spans="7:11" ht="13.2">
      <c r="G675" s="13"/>
      <c r="H675" s="13"/>
      <c r="I675" s="15"/>
      <c r="K675" s="15"/>
    </row>
    <row r="676" spans="7:11" ht="13.2">
      <c r="G676" s="13"/>
      <c r="H676" s="13"/>
      <c r="I676" s="15"/>
      <c r="K676" s="15"/>
    </row>
    <row r="677" spans="7:11" ht="13.2">
      <c r="G677" s="13"/>
      <c r="H677" s="13"/>
      <c r="I677" s="15"/>
      <c r="K677" s="15"/>
    </row>
    <row r="678" spans="7:11" ht="13.2">
      <c r="G678" s="13"/>
      <c r="H678" s="13"/>
      <c r="I678" s="15"/>
      <c r="K678" s="15"/>
    </row>
    <row r="679" spans="7:11" ht="13.2">
      <c r="G679" s="13"/>
      <c r="H679" s="13"/>
      <c r="I679" s="15"/>
      <c r="K679" s="15"/>
    </row>
    <row r="680" spans="7:11" ht="13.2">
      <c r="G680" s="13"/>
      <c r="H680" s="13"/>
      <c r="I680" s="15"/>
      <c r="K680" s="15"/>
    </row>
    <row r="681" spans="7:11" ht="13.2">
      <c r="G681" s="13"/>
      <c r="H681" s="13"/>
      <c r="I681" s="15"/>
      <c r="K681" s="15"/>
    </row>
    <row r="682" spans="7:11" ht="13.2">
      <c r="G682" s="13"/>
      <c r="H682" s="13"/>
      <c r="I682" s="15"/>
      <c r="K682" s="15"/>
    </row>
    <row r="683" spans="7:11" ht="13.2">
      <c r="G683" s="13"/>
      <c r="H683" s="13"/>
      <c r="I683" s="15"/>
      <c r="K683" s="15"/>
    </row>
    <row r="684" spans="7:11" ht="13.2">
      <c r="G684" s="13"/>
      <c r="H684" s="13"/>
      <c r="I684" s="15"/>
      <c r="K684" s="15"/>
    </row>
    <row r="685" spans="7:11" ht="13.2">
      <c r="G685" s="13"/>
      <c r="H685" s="13"/>
      <c r="I685" s="15"/>
      <c r="K685" s="15"/>
    </row>
    <row r="686" spans="7:11" ht="13.2">
      <c r="G686" s="13"/>
      <c r="H686" s="13"/>
      <c r="I686" s="15"/>
      <c r="K686" s="15"/>
    </row>
    <row r="687" spans="7:11" ht="13.2">
      <c r="G687" s="13"/>
      <c r="H687" s="13"/>
      <c r="I687" s="15"/>
      <c r="K687" s="15"/>
    </row>
    <row r="688" spans="7:11" ht="13.2">
      <c r="G688" s="13"/>
      <c r="H688" s="13"/>
      <c r="I688" s="15"/>
      <c r="K688" s="15"/>
    </row>
    <row r="689" spans="7:11" ht="13.2">
      <c r="G689" s="13"/>
      <c r="H689" s="13"/>
      <c r="I689" s="15"/>
      <c r="K689" s="15"/>
    </row>
    <row r="690" spans="7:11" ht="13.2">
      <c r="G690" s="13"/>
      <c r="H690" s="13"/>
      <c r="I690" s="15"/>
      <c r="K690" s="15"/>
    </row>
    <row r="691" spans="7:11" ht="13.2">
      <c r="G691" s="13"/>
      <c r="H691" s="13"/>
      <c r="I691" s="15"/>
      <c r="K691" s="15"/>
    </row>
    <row r="692" spans="7:11" ht="13.2">
      <c r="G692" s="13"/>
      <c r="H692" s="13"/>
      <c r="I692" s="15"/>
      <c r="K692" s="15"/>
    </row>
    <row r="693" spans="7:11" ht="13.2">
      <c r="G693" s="13"/>
      <c r="H693" s="13"/>
      <c r="I693" s="15"/>
      <c r="K693" s="15"/>
    </row>
    <row r="694" spans="7:11" ht="13.2">
      <c r="G694" s="13"/>
      <c r="H694" s="13"/>
      <c r="I694" s="15"/>
      <c r="K694" s="15"/>
    </row>
    <row r="695" spans="7:11" ht="13.2">
      <c r="G695" s="13"/>
      <c r="H695" s="13"/>
      <c r="I695" s="15"/>
      <c r="K695" s="15"/>
    </row>
    <row r="696" spans="7:11" ht="13.2">
      <c r="G696" s="13"/>
      <c r="H696" s="13"/>
      <c r="I696" s="15"/>
      <c r="K696" s="15"/>
    </row>
    <row r="697" spans="7:11" ht="13.2">
      <c r="G697" s="13"/>
      <c r="H697" s="13"/>
      <c r="I697" s="15"/>
      <c r="K697" s="15"/>
    </row>
    <row r="698" spans="7:11" ht="13.2">
      <c r="G698" s="13"/>
      <c r="H698" s="13"/>
      <c r="I698" s="15"/>
      <c r="K698" s="15"/>
    </row>
    <row r="699" spans="7:11" ht="13.2">
      <c r="G699" s="13"/>
      <c r="H699" s="13"/>
      <c r="I699" s="15"/>
      <c r="K699" s="15"/>
    </row>
    <row r="700" spans="7:11" ht="13.2">
      <c r="G700" s="13"/>
      <c r="H700" s="13"/>
      <c r="I700" s="15"/>
      <c r="K700" s="15"/>
    </row>
    <row r="701" spans="7:11" ht="13.2">
      <c r="G701" s="13"/>
      <c r="H701" s="13"/>
      <c r="I701" s="15"/>
      <c r="K701" s="15"/>
    </row>
    <row r="702" spans="7:11" ht="13.2">
      <c r="G702" s="13"/>
      <c r="H702" s="13"/>
      <c r="I702" s="15"/>
      <c r="K702" s="15"/>
    </row>
    <row r="703" spans="7:11" ht="13.2">
      <c r="G703" s="13"/>
      <c r="H703" s="13"/>
      <c r="I703" s="15"/>
      <c r="K703" s="15"/>
    </row>
    <row r="704" spans="7:11" ht="13.2">
      <c r="G704" s="13"/>
      <c r="H704" s="13"/>
      <c r="I704" s="15"/>
      <c r="K704" s="15"/>
    </row>
    <row r="705" spans="7:11" ht="13.2">
      <c r="G705" s="13"/>
      <c r="H705" s="13"/>
      <c r="I705" s="15"/>
      <c r="K705" s="15"/>
    </row>
    <row r="706" spans="7:11" ht="13.2">
      <c r="G706" s="13"/>
      <c r="H706" s="13"/>
      <c r="I706" s="15"/>
      <c r="K706" s="15"/>
    </row>
    <row r="707" spans="7:11" ht="13.2">
      <c r="G707" s="13"/>
      <c r="H707" s="13"/>
      <c r="I707" s="15"/>
      <c r="K707" s="15"/>
    </row>
    <row r="708" spans="7:11" ht="13.2">
      <c r="G708" s="13"/>
      <c r="H708" s="13"/>
      <c r="I708" s="15"/>
      <c r="K708" s="15"/>
    </row>
    <row r="709" spans="7:11" ht="13.2">
      <c r="G709" s="13"/>
      <c r="H709" s="13"/>
      <c r="I709" s="15"/>
      <c r="K709" s="15"/>
    </row>
    <row r="710" spans="7:11" ht="13.2">
      <c r="G710" s="13"/>
      <c r="H710" s="13"/>
      <c r="I710" s="15"/>
      <c r="K710" s="15"/>
    </row>
    <row r="711" spans="7:11" ht="13.2">
      <c r="G711" s="13"/>
      <c r="H711" s="13"/>
      <c r="I711" s="15"/>
      <c r="K711" s="15"/>
    </row>
    <row r="712" spans="7:11" ht="13.2">
      <c r="G712" s="13"/>
      <c r="H712" s="13"/>
      <c r="I712" s="15"/>
      <c r="K712" s="15"/>
    </row>
    <row r="713" spans="7:11" ht="13.2">
      <c r="G713" s="13"/>
      <c r="H713" s="13"/>
      <c r="I713" s="15"/>
      <c r="K713" s="15"/>
    </row>
    <row r="714" spans="7:11" ht="13.2">
      <c r="G714" s="13"/>
      <c r="H714" s="13"/>
      <c r="I714" s="15"/>
      <c r="K714" s="15"/>
    </row>
    <row r="715" spans="7:11" ht="13.2">
      <c r="G715" s="13"/>
      <c r="H715" s="13"/>
      <c r="I715" s="15"/>
      <c r="K715" s="15"/>
    </row>
    <row r="716" spans="7:11" ht="13.2">
      <c r="G716" s="13"/>
      <c r="H716" s="13"/>
      <c r="I716" s="15"/>
      <c r="K716" s="15"/>
    </row>
    <row r="717" spans="7:11" ht="13.2">
      <c r="G717" s="13"/>
      <c r="H717" s="13"/>
      <c r="I717" s="15"/>
      <c r="K717" s="15"/>
    </row>
    <row r="718" spans="7:11" ht="13.2">
      <c r="G718" s="13"/>
      <c r="H718" s="13"/>
      <c r="I718" s="15"/>
      <c r="K718" s="15"/>
    </row>
    <row r="719" spans="7:11" ht="13.2">
      <c r="G719" s="13"/>
      <c r="H719" s="13"/>
      <c r="I719" s="15"/>
      <c r="K719" s="15"/>
    </row>
    <row r="720" spans="7:11" ht="13.2">
      <c r="G720" s="13"/>
      <c r="H720" s="13"/>
      <c r="I720" s="15"/>
      <c r="K720" s="15"/>
    </row>
    <row r="721" spans="7:11" ht="13.2">
      <c r="G721" s="13"/>
      <c r="H721" s="13"/>
      <c r="I721" s="15"/>
      <c r="K721" s="15"/>
    </row>
    <row r="722" spans="7:11" ht="13.2">
      <c r="G722" s="13"/>
      <c r="H722" s="13"/>
      <c r="I722" s="15"/>
      <c r="K722" s="15"/>
    </row>
    <row r="723" spans="7:11" ht="13.2">
      <c r="G723" s="13"/>
      <c r="H723" s="13"/>
      <c r="I723" s="15"/>
      <c r="K723" s="15"/>
    </row>
    <row r="724" spans="7:11" ht="13.2">
      <c r="G724" s="13"/>
      <c r="H724" s="13"/>
      <c r="I724" s="15"/>
      <c r="K724" s="15"/>
    </row>
    <row r="725" spans="7:11" ht="13.2">
      <c r="G725" s="13"/>
      <c r="H725" s="13"/>
      <c r="I725" s="15"/>
      <c r="K725" s="15"/>
    </row>
    <row r="726" spans="7:11" ht="13.2">
      <c r="G726" s="13"/>
      <c r="H726" s="13"/>
      <c r="I726" s="15"/>
      <c r="K726" s="15"/>
    </row>
    <row r="727" spans="7:11" ht="13.2">
      <c r="G727" s="13"/>
      <c r="H727" s="13"/>
      <c r="I727" s="15"/>
      <c r="K727" s="15"/>
    </row>
    <row r="728" spans="7:11" ht="13.2">
      <c r="G728" s="13"/>
      <c r="H728" s="13"/>
      <c r="I728" s="15"/>
      <c r="K728" s="15"/>
    </row>
    <row r="729" spans="7:11" ht="13.2">
      <c r="G729" s="13"/>
      <c r="H729" s="13"/>
      <c r="I729" s="15"/>
      <c r="K729" s="15"/>
    </row>
    <row r="730" spans="7:11" ht="13.2">
      <c r="G730" s="13"/>
      <c r="H730" s="13"/>
      <c r="I730" s="15"/>
      <c r="K730" s="15"/>
    </row>
    <row r="731" spans="7:11" ht="13.2">
      <c r="G731" s="13"/>
      <c r="H731" s="13"/>
      <c r="I731" s="15"/>
      <c r="K731" s="15"/>
    </row>
    <row r="732" spans="7:11" ht="13.2">
      <c r="G732" s="13"/>
      <c r="H732" s="13"/>
      <c r="I732" s="15"/>
      <c r="K732" s="15"/>
    </row>
    <row r="733" spans="7:11" ht="13.2">
      <c r="G733" s="13"/>
      <c r="H733" s="13"/>
      <c r="I733" s="15"/>
      <c r="K733" s="15"/>
    </row>
    <row r="734" spans="7:11" ht="13.2">
      <c r="G734" s="13"/>
      <c r="H734" s="13"/>
      <c r="I734" s="15"/>
      <c r="K734" s="15"/>
    </row>
    <row r="735" spans="7:11" ht="13.2">
      <c r="G735" s="13"/>
      <c r="H735" s="13"/>
      <c r="I735" s="15"/>
      <c r="K735" s="15"/>
    </row>
    <row r="736" spans="7:11" ht="13.2">
      <c r="G736" s="13"/>
      <c r="H736" s="13"/>
      <c r="I736" s="15"/>
      <c r="K736" s="15"/>
    </row>
    <row r="737" spans="7:11" ht="13.2">
      <c r="G737" s="13"/>
      <c r="H737" s="13"/>
      <c r="I737" s="15"/>
      <c r="K737" s="15"/>
    </row>
    <row r="738" spans="7:11" ht="13.2">
      <c r="G738" s="13"/>
      <c r="H738" s="13"/>
      <c r="I738" s="15"/>
      <c r="K738" s="15"/>
    </row>
    <row r="739" spans="7:11" ht="13.2">
      <c r="G739" s="13"/>
      <c r="H739" s="13"/>
      <c r="I739" s="15"/>
      <c r="K739" s="15"/>
    </row>
    <row r="740" spans="7:11" ht="13.2">
      <c r="G740" s="13"/>
      <c r="H740" s="13"/>
      <c r="I740" s="15"/>
      <c r="K740" s="15"/>
    </row>
    <row r="741" spans="7:11" ht="13.2">
      <c r="G741" s="13"/>
      <c r="H741" s="13"/>
      <c r="I741" s="15"/>
      <c r="K741" s="15"/>
    </row>
    <row r="742" spans="7:11" ht="13.2">
      <c r="G742" s="13"/>
      <c r="H742" s="13"/>
      <c r="I742" s="15"/>
      <c r="K742" s="15"/>
    </row>
    <row r="743" spans="7:11" ht="13.2">
      <c r="G743" s="13"/>
      <c r="H743" s="13"/>
      <c r="I743" s="15"/>
      <c r="K743" s="15"/>
    </row>
    <row r="744" spans="7:11" ht="13.2">
      <c r="G744" s="13"/>
      <c r="H744" s="13"/>
      <c r="I744" s="15"/>
      <c r="K744" s="15"/>
    </row>
    <row r="745" spans="7:11" ht="13.2">
      <c r="G745" s="13"/>
      <c r="H745" s="13"/>
      <c r="I745" s="15"/>
      <c r="K745" s="15"/>
    </row>
    <row r="746" spans="7:11" ht="13.2">
      <c r="G746" s="13"/>
      <c r="H746" s="13"/>
      <c r="I746" s="15"/>
      <c r="K746" s="15"/>
    </row>
    <row r="747" spans="7:11" ht="13.2">
      <c r="G747" s="13"/>
      <c r="H747" s="13"/>
      <c r="I747" s="15"/>
      <c r="K747" s="15"/>
    </row>
    <row r="748" spans="7:11" ht="13.2">
      <c r="G748" s="13"/>
      <c r="H748" s="13"/>
      <c r="I748" s="15"/>
      <c r="K748" s="15"/>
    </row>
    <row r="749" spans="7:11" ht="13.2">
      <c r="G749" s="13"/>
      <c r="H749" s="13"/>
      <c r="I749" s="15"/>
      <c r="K749" s="15"/>
    </row>
    <row r="750" spans="7:11" ht="13.2">
      <c r="G750" s="13"/>
      <c r="H750" s="13"/>
      <c r="I750" s="15"/>
      <c r="K750" s="15"/>
    </row>
    <row r="751" spans="7:11" ht="13.2">
      <c r="G751" s="13"/>
      <c r="H751" s="13"/>
      <c r="I751" s="15"/>
      <c r="K751" s="15"/>
    </row>
    <row r="752" spans="7:11" ht="13.2">
      <c r="G752" s="13"/>
      <c r="H752" s="13"/>
      <c r="I752" s="15"/>
      <c r="K752" s="15"/>
    </row>
    <row r="753" spans="7:11" ht="13.2">
      <c r="G753" s="13"/>
      <c r="H753" s="13"/>
      <c r="I753" s="15"/>
      <c r="K753" s="15"/>
    </row>
    <row r="754" spans="7:11" ht="13.2">
      <c r="G754" s="13"/>
      <c r="H754" s="13"/>
      <c r="I754" s="15"/>
      <c r="K754" s="15"/>
    </row>
    <row r="755" spans="7:11" ht="13.2">
      <c r="G755" s="13"/>
      <c r="H755" s="13"/>
      <c r="I755" s="15"/>
      <c r="K755" s="15"/>
    </row>
    <row r="756" spans="7:11" ht="13.2">
      <c r="G756" s="13"/>
      <c r="H756" s="13"/>
      <c r="I756" s="15"/>
      <c r="K756" s="15"/>
    </row>
    <row r="757" spans="7:11" ht="13.2">
      <c r="G757" s="13"/>
      <c r="H757" s="13"/>
      <c r="I757" s="15"/>
      <c r="K757" s="15"/>
    </row>
    <row r="758" spans="7:11" ht="13.2">
      <c r="G758" s="13"/>
      <c r="H758" s="13"/>
      <c r="I758" s="15"/>
      <c r="K758" s="15"/>
    </row>
    <row r="759" spans="7:11" ht="13.2">
      <c r="G759" s="13"/>
      <c r="H759" s="13"/>
      <c r="I759" s="15"/>
      <c r="K759" s="15"/>
    </row>
    <row r="760" spans="7:11" ht="13.2">
      <c r="G760" s="13"/>
      <c r="H760" s="13"/>
      <c r="I760" s="15"/>
      <c r="K760" s="15"/>
    </row>
    <row r="761" spans="7:11" ht="13.2">
      <c r="G761" s="13"/>
      <c r="H761" s="13"/>
      <c r="I761" s="15"/>
      <c r="K761" s="15"/>
    </row>
    <row r="762" spans="7:11" ht="13.2">
      <c r="G762" s="13"/>
      <c r="H762" s="13"/>
      <c r="I762" s="15"/>
      <c r="K762" s="15"/>
    </row>
    <row r="763" spans="7:11" ht="13.2">
      <c r="G763" s="13"/>
      <c r="H763" s="13"/>
      <c r="I763" s="15"/>
      <c r="K763" s="15"/>
    </row>
    <row r="764" spans="7:11" ht="13.2">
      <c r="G764" s="13"/>
      <c r="H764" s="13"/>
      <c r="I764" s="15"/>
      <c r="K764" s="15"/>
    </row>
    <row r="765" spans="7:11" ht="13.2">
      <c r="G765" s="13"/>
      <c r="H765" s="13"/>
      <c r="I765" s="15"/>
      <c r="K765" s="15"/>
    </row>
    <row r="766" spans="7:11" ht="13.2">
      <c r="G766" s="13"/>
      <c r="H766" s="13"/>
      <c r="I766" s="15"/>
      <c r="K766" s="15"/>
    </row>
    <row r="767" spans="7:11" ht="13.2">
      <c r="G767" s="13"/>
      <c r="H767" s="13"/>
      <c r="I767" s="15"/>
      <c r="K767" s="15"/>
    </row>
    <row r="768" spans="7:11" ht="13.2">
      <c r="G768" s="13"/>
      <c r="H768" s="13"/>
      <c r="I768" s="15"/>
      <c r="K768" s="15"/>
    </row>
    <row r="769" spans="7:11" ht="13.2">
      <c r="G769" s="13"/>
      <c r="H769" s="13"/>
      <c r="I769" s="15"/>
      <c r="K769" s="15"/>
    </row>
    <row r="770" spans="7:11" ht="13.2">
      <c r="G770" s="13"/>
      <c r="H770" s="13"/>
      <c r="I770" s="15"/>
      <c r="K770" s="15"/>
    </row>
    <row r="771" spans="7:11" ht="13.2">
      <c r="G771" s="13"/>
      <c r="H771" s="13"/>
      <c r="I771" s="15"/>
      <c r="K771" s="15"/>
    </row>
    <row r="772" spans="7:11" ht="13.2">
      <c r="G772" s="13"/>
      <c r="H772" s="13"/>
      <c r="I772" s="15"/>
      <c r="K772" s="15"/>
    </row>
    <row r="773" spans="7:11" ht="13.2">
      <c r="G773" s="13"/>
      <c r="H773" s="13"/>
      <c r="I773" s="15"/>
      <c r="K773" s="15"/>
    </row>
    <row r="774" spans="7:11" ht="13.2">
      <c r="G774" s="13"/>
      <c r="H774" s="13"/>
      <c r="I774" s="15"/>
      <c r="K774" s="15"/>
    </row>
    <row r="775" spans="7:11" ht="13.2">
      <c r="G775" s="13"/>
      <c r="H775" s="13"/>
      <c r="I775" s="15"/>
      <c r="K775" s="15"/>
    </row>
    <row r="776" spans="7:11" ht="13.2">
      <c r="G776" s="13"/>
      <c r="H776" s="13"/>
      <c r="I776" s="15"/>
      <c r="K776" s="15"/>
    </row>
    <row r="777" spans="7:11" ht="13.2">
      <c r="G777" s="13"/>
      <c r="H777" s="13"/>
      <c r="I777" s="15"/>
      <c r="K777" s="15"/>
    </row>
    <row r="778" spans="7:11" ht="13.2">
      <c r="G778" s="13"/>
      <c r="H778" s="13"/>
      <c r="I778" s="15"/>
      <c r="K778" s="15"/>
    </row>
    <row r="779" spans="7:11" ht="13.2">
      <c r="G779" s="13"/>
      <c r="H779" s="13"/>
      <c r="I779" s="15"/>
      <c r="K779" s="15"/>
    </row>
    <row r="780" spans="7:11" ht="13.2">
      <c r="G780" s="13"/>
      <c r="H780" s="13"/>
      <c r="I780" s="15"/>
      <c r="K780" s="15"/>
    </row>
    <row r="781" spans="7:11" ht="13.2">
      <c r="G781" s="13"/>
      <c r="H781" s="13"/>
      <c r="I781" s="15"/>
      <c r="K781" s="15"/>
    </row>
    <row r="782" spans="7:11" ht="13.2">
      <c r="G782" s="13"/>
      <c r="H782" s="13"/>
      <c r="I782" s="15"/>
      <c r="K782" s="15"/>
    </row>
    <row r="783" spans="7:11" ht="13.2">
      <c r="G783" s="13"/>
      <c r="H783" s="13"/>
      <c r="I783" s="15"/>
      <c r="K783" s="15"/>
    </row>
    <row r="784" spans="7:11" ht="13.2">
      <c r="G784" s="13"/>
      <c r="H784" s="13"/>
      <c r="I784" s="15"/>
      <c r="K784" s="15"/>
    </row>
    <row r="785" spans="7:11" ht="13.2">
      <c r="G785" s="13"/>
      <c r="H785" s="13"/>
      <c r="I785" s="15"/>
      <c r="K785" s="15"/>
    </row>
    <row r="786" spans="7:11" ht="13.2">
      <c r="G786" s="13"/>
      <c r="H786" s="13"/>
      <c r="I786" s="15"/>
      <c r="K786" s="15"/>
    </row>
    <row r="787" spans="7:11" ht="13.2">
      <c r="G787" s="13"/>
      <c r="H787" s="13"/>
      <c r="I787" s="15"/>
      <c r="K787" s="15"/>
    </row>
    <row r="788" spans="7:11" ht="13.2">
      <c r="G788" s="13"/>
      <c r="H788" s="13"/>
      <c r="I788" s="15"/>
      <c r="K788" s="15"/>
    </row>
    <row r="789" spans="7:11" ht="13.2">
      <c r="G789" s="13"/>
      <c r="H789" s="13"/>
      <c r="I789" s="15"/>
      <c r="K789" s="15"/>
    </row>
    <row r="790" spans="7:11" ht="13.2">
      <c r="G790" s="13"/>
      <c r="H790" s="13"/>
      <c r="I790" s="15"/>
      <c r="K790" s="15"/>
    </row>
    <row r="791" spans="7:11" ht="13.2">
      <c r="G791" s="13"/>
      <c r="H791" s="13"/>
      <c r="I791" s="15"/>
      <c r="K791" s="15"/>
    </row>
    <row r="792" spans="7:11" ht="13.2">
      <c r="G792" s="13"/>
      <c r="H792" s="13"/>
      <c r="I792" s="15"/>
      <c r="K792" s="15"/>
    </row>
    <row r="793" spans="7:11" ht="13.2">
      <c r="G793" s="13"/>
      <c r="H793" s="13"/>
      <c r="I793" s="15"/>
      <c r="K793" s="15"/>
    </row>
    <row r="794" spans="7:11" ht="13.2">
      <c r="G794" s="13"/>
      <c r="H794" s="13"/>
      <c r="I794" s="15"/>
      <c r="K794" s="15"/>
    </row>
    <row r="795" spans="7:11" ht="13.2">
      <c r="G795" s="13"/>
      <c r="H795" s="13"/>
      <c r="I795" s="15"/>
      <c r="K795" s="15"/>
    </row>
    <row r="796" spans="7:11" ht="13.2">
      <c r="G796" s="13"/>
      <c r="H796" s="13"/>
      <c r="I796" s="15"/>
      <c r="K796" s="15"/>
    </row>
    <row r="797" spans="7:11" ht="13.2">
      <c r="G797" s="13"/>
      <c r="H797" s="13"/>
      <c r="I797" s="15"/>
      <c r="K797" s="15"/>
    </row>
    <row r="798" spans="7:11" ht="13.2">
      <c r="G798" s="13"/>
      <c r="H798" s="13"/>
      <c r="I798" s="15"/>
      <c r="K798" s="15"/>
    </row>
    <row r="799" spans="7:11" ht="13.2">
      <c r="G799" s="13"/>
      <c r="H799" s="13"/>
      <c r="I799" s="15"/>
      <c r="K799" s="15"/>
    </row>
    <row r="800" spans="7:11" ht="13.2">
      <c r="G800" s="13"/>
      <c r="H800" s="13"/>
      <c r="I800" s="15"/>
      <c r="K800" s="15"/>
    </row>
    <row r="801" spans="7:11" ht="13.2">
      <c r="G801" s="13"/>
      <c r="H801" s="13"/>
      <c r="I801" s="15"/>
      <c r="K801" s="15"/>
    </row>
    <row r="802" spans="7:11" ht="13.2">
      <c r="G802" s="13"/>
      <c r="H802" s="13"/>
      <c r="I802" s="15"/>
      <c r="K802" s="15"/>
    </row>
    <row r="803" spans="7:11" ht="13.2">
      <c r="G803" s="13"/>
      <c r="H803" s="13"/>
      <c r="I803" s="15"/>
      <c r="K803" s="15"/>
    </row>
    <row r="804" spans="7:11" ht="13.2">
      <c r="G804" s="13"/>
      <c r="H804" s="13"/>
      <c r="I804" s="15"/>
      <c r="K804" s="15"/>
    </row>
    <row r="805" spans="7:11" ht="13.2">
      <c r="G805" s="13"/>
      <c r="H805" s="13"/>
      <c r="I805" s="15"/>
      <c r="K805" s="15"/>
    </row>
    <row r="806" spans="7:11" ht="13.2">
      <c r="G806" s="13"/>
      <c r="H806" s="13"/>
      <c r="I806" s="15"/>
      <c r="K806" s="15"/>
    </row>
    <row r="807" spans="7:11" ht="13.2">
      <c r="G807" s="13"/>
      <c r="H807" s="13"/>
      <c r="I807" s="15"/>
      <c r="K807" s="15"/>
    </row>
    <row r="808" spans="7:11" ht="13.2">
      <c r="G808" s="13"/>
      <c r="H808" s="13"/>
      <c r="I808" s="15"/>
      <c r="K808" s="15"/>
    </row>
    <row r="809" spans="7:11" ht="13.2">
      <c r="G809" s="13"/>
      <c r="H809" s="13"/>
      <c r="I809" s="15"/>
      <c r="K809" s="15"/>
    </row>
    <row r="810" spans="7:11" ht="13.2">
      <c r="G810" s="13"/>
      <c r="H810" s="13"/>
      <c r="I810" s="15"/>
      <c r="K810" s="15"/>
    </row>
    <row r="811" spans="7:11" ht="13.2">
      <c r="G811" s="13"/>
      <c r="H811" s="13"/>
      <c r="I811" s="15"/>
      <c r="K811" s="15"/>
    </row>
    <row r="812" spans="7:11" ht="13.2">
      <c r="G812" s="13"/>
      <c r="H812" s="13"/>
      <c r="I812" s="15"/>
      <c r="K812" s="15"/>
    </row>
    <row r="813" spans="7:11" ht="13.2">
      <c r="G813" s="13"/>
      <c r="H813" s="13"/>
      <c r="I813" s="15"/>
      <c r="K813" s="15"/>
    </row>
    <row r="814" spans="7:11" ht="13.2">
      <c r="G814" s="13"/>
      <c r="H814" s="13"/>
      <c r="I814" s="15"/>
      <c r="K814" s="15"/>
    </row>
    <row r="815" spans="7:11" ht="13.2">
      <c r="G815" s="13"/>
      <c r="H815" s="13"/>
      <c r="I815" s="15"/>
      <c r="K815" s="15"/>
    </row>
    <row r="816" spans="7:11" ht="13.2">
      <c r="G816" s="13"/>
      <c r="H816" s="13"/>
      <c r="I816" s="15"/>
      <c r="K816" s="15"/>
    </row>
    <row r="817" spans="7:11" ht="13.2">
      <c r="G817" s="13"/>
      <c r="H817" s="13"/>
      <c r="I817" s="15"/>
      <c r="K817" s="15"/>
    </row>
    <row r="818" spans="7:11" ht="13.2">
      <c r="G818" s="13"/>
      <c r="H818" s="13"/>
      <c r="I818" s="15"/>
      <c r="K818" s="15"/>
    </row>
    <row r="819" spans="7:11" ht="13.2">
      <c r="G819" s="13"/>
      <c r="H819" s="13"/>
      <c r="I819" s="15"/>
      <c r="K819" s="15"/>
    </row>
    <row r="820" spans="7:11" ht="13.2">
      <c r="G820" s="13"/>
      <c r="H820" s="13"/>
      <c r="I820" s="15"/>
      <c r="K820" s="15"/>
    </row>
    <row r="821" spans="7:11" ht="13.2">
      <c r="G821" s="13"/>
      <c r="H821" s="13"/>
      <c r="I821" s="15"/>
      <c r="K821" s="15"/>
    </row>
    <row r="822" spans="7:11" ht="13.2">
      <c r="G822" s="13"/>
      <c r="H822" s="13"/>
      <c r="I822" s="15"/>
      <c r="K822" s="15"/>
    </row>
    <row r="823" spans="7:11" ht="13.2">
      <c r="G823" s="13"/>
      <c r="H823" s="13"/>
      <c r="I823" s="15"/>
      <c r="K823" s="15"/>
    </row>
    <row r="824" spans="7:11" ht="13.2">
      <c r="G824" s="13"/>
      <c r="H824" s="13"/>
      <c r="I824" s="15"/>
      <c r="K824" s="15"/>
    </row>
    <row r="825" spans="7:11" ht="13.2">
      <c r="G825" s="13"/>
      <c r="H825" s="13"/>
      <c r="I825" s="15"/>
      <c r="K825" s="15"/>
    </row>
    <row r="826" spans="7:11" ht="13.2">
      <c r="G826" s="13"/>
      <c r="H826" s="13"/>
      <c r="I826" s="15"/>
      <c r="K826" s="15"/>
    </row>
    <row r="827" spans="7:11" ht="13.2">
      <c r="G827" s="13"/>
      <c r="H827" s="13"/>
      <c r="I827" s="15"/>
      <c r="K827" s="15"/>
    </row>
    <row r="828" spans="7:11" ht="13.2">
      <c r="G828" s="13"/>
      <c r="H828" s="13"/>
      <c r="I828" s="15"/>
      <c r="K828" s="15"/>
    </row>
    <row r="829" spans="7:11" ht="13.2">
      <c r="G829" s="13"/>
      <c r="H829" s="13"/>
      <c r="I829" s="15"/>
      <c r="K829" s="15"/>
    </row>
    <row r="830" spans="7:11" ht="13.2">
      <c r="G830" s="13"/>
      <c r="H830" s="13"/>
      <c r="I830" s="15"/>
      <c r="K830" s="15"/>
    </row>
    <row r="831" spans="7:11" ht="13.2">
      <c r="G831" s="13"/>
      <c r="H831" s="13"/>
      <c r="I831" s="15"/>
      <c r="K831" s="15"/>
    </row>
    <row r="832" spans="7:11" ht="13.2">
      <c r="G832" s="13"/>
      <c r="H832" s="13"/>
      <c r="I832" s="15"/>
      <c r="K832" s="15"/>
    </row>
    <row r="833" spans="7:11" ht="13.2">
      <c r="G833" s="13"/>
      <c r="H833" s="13"/>
      <c r="I833" s="15"/>
      <c r="K833" s="15"/>
    </row>
    <row r="834" spans="7:11" ht="13.2">
      <c r="G834" s="13"/>
      <c r="H834" s="13"/>
      <c r="I834" s="15"/>
      <c r="K834" s="15"/>
    </row>
    <row r="835" spans="7:11" ht="13.2">
      <c r="G835" s="13"/>
      <c r="H835" s="13"/>
      <c r="I835" s="15"/>
      <c r="K835" s="15"/>
    </row>
    <row r="836" spans="7:11" ht="13.2">
      <c r="G836" s="13"/>
      <c r="H836" s="13"/>
      <c r="I836" s="15"/>
      <c r="K836" s="15"/>
    </row>
    <row r="837" spans="7:11" ht="13.2">
      <c r="G837" s="13"/>
      <c r="H837" s="13"/>
      <c r="I837" s="15"/>
      <c r="K837" s="15"/>
    </row>
    <row r="838" spans="7:11" ht="13.2">
      <c r="G838" s="13"/>
      <c r="H838" s="13"/>
      <c r="I838" s="15"/>
      <c r="K838" s="15"/>
    </row>
    <row r="839" spans="7:11" ht="13.2">
      <c r="G839" s="13"/>
      <c r="H839" s="13"/>
      <c r="I839" s="15"/>
      <c r="K839" s="15"/>
    </row>
    <row r="840" spans="7:11" ht="13.2">
      <c r="G840" s="13"/>
      <c r="H840" s="13"/>
      <c r="I840" s="15"/>
      <c r="K840" s="15"/>
    </row>
    <row r="841" spans="7:11" ht="13.2">
      <c r="G841" s="13"/>
      <c r="H841" s="13"/>
      <c r="I841" s="15"/>
      <c r="K841" s="15"/>
    </row>
    <row r="842" spans="7:11" ht="13.2">
      <c r="G842" s="13"/>
      <c r="H842" s="13"/>
      <c r="I842" s="15"/>
      <c r="K842" s="15"/>
    </row>
    <row r="843" spans="7:11" ht="13.2">
      <c r="G843" s="13"/>
      <c r="H843" s="13"/>
      <c r="I843" s="15"/>
      <c r="K843" s="15"/>
    </row>
    <row r="844" spans="7:11" ht="13.2">
      <c r="G844" s="13"/>
      <c r="H844" s="13"/>
      <c r="I844" s="15"/>
      <c r="K844" s="15"/>
    </row>
    <row r="845" spans="7:11" ht="13.2">
      <c r="G845" s="13"/>
      <c r="H845" s="13"/>
      <c r="I845" s="15"/>
      <c r="K845" s="15"/>
    </row>
    <row r="846" spans="7:11" ht="13.2">
      <c r="G846" s="13"/>
      <c r="H846" s="13"/>
      <c r="I846" s="15"/>
      <c r="K846" s="15"/>
    </row>
    <row r="847" spans="7:11" ht="13.2">
      <c r="G847" s="13"/>
      <c r="H847" s="13"/>
      <c r="I847" s="15"/>
      <c r="K847" s="15"/>
    </row>
    <row r="848" spans="7:11" ht="13.2">
      <c r="G848" s="13"/>
      <c r="H848" s="13"/>
      <c r="I848" s="15"/>
      <c r="K848" s="15"/>
    </row>
    <row r="849" spans="7:11" ht="13.2">
      <c r="G849" s="13"/>
      <c r="H849" s="13"/>
      <c r="I849" s="15"/>
      <c r="K849" s="15"/>
    </row>
    <row r="850" spans="7:11" ht="13.2">
      <c r="G850" s="13"/>
      <c r="H850" s="13"/>
      <c r="I850" s="15"/>
      <c r="K850" s="15"/>
    </row>
    <row r="851" spans="7:11" ht="13.2">
      <c r="G851" s="13"/>
      <c r="H851" s="13"/>
      <c r="I851" s="15"/>
      <c r="K851" s="15"/>
    </row>
    <row r="852" spans="7:11" ht="13.2">
      <c r="G852" s="13"/>
      <c r="H852" s="13"/>
      <c r="I852" s="15"/>
      <c r="K852" s="15"/>
    </row>
    <row r="853" spans="7:11" ht="13.2">
      <c r="G853" s="13"/>
      <c r="H853" s="13"/>
      <c r="I853" s="15"/>
      <c r="K853" s="15"/>
    </row>
    <row r="854" spans="7:11" ht="13.2">
      <c r="G854" s="13"/>
      <c r="H854" s="13"/>
      <c r="I854" s="15"/>
      <c r="K854" s="15"/>
    </row>
    <row r="855" spans="7:11" ht="13.2">
      <c r="G855" s="13"/>
      <c r="H855" s="13"/>
      <c r="I855" s="15"/>
      <c r="K855" s="15"/>
    </row>
    <row r="856" spans="7:11" ht="13.2">
      <c r="G856" s="13"/>
      <c r="H856" s="13"/>
      <c r="I856" s="15"/>
      <c r="K856" s="15"/>
    </row>
    <row r="857" spans="7:11" ht="13.2">
      <c r="G857" s="13"/>
      <c r="H857" s="13"/>
      <c r="I857" s="15"/>
      <c r="K857" s="15"/>
    </row>
    <row r="858" spans="7:11" ht="13.2">
      <c r="G858" s="13"/>
      <c r="H858" s="13"/>
      <c r="I858" s="15"/>
      <c r="K858" s="15"/>
    </row>
    <row r="859" spans="7:11" ht="13.2">
      <c r="G859" s="13"/>
      <c r="H859" s="13"/>
      <c r="I859" s="15"/>
      <c r="K859" s="15"/>
    </row>
    <row r="860" spans="7:11" ht="13.2">
      <c r="G860" s="13"/>
      <c r="H860" s="13"/>
      <c r="I860" s="15"/>
      <c r="K860" s="15"/>
    </row>
    <row r="861" spans="7:11" ht="13.2">
      <c r="G861" s="13"/>
      <c r="H861" s="13"/>
      <c r="I861" s="15"/>
      <c r="K861" s="15"/>
    </row>
    <row r="862" spans="7:11" ht="13.2">
      <c r="G862" s="13"/>
      <c r="H862" s="13"/>
      <c r="I862" s="15"/>
      <c r="K862" s="15"/>
    </row>
    <row r="863" spans="7:11" ht="13.2">
      <c r="G863" s="13"/>
      <c r="H863" s="13"/>
      <c r="I863" s="15"/>
      <c r="K863" s="15"/>
    </row>
    <row r="864" spans="7:11" ht="13.2">
      <c r="G864" s="13"/>
      <c r="H864" s="13"/>
      <c r="I864" s="15"/>
      <c r="K864" s="15"/>
    </row>
    <row r="865" spans="7:11" ht="13.2">
      <c r="G865" s="13"/>
      <c r="H865" s="13"/>
      <c r="I865" s="15"/>
      <c r="K865" s="15"/>
    </row>
    <row r="866" spans="7:11" ht="13.2">
      <c r="G866" s="13"/>
      <c r="H866" s="13"/>
      <c r="I866" s="15"/>
      <c r="K866" s="15"/>
    </row>
    <row r="867" spans="7:11" ht="13.2">
      <c r="G867" s="13"/>
      <c r="H867" s="13"/>
      <c r="I867" s="15"/>
      <c r="K867" s="15"/>
    </row>
    <row r="868" spans="7:11" ht="13.2">
      <c r="G868" s="13"/>
      <c r="H868" s="13"/>
      <c r="I868" s="15"/>
      <c r="K868" s="15"/>
    </row>
    <row r="869" spans="7:11" ht="13.2">
      <c r="G869" s="13"/>
      <c r="H869" s="13"/>
      <c r="I869" s="15"/>
      <c r="K869" s="15"/>
    </row>
    <row r="870" spans="7:11" ht="13.2">
      <c r="G870" s="13"/>
      <c r="H870" s="13"/>
      <c r="I870" s="15"/>
      <c r="K870" s="15"/>
    </row>
    <row r="871" spans="7:11" ht="13.2">
      <c r="G871" s="13"/>
      <c r="H871" s="13"/>
      <c r="I871" s="15"/>
      <c r="K871" s="15"/>
    </row>
    <row r="872" spans="7:11" ht="13.2">
      <c r="G872" s="13"/>
      <c r="H872" s="13"/>
      <c r="I872" s="15"/>
      <c r="K872" s="15"/>
    </row>
    <row r="873" spans="7:11" ht="13.2">
      <c r="G873" s="13"/>
      <c r="H873" s="13"/>
      <c r="I873" s="15"/>
      <c r="K873" s="15"/>
    </row>
    <row r="874" spans="7:11" ht="13.2">
      <c r="G874" s="13"/>
      <c r="H874" s="13"/>
      <c r="I874" s="15"/>
      <c r="K874" s="15"/>
    </row>
    <row r="875" spans="7:11" ht="13.2">
      <c r="G875" s="13"/>
      <c r="H875" s="13"/>
      <c r="I875" s="15"/>
      <c r="K875" s="15"/>
    </row>
    <row r="876" spans="7:11" ht="13.2">
      <c r="G876" s="13"/>
      <c r="H876" s="13"/>
      <c r="I876" s="15"/>
      <c r="K876" s="15"/>
    </row>
    <row r="877" spans="7:11" ht="13.2">
      <c r="G877" s="13"/>
      <c r="H877" s="13"/>
      <c r="I877" s="15"/>
      <c r="K877" s="15"/>
    </row>
    <row r="878" spans="7:11" ht="13.2">
      <c r="G878" s="13"/>
      <c r="H878" s="13"/>
      <c r="I878" s="15"/>
      <c r="K878" s="15"/>
    </row>
    <row r="879" spans="7:11" ht="13.2">
      <c r="G879" s="13"/>
      <c r="H879" s="13"/>
      <c r="I879" s="15"/>
      <c r="K879" s="15"/>
    </row>
    <row r="880" spans="7:11" ht="13.2">
      <c r="G880" s="13"/>
      <c r="H880" s="13"/>
      <c r="I880" s="15"/>
      <c r="K880" s="15"/>
    </row>
    <row r="881" spans="7:11" ht="13.2">
      <c r="G881" s="13"/>
      <c r="H881" s="13"/>
      <c r="I881" s="15"/>
      <c r="K881" s="15"/>
    </row>
    <row r="882" spans="7:11" ht="13.2">
      <c r="G882" s="13"/>
      <c r="H882" s="13"/>
      <c r="I882" s="15"/>
      <c r="K882" s="15"/>
    </row>
    <row r="883" spans="7:11" ht="13.2">
      <c r="G883" s="13"/>
      <c r="H883" s="13"/>
      <c r="I883" s="15"/>
      <c r="K883" s="15"/>
    </row>
    <row r="884" spans="7:11" ht="13.2">
      <c r="G884" s="13"/>
      <c r="H884" s="13"/>
      <c r="I884" s="15"/>
      <c r="K884" s="15"/>
    </row>
    <row r="885" spans="7:11" ht="13.2">
      <c r="G885" s="13"/>
      <c r="H885" s="13"/>
      <c r="I885" s="15"/>
      <c r="K885" s="15"/>
    </row>
    <row r="886" spans="7:11" ht="13.2">
      <c r="G886" s="13"/>
      <c r="H886" s="13"/>
      <c r="I886" s="15"/>
      <c r="K886" s="15"/>
    </row>
    <row r="887" spans="7:11" ht="13.2">
      <c r="G887" s="13"/>
      <c r="H887" s="13"/>
      <c r="I887" s="15"/>
      <c r="K887" s="15"/>
    </row>
    <row r="888" spans="7:11" ht="13.2">
      <c r="G888" s="13"/>
      <c r="H888" s="13"/>
      <c r="I888" s="15"/>
      <c r="K888" s="15"/>
    </row>
    <row r="889" spans="7:11" ht="13.2">
      <c r="G889" s="13"/>
      <c r="H889" s="13"/>
      <c r="I889" s="15"/>
      <c r="K889" s="15"/>
    </row>
    <row r="890" spans="7:11" ht="13.2">
      <c r="G890" s="13"/>
      <c r="H890" s="13"/>
      <c r="I890" s="15"/>
      <c r="K890" s="15"/>
    </row>
    <row r="891" spans="7:11" ht="13.2">
      <c r="G891" s="13"/>
      <c r="H891" s="13"/>
      <c r="I891" s="15"/>
      <c r="K891" s="15"/>
    </row>
    <row r="892" spans="7:11" ht="13.2">
      <c r="G892" s="13"/>
      <c r="H892" s="13"/>
      <c r="I892" s="15"/>
      <c r="K892" s="15"/>
    </row>
    <row r="893" spans="7:11" ht="13.2">
      <c r="G893" s="13"/>
      <c r="H893" s="13"/>
      <c r="I893" s="15"/>
      <c r="K893" s="15"/>
    </row>
    <row r="894" spans="7:11" ht="13.2">
      <c r="G894" s="13"/>
      <c r="H894" s="13"/>
      <c r="I894" s="15"/>
      <c r="K894" s="15"/>
    </row>
    <row r="895" spans="7:11" ht="13.2">
      <c r="G895" s="13"/>
      <c r="H895" s="13"/>
      <c r="I895" s="15"/>
      <c r="K895" s="15"/>
    </row>
    <row r="896" spans="7:11" ht="13.2">
      <c r="G896" s="13"/>
      <c r="H896" s="13"/>
      <c r="I896" s="15"/>
      <c r="K896" s="15"/>
    </row>
    <row r="897" spans="7:11" ht="13.2">
      <c r="G897" s="13"/>
      <c r="H897" s="13"/>
      <c r="I897" s="15"/>
      <c r="K897" s="15"/>
    </row>
    <row r="898" spans="7:11" ht="13.2">
      <c r="G898" s="13"/>
      <c r="H898" s="13"/>
      <c r="I898" s="15"/>
      <c r="K898" s="15"/>
    </row>
    <row r="899" spans="7:11" ht="13.2">
      <c r="G899" s="13"/>
      <c r="H899" s="13"/>
      <c r="I899" s="15"/>
      <c r="K899" s="15"/>
    </row>
    <row r="900" spans="7:11" ht="13.2">
      <c r="G900" s="13"/>
      <c r="H900" s="13"/>
      <c r="I900" s="15"/>
      <c r="K900" s="15"/>
    </row>
    <row r="901" spans="7:11" ht="13.2">
      <c r="G901" s="13"/>
      <c r="H901" s="13"/>
      <c r="I901" s="15"/>
      <c r="K901" s="15"/>
    </row>
    <row r="902" spans="7:11" ht="13.2">
      <c r="G902" s="13"/>
      <c r="H902" s="13"/>
      <c r="I902" s="15"/>
      <c r="K902" s="15"/>
    </row>
    <row r="903" spans="7:11" ht="13.2">
      <c r="G903" s="13"/>
      <c r="H903" s="13"/>
      <c r="I903" s="15"/>
      <c r="K903" s="15"/>
    </row>
    <row r="904" spans="7:11" ht="13.2">
      <c r="G904" s="13"/>
      <c r="H904" s="13"/>
      <c r="I904" s="15"/>
      <c r="K904" s="15"/>
    </row>
    <row r="905" spans="7:11" ht="13.2">
      <c r="G905" s="13"/>
      <c r="H905" s="13"/>
      <c r="I905" s="15"/>
      <c r="K905" s="15"/>
    </row>
    <row r="906" spans="7:11" ht="13.2">
      <c r="G906" s="13"/>
      <c r="H906" s="13"/>
      <c r="I906" s="15"/>
      <c r="K906" s="15"/>
    </row>
    <row r="907" spans="7:11" ht="13.2">
      <c r="G907" s="13"/>
      <c r="H907" s="13"/>
      <c r="I907" s="15"/>
      <c r="K907" s="15"/>
    </row>
    <row r="908" spans="7:11" ht="13.2">
      <c r="G908" s="13"/>
      <c r="H908" s="13"/>
      <c r="I908" s="15"/>
      <c r="K908" s="15"/>
    </row>
    <row r="909" spans="7:11" ht="13.2">
      <c r="G909" s="13"/>
      <c r="H909" s="13"/>
      <c r="I909" s="15"/>
      <c r="K909" s="15"/>
    </row>
    <row r="910" spans="7:11" ht="13.2">
      <c r="G910" s="13"/>
      <c r="H910" s="13"/>
      <c r="I910" s="15"/>
      <c r="K910" s="15"/>
    </row>
    <row r="911" spans="7:11" ht="13.2">
      <c r="G911" s="13"/>
      <c r="H911" s="13"/>
      <c r="I911" s="15"/>
      <c r="K911" s="15"/>
    </row>
    <row r="912" spans="7:11" ht="13.2">
      <c r="G912" s="13"/>
      <c r="H912" s="13"/>
      <c r="I912" s="15"/>
      <c r="K912" s="15"/>
    </row>
    <row r="913" spans="7:11" ht="13.2">
      <c r="G913" s="13"/>
      <c r="H913" s="13"/>
      <c r="I913" s="15"/>
      <c r="K913" s="15"/>
    </row>
    <row r="914" spans="7:11" ht="13.2">
      <c r="G914" s="13"/>
      <c r="H914" s="13"/>
      <c r="I914" s="15"/>
      <c r="K914" s="15"/>
    </row>
    <row r="915" spans="7:11" ht="13.2">
      <c r="G915" s="13"/>
      <c r="H915" s="13"/>
      <c r="I915" s="15"/>
      <c r="K915" s="15"/>
    </row>
    <row r="916" spans="7:11" ht="13.2">
      <c r="G916" s="13"/>
      <c r="H916" s="13"/>
      <c r="I916" s="15"/>
      <c r="K916" s="15"/>
    </row>
    <row r="917" spans="7:11" ht="13.2">
      <c r="G917" s="13"/>
      <c r="H917" s="13"/>
      <c r="I917" s="15"/>
      <c r="K917" s="15"/>
    </row>
    <row r="918" spans="7:11" ht="13.2">
      <c r="G918" s="13"/>
      <c r="H918" s="13"/>
      <c r="I918" s="15"/>
      <c r="K918" s="15"/>
    </row>
    <row r="919" spans="7:11" ht="13.2">
      <c r="G919" s="13"/>
      <c r="H919" s="13"/>
      <c r="I919" s="15"/>
      <c r="K919" s="15"/>
    </row>
    <row r="920" spans="7:11" ht="13.2">
      <c r="G920" s="13"/>
      <c r="H920" s="13"/>
      <c r="I920" s="15"/>
      <c r="K920" s="15"/>
    </row>
    <row r="921" spans="7:11" ht="13.2">
      <c r="G921" s="13"/>
      <c r="H921" s="13"/>
      <c r="I921" s="15"/>
      <c r="K921" s="15"/>
    </row>
    <row r="922" spans="7:11" ht="13.2">
      <c r="G922" s="13"/>
      <c r="H922" s="13"/>
      <c r="I922" s="15"/>
      <c r="K922" s="15"/>
    </row>
    <row r="923" spans="7:11" ht="13.2">
      <c r="G923" s="13"/>
      <c r="H923" s="13"/>
      <c r="I923" s="15"/>
      <c r="K923" s="15"/>
    </row>
    <row r="924" spans="7:11" ht="13.2">
      <c r="G924" s="13"/>
      <c r="H924" s="13"/>
      <c r="I924" s="15"/>
      <c r="K924" s="15"/>
    </row>
    <row r="925" spans="7:11" ht="13.2">
      <c r="G925" s="13"/>
      <c r="H925" s="13"/>
      <c r="I925" s="15"/>
      <c r="K925" s="15"/>
    </row>
    <row r="926" spans="7:11" ht="13.2">
      <c r="G926" s="13"/>
      <c r="H926" s="13"/>
      <c r="I926" s="15"/>
      <c r="K926" s="15"/>
    </row>
    <row r="927" spans="7:11" ht="13.2">
      <c r="G927" s="13"/>
      <c r="H927" s="13"/>
      <c r="I927" s="15"/>
      <c r="K927" s="15"/>
    </row>
    <row r="928" spans="7:11" ht="13.2">
      <c r="G928" s="13"/>
      <c r="H928" s="13"/>
      <c r="I928" s="15"/>
      <c r="K928" s="15"/>
    </row>
    <row r="929" spans="7:11" ht="13.2">
      <c r="G929" s="13"/>
      <c r="H929" s="13"/>
      <c r="I929" s="15"/>
      <c r="K929" s="15"/>
    </row>
    <row r="930" spans="7:11" ht="13.2">
      <c r="G930" s="13"/>
      <c r="H930" s="13"/>
      <c r="I930" s="15"/>
      <c r="K930" s="15"/>
    </row>
    <row r="931" spans="7:11" ht="13.2">
      <c r="G931" s="13"/>
      <c r="H931" s="13"/>
      <c r="I931" s="15"/>
      <c r="K931" s="15"/>
    </row>
    <row r="932" spans="7:11" ht="13.2">
      <c r="G932" s="13"/>
      <c r="H932" s="13"/>
      <c r="I932" s="15"/>
      <c r="K932" s="15"/>
    </row>
    <row r="933" spans="7:11" ht="13.2">
      <c r="G933" s="13"/>
      <c r="H933" s="13"/>
      <c r="I933" s="15"/>
      <c r="K933" s="15"/>
    </row>
    <row r="934" spans="7:11" ht="13.2">
      <c r="G934" s="13"/>
      <c r="H934" s="13"/>
      <c r="I934" s="15"/>
      <c r="K934" s="15"/>
    </row>
    <row r="935" spans="7:11" ht="13.2">
      <c r="G935" s="13"/>
      <c r="H935" s="13"/>
      <c r="I935" s="15"/>
      <c r="K935" s="15"/>
    </row>
    <row r="936" spans="7:11" ht="13.2">
      <c r="G936" s="13"/>
      <c r="H936" s="13"/>
      <c r="I936" s="15"/>
      <c r="K936" s="15"/>
    </row>
    <row r="937" spans="7:11" ht="13.2">
      <c r="G937" s="13"/>
      <c r="H937" s="13"/>
      <c r="I937" s="15"/>
      <c r="K937" s="15"/>
    </row>
    <row r="938" spans="7:11" ht="13.2">
      <c r="G938" s="13"/>
      <c r="H938" s="13"/>
      <c r="I938" s="15"/>
      <c r="K938" s="15"/>
    </row>
    <row r="939" spans="7:11" ht="13.2">
      <c r="G939" s="13"/>
      <c r="H939" s="13"/>
      <c r="I939" s="15"/>
      <c r="K939" s="15"/>
    </row>
    <row r="940" spans="7:11" ht="13.2">
      <c r="G940" s="13"/>
      <c r="H940" s="13"/>
      <c r="I940" s="15"/>
      <c r="K940" s="15"/>
    </row>
    <row r="941" spans="7:11" ht="13.2">
      <c r="G941" s="13"/>
      <c r="H941" s="13"/>
      <c r="I941" s="15"/>
      <c r="K941" s="15"/>
    </row>
    <row r="942" spans="7:11" ht="13.2">
      <c r="G942" s="13"/>
      <c r="H942" s="13"/>
      <c r="I942" s="15"/>
      <c r="K942" s="15"/>
    </row>
    <row r="943" spans="7:11" ht="13.2">
      <c r="G943" s="13"/>
      <c r="H943" s="13"/>
      <c r="I943" s="15"/>
      <c r="K943" s="15"/>
    </row>
    <row r="944" spans="7:11" ht="13.2">
      <c r="G944" s="13"/>
      <c r="H944" s="13"/>
      <c r="I944" s="15"/>
      <c r="K944" s="15"/>
    </row>
    <row r="945" spans="7:11" ht="13.2">
      <c r="G945" s="13"/>
      <c r="H945" s="13"/>
      <c r="I945" s="15"/>
      <c r="K945" s="15"/>
    </row>
    <row r="946" spans="7:11" ht="13.2">
      <c r="G946" s="13"/>
      <c r="H946" s="13"/>
      <c r="I946" s="15"/>
      <c r="K946" s="15"/>
    </row>
    <row r="947" spans="7:11" ht="13.2">
      <c r="G947" s="13"/>
      <c r="H947" s="13"/>
      <c r="I947" s="15"/>
      <c r="K947" s="15"/>
    </row>
    <row r="948" spans="7:11" ht="13.2">
      <c r="G948" s="13"/>
      <c r="H948" s="13"/>
      <c r="I948" s="15"/>
      <c r="K948" s="15"/>
    </row>
    <row r="949" spans="7:11" ht="13.2">
      <c r="G949" s="13"/>
      <c r="H949" s="13"/>
      <c r="I949" s="15"/>
      <c r="K949" s="15"/>
    </row>
    <row r="950" spans="7:11" ht="13.2">
      <c r="G950" s="13"/>
      <c r="H950" s="13"/>
      <c r="I950" s="15"/>
      <c r="K950" s="15"/>
    </row>
    <row r="951" spans="7:11" ht="13.2">
      <c r="G951" s="13"/>
      <c r="H951" s="13"/>
      <c r="I951" s="15"/>
      <c r="K951" s="15"/>
    </row>
    <row r="952" spans="7:11" ht="13.2">
      <c r="G952" s="13"/>
      <c r="H952" s="13"/>
      <c r="I952" s="15"/>
      <c r="K952" s="15"/>
    </row>
    <row r="953" spans="7:11" ht="13.2">
      <c r="G953" s="13"/>
      <c r="H953" s="13"/>
      <c r="I953" s="15"/>
      <c r="K953" s="15"/>
    </row>
    <row r="954" spans="7:11" ht="13.2">
      <c r="G954" s="13"/>
      <c r="H954" s="13"/>
      <c r="I954" s="15"/>
      <c r="K954" s="15"/>
    </row>
    <row r="955" spans="7:11" ht="13.2">
      <c r="G955" s="13"/>
      <c r="H955" s="13"/>
      <c r="I955" s="15"/>
      <c r="K955" s="15"/>
    </row>
    <row r="956" spans="7:11" ht="13.2">
      <c r="G956" s="13"/>
      <c r="H956" s="13"/>
      <c r="I956" s="15"/>
      <c r="K956" s="15"/>
    </row>
    <row r="957" spans="7:11" ht="13.2">
      <c r="G957" s="13"/>
      <c r="H957" s="13"/>
      <c r="I957" s="15"/>
      <c r="K957" s="15"/>
    </row>
    <row r="958" spans="7:11" ht="13.2">
      <c r="G958" s="13"/>
      <c r="H958" s="13"/>
      <c r="I958" s="15"/>
      <c r="K958" s="15"/>
    </row>
    <row r="959" spans="7:11" ht="13.2">
      <c r="G959" s="13"/>
      <c r="H959" s="13"/>
      <c r="I959" s="15"/>
      <c r="K959" s="15"/>
    </row>
    <row r="960" spans="7:11" ht="13.2">
      <c r="G960" s="13"/>
      <c r="H960" s="13"/>
      <c r="I960" s="15"/>
      <c r="K960" s="15"/>
    </row>
    <row r="961" spans="7:11" ht="13.2">
      <c r="G961" s="13"/>
      <c r="H961" s="13"/>
      <c r="I961" s="15"/>
      <c r="K961" s="15"/>
    </row>
    <row r="962" spans="7:11" ht="13.2">
      <c r="G962" s="13"/>
      <c r="H962" s="13"/>
      <c r="I962" s="15"/>
      <c r="K962" s="15"/>
    </row>
    <row r="963" spans="7:11" ht="13.2">
      <c r="G963" s="13"/>
      <c r="H963" s="13"/>
      <c r="I963" s="15"/>
      <c r="K963" s="15"/>
    </row>
    <row r="964" spans="7:11" ht="13.2">
      <c r="G964" s="13"/>
      <c r="H964" s="13"/>
      <c r="I964" s="15"/>
      <c r="K964" s="15"/>
    </row>
    <row r="965" spans="7:11" ht="13.2">
      <c r="G965" s="13"/>
      <c r="H965" s="13"/>
      <c r="I965" s="15"/>
      <c r="K965" s="15"/>
    </row>
    <row r="966" spans="7:11" ht="13.2">
      <c r="G966" s="13"/>
      <c r="H966" s="13"/>
      <c r="I966" s="15"/>
      <c r="K966" s="15"/>
    </row>
    <row r="967" spans="7:11" ht="13.2">
      <c r="G967" s="13"/>
      <c r="H967" s="13"/>
      <c r="I967" s="15"/>
      <c r="K967" s="15"/>
    </row>
    <row r="968" spans="7:11" ht="13.2">
      <c r="G968" s="13"/>
      <c r="H968" s="13"/>
      <c r="I968" s="15"/>
      <c r="K968" s="15"/>
    </row>
    <row r="969" spans="7:11" ht="13.2">
      <c r="G969" s="13"/>
      <c r="H969" s="13"/>
      <c r="I969" s="15"/>
      <c r="K969" s="15"/>
    </row>
    <row r="970" spans="7:11" ht="13.2">
      <c r="G970" s="13"/>
      <c r="H970" s="13"/>
      <c r="I970" s="15"/>
      <c r="K970" s="15"/>
    </row>
    <row r="971" spans="7:11" ht="13.2">
      <c r="G971" s="13"/>
      <c r="H971" s="13"/>
      <c r="I971" s="15"/>
      <c r="K971" s="15"/>
    </row>
    <row r="972" spans="7:11" ht="13.2">
      <c r="G972" s="13"/>
      <c r="H972" s="13"/>
      <c r="I972" s="15"/>
      <c r="K972" s="15"/>
    </row>
    <row r="973" spans="7:11" ht="13.2">
      <c r="G973" s="13"/>
      <c r="H973" s="13"/>
      <c r="I973" s="15"/>
      <c r="K973" s="15"/>
    </row>
    <row r="974" spans="7:11" ht="13.2">
      <c r="G974" s="13"/>
      <c r="H974" s="13"/>
      <c r="I974" s="15"/>
      <c r="K974" s="15"/>
    </row>
    <row r="975" spans="7:11" ht="13.2">
      <c r="G975" s="13"/>
      <c r="H975" s="13"/>
      <c r="I975" s="15"/>
      <c r="K975" s="15"/>
    </row>
    <row r="976" spans="7:11" ht="13.2">
      <c r="G976" s="13"/>
      <c r="H976" s="13"/>
      <c r="I976" s="15"/>
      <c r="K976" s="15"/>
    </row>
    <row r="977" spans="7:11" ht="13.2">
      <c r="G977" s="13"/>
      <c r="H977" s="13"/>
      <c r="I977" s="15"/>
      <c r="K977" s="15"/>
    </row>
    <row r="978" spans="7:11" ht="13.2">
      <c r="G978" s="13"/>
      <c r="H978" s="13"/>
      <c r="I978" s="15"/>
      <c r="K978" s="15"/>
    </row>
    <row r="979" spans="7:11" ht="13.2">
      <c r="G979" s="13"/>
      <c r="H979" s="13"/>
      <c r="I979" s="15"/>
      <c r="K979" s="15"/>
    </row>
    <row r="980" spans="7:11" ht="13.2">
      <c r="G980" s="13"/>
      <c r="H980" s="13"/>
      <c r="I980" s="15"/>
      <c r="K980" s="15"/>
    </row>
    <row r="981" spans="7:11" ht="13.2">
      <c r="G981" s="13"/>
      <c r="H981" s="13"/>
      <c r="I981" s="15"/>
      <c r="K981" s="15"/>
    </row>
    <row r="982" spans="7:11" ht="13.2">
      <c r="G982" s="13"/>
      <c r="H982" s="13"/>
      <c r="I982" s="15"/>
      <c r="K982" s="15"/>
    </row>
    <row r="983" spans="7:11" ht="13.2">
      <c r="G983" s="13"/>
      <c r="H983" s="13"/>
      <c r="I983" s="15"/>
      <c r="K983" s="15"/>
    </row>
    <row r="984" spans="7:11" ht="13.2">
      <c r="G984" s="13"/>
      <c r="H984" s="13"/>
      <c r="I984" s="15"/>
      <c r="K984" s="15"/>
    </row>
    <row r="985" spans="7:11" ht="13.2">
      <c r="G985" s="13"/>
      <c r="H985" s="13"/>
      <c r="I985" s="15"/>
      <c r="K985" s="15"/>
    </row>
    <row r="986" spans="7:11" ht="13.2">
      <c r="G986" s="13"/>
      <c r="H986" s="13"/>
      <c r="I986" s="15"/>
      <c r="K986" s="15"/>
    </row>
    <row r="987" spans="7:11" ht="13.2">
      <c r="G987" s="13"/>
      <c r="H987" s="13"/>
      <c r="I987" s="15"/>
      <c r="K987" s="15"/>
    </row>
    <row r="988" spans="7:11" ht="13.2">
      <c r="G988" s="13"/>
      <c r="H988" s="13"/>
      <c r="I988" s="15"/>
      <c r="K988" s="15"/>
    </row>
    <row r="989" spans="7:11" ht="13.2">
      <c r="G989" s="13"/>
      <c r="H989" s="13"/>
      <c r="I989" s="15"/>
      <c r="K989" s="15"/>
    </row>
    <row r="990" spans="7:11" ht="13.2">
      <c r="G990" s="13"/>
      <c r="H990" s="13"/>
      <c r="I990" s="15"/>
      <c r="K990" s="15"/>
    </row>
    <row r="991" spans="7:11" ht="13.2">
      <c r="G991" s="13"/>
      <c r="H991" s="13"/>
      <c r="I991" s="15"/>
      <c r="K991" s="15"/>
    </row>
    <row r="992" spans="7:11" ht="13.2">
      <c r="G992" s="13"/>
      <c r="H992" s="13"/>
      <c r="I992" s="15"/>
      <c r="K992" s="15"/>
    </row>
    <row r="993" spans="7:11" ht="13.2">
      <c r="G993" s="13"/>
      <c r="H993" s="13"/>
      <c r="I993" s="15"/>
      <c r="K993" s="15"/>
    </row>
    <row r="994" spans="7:11" ht="13.2">
      <c r="G994" s="13"/>
      <c r="H994" s="13"/>
      <c r="I994" s="15"/>
      <c r="K994" s="15"/>
    </row>
    <row r="995" spans="7:11" ht="13.2">
      <c r="G995" s="13"/>
      <c r="H995" s="13"/>
      <c r="I995" s="15"/>
      <c r="K995" s="15"/>
    </row>
    <row r="996" spans="7:11" ht="13.2">
      <c r="G996" s="13"/>
      <c r="H996" s="13"/>
      <c r="I996" s="15"/>
      <c r="K996" s="15"/>
    </row>
    <row r="997" spans="7:11" ht="13.2">
      <c r="G997" s="13"/>
      <c r="H997" s="13"/>
      <c r="I997" s="15"/>
      <c r="K997" s="15"/>
    </row>
    <row r="998" spans="7:11" ht="13.2">
      <c r="G998" s="13"/>
      <c r="H998" s="13"/>
      <c r="I998" s="15"/>
      <c r="K998" s="15"/>
    </row>
    <row r="999" spans="7:11" ht="13.2">
      <c r="G999" s="13"/>
      <c r="H999" s="13"/>
      <c r="I999" s="15"/>
      <c r="K999" s="15"/>
    </row>
    <row r="1000" spans="7:11" ht="13.2">
      <c r="G1000" s="13"/>
      <c r="H1000" s="13"/>
      <c r="I1000" s="15"/>
      <c r="K1000" s="15"/>
    </row>
  </sheetData>
  <mergeCells count="10">
    <mergeCell ref="H1:H2"/>
    <mergeCell ref="I1:J2"/>
    <mergeCell ref="K1:L2"/>
    <mergeCell ref="A1:A2"/>
    <mergeCell ref="B1:B2"/>
    <mergeCell ref="C1:C2"/>
    <mergeCell ref="D1:D2"/>
    <mergeCell ref="E1:E2"/>
    <mergeCell ref="F1:F2"/>
    <mergeCell ref="G1:G2"/>
  </mergeCells>
  <phoneticPr fontId="3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25"/>
  <sheetViews>
    <sheetView workbookViewId="0">
      <pane xSplit="4" topLeftCell="E1" activePane="topRight" state="frozen"/>
      <selection pane="topRight" activeCell="F2" sqref="F2"/>
    </sheetView>
  </sheetViews>
  <sheetFormatPr defaultColWidth="12.77734375" defaultRowHeight="15.75" customHeight="1"/>
  <cols>
    <col min="4" max="4" width="22.77734375" customWidth="1"/>
    <col min="5" max="5" width="113.21875" customWidth="1"/>
    <col min="6" max="6" width="214.21875" customWidth="1"/>
    <col min="7" max="7" width="113" customWidth="1"/>
  </cols>
  <sheetData>
    <row r="1" spans="1:26" ht="13.2">
      <c r="A1" s="208" t="s">
        <v>1686</v>
      </c>
      <c r="B1" s="208" t="s">
        <v>46</v>
      </c>
      <c r="C1" s="208" t="s">
        <v>2077</v>
      </c>
      <c r="D1" s="208" t="s">
        <v>2078</v>
      </c>
      <c r="E1" s="208" t="s">
        <v>2079</v>
      </c>
      <c r="F1" s="208" t="s">
        <v>2080</v>
      </c>
      <c r="G1" s="208" t="s">
        <v>1214</v>
      </c>
    </row>
    <row r="2" spans="1:26" ht="13.2">
      <c r="A2" s="189"/>
      <c r="B2" s="189"/>
      <c r="C2" s="189"/>
      <c r="D2" s="189"/>
      <c r="E2" s="189"/>
      <c r="F2" s="189"/>
      <c r="G2" s="189"/>
    </row>
    <row r="3" spans="1:26" ht="22.5" customHeight="1">
      <c r="A3" s="6" t="s">
        <v>2081</v>
      </c>
      <c r="B3" s="122">
        <v>1</v>
      </c>
      <c r="C3" s="123">
        <v>3.1</v>
      </c>
      <c r="D3" s="123" t="s">
        <v>84</v>
      </c>
      <c r="E3" s="124" t="s">
        <v>2082</v>
      </c>
      <c r="F3" s="124" t="s">
        <v>2083</v>
      </c>
      <c r="G3" s="125" t="s">
        <v>2084</v>
      </c>
      <c r="H3" s="12"/>
      <c r="I3" s="12"/>
      <c r="J3" s="12"/>
      <c r="K3" s="12"/>
      <c r="L3" s="12"/>
      <c r="M3" s="12"/>
      <c r="N3" s="12"/>
      <c r="O3" s="12"/>
      <c r="P3" s="12"/>
      <c r="Q3" s="12"/>
      <c r="R3" s="12"/>
      <c r="S3" s="12"/>
      <c r="T3" s="12"/>
      <c r="U3" s="12"/>
      <c r="V3" s="12"/>
      <c r="W3" s="12"/>
      <c r="X3" s="12"/>
      <c r="Y3" s="12"/>
      <c r="Z3" s="12"/>
    </row>
    <row r="4" spans="1:26" ht="22.5" customHeight="1">
      <c r="A4" s="6" t="s">
        <v>2081</v>
      </c>
      <c r="B4" s="122">
        <v>2</v>
      </c>
      <c r="C4" s="123">
        <v>3.1</v>
      </c>
      <c r="D4" s="123" t="s">
        <v>1933</v>
      </c>
      <c r="E4" s="124" t="s">
        <v>2085</v>
      </c>
      <c r="F4" s="124" t="s">
        <v>2086</v>
      </c>
      <c r="G4" s="126" t="s">
        <v>2087</v>
      </c>
      <c r="H4" s="12"/>
      <c r="I4" s="12"/>
      <c r="J4" s="12"/>
      <c r="K4" s="12"/>
      <c r="L4" s="12"/>
      <c r="M4" s="12"/>
      <c r="N4" s="12"/>
      <c r="O4" s="12"/>
      <c r="P4" s="12"/>
      <c r="Q4" s="12"/>
      <c r="R4" s="12"/>
      <c r="S4" s="12"/>
      <c r="T4" s="12"/>
      <c r="U4" s="12"/>
      <c r="V4" s="12"/>
      <c r="W4" s="12"/>
      <c r="X4" s="12"/>
      <c r="Y4" s="12"/>
      <c r="Z4" s="12"/>
    </row>
    <row r="5" spans="1:26" ht="22.5" customHeight="1">
      <c r="A5" s="6" t="s">
        <v>2081</v>
      </c>
      <c r="B5" s="122">
        <v>3</v>
      </c>
      <c r="C5" s="123">
        <v>3.1</v>
      </c>
      <c r="D5" s="123" t="s">
        <v>1946</v>
      </c>
      <c r="E5" s="124" t="s">
        <v>2088</v>
      </c>
      <c r="F5" s="124" t="s">
        <v>2089</v>
      </c>
      <c r="G5" s="126" t="s">
        <v>2090</v>
      </c>
      <c r="H5" s="12"/>
      <c r="I5" s="12"/>
      <c r="J5" s="12"/>
      <c r="K5" s="12"/>
      <c r="L5" s="12"/>
      <c r="M5" s="12"/>
      <c r="N5" s="12"/>
      <c r="O5" s="12"/>
      <c r="P5" s="12"/>
      <c r="Q5" s="12"/>
      <c r="R5" s="12"/>
      <c r="S5" s="12"/>
      <c r="T5" s="12"/>
      <c r="U5" s="12"/>
      <c r="V5" s="12"/>
      <c r="W5" s="12"/>
      <c r="X5" s="12"/>
      <c r="Y5" s="12"/>
      <c r="Z5" s="12"/>
    </row>
    <row r="6" spans="1:26" ht="22.5" customHeight="1">
      <c r="A6" s="6" t="s">
        <v>2081</v>
      </c>
      <c r="B6" s="122">
        <v>4</v>
      </c>
      <c r="C6" s="123" t="s">
        <v>1946</v>
      </c>
      <c r="D6" s="123" t="s">
        <v>2091</v>
      </c>
      <c r="E6" s="124" t="s">
        <v>2092</v>
      </c>
      <c r="F6" s="124" t="s">
        <v>2093</v>
      </c>
      <c r="G6" s="126" t="s">
        <v>2094</v>
      </c>
      <c r="H6" s="12"/>
      <c r="I6" s="12"/>
      <c r="J6" s="12"/>
      <c r="K6" s="12"/>
      <c r="L6" s="12"/>
      <c r="M6" s="12"/>
      <c r="N6" s="12"/>
      <c r="O6" s="12"/>
      <c r="P6" s="12"/>
      <c r="Q6" s="12"/>
      <c r="R6" s="12"/>
      <c r="S6" s="12"/>
      <c r="T6" s="12"/>
      <c r="U6" s="12"/>
      <c r="V6" s="12"/>
      <c r="W6" s="12"/>
      <c r="X6" s="12"/>
      <c r="Y6" s="12"/>
      <c r="Z6" s="12"/>
    </row>
    <row r="7" spans="1:26" ht="22.5" customHeight="1">
      <c r="A7" s="6" t="s">
        <v>2081</v>
      </c>
      <c r="B7" s="122">
        <v>5</v>
      </c>
      <c r="C7" s="123" t="s">
        <v>1946</v>
      </c>
      <c r="D7" s="123" t="s">
        <v>2095</v>
      </c>
      <c r="E7" s="124" t="s">
        <v>2096</v>
      </c>
      <c r="F7" s="124" t="s">
        <v>2097</v>
      </c>
      <c r="G7" s="126" t="s">
        <v>2098</v>
      </c>
      <c r="H7" s="12"/>
      <c r="I7" s="12"/>
      <c r="J7" s="12"/>
      <c r="K7" s="12"/>
      <c r="L7" s="12"/>
      <c r="M7" s="12"/>
      <c r="N7" s="12"/>
      <c r="O7" s="12"/>
      <c r="P7" s="12"/>
      <c r="Q7" s="12"/>
      <c r="R7" s="12"/>
      <c r="S7" s="12"/>
      <c r="T7" s="12"/>
      <c r="U7" s="12"/>
      <c r="V7" s="12"/>
      <c r="W7" s="12"/>
      <c r="X7" s="12"/>
      <c r="Y7" s="12"/>
      <c r="Z7" s="12"/>
    </row>
    <row r="8" spans="1:26" ht="22.5" customHeight="1">
      <c r="A8" s="6" t="s">
        <v>2081</v>
      </c>
      <c r="B8" s="122">
        <v>6</v>
      </c>
      <c r="C8" s="123" t="s">
        <v>1946</v>
      </c>
      <c r="D8" s="123" t="s">
        <v>2099</v>
      </c>
      <c r="E8" s="124" t="s">
        <v>2100</v>
      </c>
      <c r="F8" s="124" t="s">
        <v>2101</v>
      </c>
      <c r="G8" s="125" t="s">
        <v>2102</v>
      </c>
      <c r="H8" s="12"/>
      <c r="I8" s="12"/>
      <c r="J8" s="12"/>
      <c r="K8" s="12"/>
      <c r="L8" s="12"/>
      <c r="M8" s="12"/>
      <c r="N8" s="12"/>
      <c r="O8" s="12"/>
      <c r="P8" s="12"/>
      <c r="Q8" s="12"/>
      <c r="R8" s="12"/>
      <c r="S8" s="12"/>
      <c r="T8" s="12"/>
      <c r="U8" s="12"/>
      <c r="V8" s="12"/>
      <c r="W8" s="12"/>
      <c r="X8" s="12"/>
      <c r="Y8" s="12"/>
      <c r="Z8" s="12"/>
    </row>
    <row r="9" spans="1:26" ht="22.5" customHeight="1">
      <c r="A9" s="6" t="s">
        <v>2081</v>
      </c>
      <c r="B9" s="122">
        <v>7</v>
      </c>
      <c r="C9" s="123" t="s">
        <v>1946</v>
      </c>
      <c r="D9" s="123" t="s">
        <v>2103</v>
      </c>
      <c r="E9" s="124" t="s">
        <v>2104</v>
      </c>
      <c r="F9" s="124" t="s">
        <v>2105</v>
      </c>
      <c r="G9" s="125" t="s">
        <v>2106</v>
      </c>
      <c r="H9" s="12"/>
      <c r="I9" s="12"/>
      <c r="J9" s="12"/>
      <c r="K9" s="12"/>
      <c r="L9" s="12"/>
      <c r="M9" s="12"/>
      <c r="N9" s="12"/>
      <c r="O9" s="12"/>
      <c r="P9" s="12"/>
      <c r="Q9" s="12"/>
      <c r="R9" s="12"/>
      <c r="S9" s="12"/>
      <c r="T9" s="12"/>
      <c r="U9" s="12"/>
      <c r="V9" s="12"/>
      <c r="W9" s="12"/>
      <c r="X9" s="12"/>
      <c r="Y9" s="12"/>
      <c r="Z9" s="12"/>
    </row>
    <row r="10" spans="1:26" ht="22.5" customHeight="1">
      <c r="A10" s="6" t="s">
        <v>2081</v>
      </c>
      <c r="B10" s="122">
        <v>8</v>
      </c>
      <c r="C10" s="123" t="s">
        <v>1946</v>
      </c>
      <c r="D10" s="123" t="s">
        <v>2107</v>
      </c>
      <c r="E10" s="124" t="s">
        <v>2108</v>
      </c>
      <c r="F10" s="124" t="s">
        <v>2109</v>
      </c>
      <c r="G10" s="126" t="s">
        <v>2110</v>
      </c>
      <c r="H10" s="12"/>
      <c r="I10" s="12"/>
      <c r="J10" s="12"/>
      <c r="K10" s="12"/>
      <c r="L10" s="12"/>
      <c r="M10" s="12"/>
      <c r="N10" s="12"/>
      <c r="O10" s="12"/>
      <c r="P10" s="12"/>
      <c r="Q10" s="12"/>
      <c r="R10" s="12"/>
      <c r="S10" s="12"/>
      <c r="T10" s="12"/>
      <c r="U10" s="12"/>
      <c r="V10" s="12"/>
      <c r="W10" s="12"/>
      <c r="X10" s="12"/>
      <c r="Y10" s="12"/>
      <c r="Z10" s="12"/>
    </row>
    <row r="11" spans="1:26" ht="22.5" customHeight="1">
      <c r="A11" s="6" t="s">
        <v>2081</v>
      </c>
      <c r="B11" s="122">
        <v>9</v>
      </c>
      <c r="C11" s="123" t="s">
        <v>2107</v>
      </c>
      <c r="D11" s="123" t="s">
        <v>2111</v>
      </c>
      <c r="E11" s="124" t="s">
        <v>2112</v>
      </c>
      <c r="F11" s="124" t="s">
        <v>2113</v>
      </c>
      <c r="G11" s="125" t="s">
        <v>2114</v>
      </c>
      <c r="H11" s="12"/>
      <c r="I11" s="12"/>
      <c r="J11" s="12"/>
      <c r="K11" s="12"/>
      <c r="L11" s="12"/>
      <c r="M11" s="12"/>
      <c r="N11" s="12"/>
      <c r="O11" s="12"/>
      <c r="P11" s="12"/>
      <c r="Q11" s="12"/>
      <c r="R11" s="12"/>
      <c r="S11" s="12"/>
      <c r="T11" s="12"/>
      <c r="U11" s="12"/>
      <c r="V11" s="12"/>
      <c r="W11" s="12"/>
      <c r="X11" s="12"/>
      <c r="Y11" s="12"/>
      <c r="Z11" s="12"/>
    </row>
    <row r="12" spans="1:26" ht="22.5" customHeight="1">
      <c r="A12" s="6" t="s">
        <v>2081</v>
      </c>
      <c r="B12" s="122">
        <v>10</v>
      </c>
      <c r="C12" s="123" t="s">
        <v>2107</v>
      </c>
      <c r="D12" s="123" t="s">
        <v>2115</v>
      </c>
      <c r="E12" s="124" t="s">
        <v>2116</v>
      </c>
      <c r="F12" s="124" t="s">
        <v>2117</v>
      </c>
      <c r="G12" s="126" t="s">
        <v>2118</v>
      </c>
      <c r="H12" s="12"/>
      <c r="I12" s="12"/>
      <c r="J12" s="12"/>
      <c r="K12" s="12"/>
      <c r="L12" s="12"/>
      <c r="M12" s="12"/>
      <c r="N12" s="12"/>
      <c r="O12" s="12"/>
      <c r="P12" s="12"/>
      <c r="Q12" s="12"/>
      <c r="R12" s="12"/>
      <c r="S12" s="12"/>
      <c r="T12" s="12"/>
      <c r="U12" s="12"/>
      <c r="V12" s="12"/>
      <c r="W12" s="12"/>
      <c r="X12" s="12"/>
      <c r="Y12" s="12"/>
      <c r="Z12" s="12"/>
    </row>
    <row r="13" spans="1:26" ht="22.5" customHeight="1">
      <c r="A13" s="6" t="s">
        <v>2081</v>
      </c>
      <c r="B13" s="122">
        <v>11</v>
      </c>
      <c r="C13" s="123" t="s">
        <v>1946</v>
      </c>
      <c r="D13" s="123" t="s">
        <v>2119</v>
      </c>
      <c r="E13" s="124" t="s">
        <v>2120</v>
      </c>
      <c r="F13" s="124" t="s">
        <v>2121</v>
      </c>
      <c r="G13" s="126" t="s">
        <v>2122</v>
      </c>
      <c r="H13" s="12"/>
      <c r="I13" s="12"/>
      <c r="J13" s="12"/>
      <c r="K13" s="12"/>
      <c r="L13" s="12"/>
      <c r="M13" s="12"/>
      <c r="N13" s="12"/>
      <c r="O13" s="12"/>
      <c r="P13" s="12"/>
      <c r="Q13" s="12"/>
      <c r="R13" s="12"/>
      <c r="S13" s="12"/>
      <c r="T13" s="12"/>
      <c r="U13" s="12"/>
      <c r="V13" s="12"/>
      <c r="W13" s="12"/>
      <c r="X13" s="12"/>
      <c r="Y13" s="12"/>
      <c r="Z13" s="12"/>
    </row>
    <row r="14" spans="1:26" ht="22.5" customHeight="1">
      <c r="A14" s="6" t="s">
        <v>2081</v>
      </c>
      <c r="B14" s="122">
        <v>12</v>
      </c>
      <c r="C14" s="123" t="s">
        <v>2119</v>
      </c>
      <c r="D14" s="123" t="s">
        <v>2123</v>
      </c>
      <c r="E14" s="124" t="s">
        <v>2124</v>
      </c>
      <c r="F14" s="124" t="s">
        <v>2125</v>
      </c>
      <c r="G14" s="126" t="s">
        <v>2126</v>
      </c>
      <c r="H14" s="12"/>
      <c r="I14" s="12"/>
      <c r="J14" s="12"/>
      <c r="K14" s="12"/>
      <c r="L14" s="12"/>
      <c r="M14" s="12"/>
      <c r="N14" s="12"/>
      <c r="O14" s="12"/>
      <c r="P14" s="12"/>
      <c r="Q14" s="12"/>
      <c r="R14" s="12"/>
      <c r="S14" s="12"/>
      <c r="T14" s="12"/>
      <c r="U14" s="12"/>
      <c r="V14" s="12"/>
      <c r="W14" s="12"/>
      <c r="X14" s="12"/>
      <c r="Y14" s="12"/>
      <c r="Z14" s="12"/>
    </row>
    <row r="15" spans="1:26" ht="22.5" customHeight="1">
      <c r="A15" s="6" t="s">
        <v>2081</v>
      </c>
      <c r="B15" s="122">
        <v>13</v>
      </c>
      <c r="C15" s="123" t="s">
        <v>2119</v>
      </c>
      <c r="D15" s="123" t="s">
        <v>2127</v>
      </c>
      <c r="E15" s="124" t="s">
        <v>2128</v>
      </c>
      <c r="F15" s="124" t="s">
        <v>2105</v>
      </c>
      <c r="G15" s="125" t="s">
        <v>2129</v>
      </c>
      <c r="H15" s="12"/>
      <c r="I15" s="12"/>
      <c r="J15" s="12"/>
      <c r="K15" s="12"/>
      <c r="L15" s="12"/>
      <c r="M15" s="12"/>
      <c r="N15" s="12"/>
      <c r="O15" s="12"/>
      <c r="P15" s="12"/>
      <c r="Q15" s="12"/>
      <c r="R15" s="12"/>
      <c r="S15" s="12"/>
      <c r="T15" s="12"/>
      <c r="U15" s="12"/>
      <c r="V15" s="12"/>
      <c r="W15" s="12"/>
      <c r="X15" s="12"/>
      <c r="Y15" s="12"/>
      <c r="Z15" s="12"/>
    </row>
    <row r="16" spans="1:26" ht="22.5" customHeight="1">
      <c r="A16" s="6" t="s">
        <v>2081</v>
      </c>
      <c r="B16" s="122">
        <v>14</v>
      </c>
      <c r="C16" s="123" t="s">
        <v>1946</v>
      </c>
      <c r="D16" s="123" t="s">
        <v>2130</v>
      </c>
      <c r="E16" s="124" t="s">
        <v>2131</v>
      </c>
      <c r="F16" s="124" t="s">
        <v>2132</v>
      </c>
      <c r="G16" s="125" t="s">
        <v>2133</v>
      </c>
      <c r="H16" s="12"/>
      <c r="I16" s="12"/>
      <c r="J16" s="12"/>
      <c r="K16" s="12"/>
      <c r="L16" s="12"/>
      <c r="M16" s="12"/>
      <c r="N16" s="12"/>
      <c r="O16" s="12"/>
      <c r="P16" s="12"/>
      <c r="Q16" s="12"/>
      <c r="R16" s="12"/>
      <c r="S16" s="12"/>
      <c r="T16" s="12"/>
      <c r="U16" s="12"/>
      <c r="V16" s="12"/>
      <c r="W16" s="12"/>
      <c r="X16" s="12"/>
      <c r="Y16" s="12"/>
      <c r="Z16" s="12"/>
    </row>
    <row r="17" spans="1:26" ht="22.5" customHeight="1">
      <c r="A17" s="6" t="s">
        <v>2081</v>
      </c>
      <c r="B17" s="122">
        <v>15</v>
      </c>
      <c r="C17" s="123" t="s">
        <v>2130</v>
      </c>
      <c r="D17" s="123" t="s">
        <v>2134</v>
      </c>
      <c r="E17" s="124" t="s">
        <v>2135</v>
      </c>
      <c r="F17" s="124" t="s">
        <v>2136</v>
      </c>
      <c r="G17" s="125" t="s">
        <v>2133</v>
      </c>
      <c r="H17" s="12"/>
      <c r="I17" s="12"/>
      <c r="J17" s="12"/>
      <c r="K17" s="12"/>
      <c r="L17" s="12"/>
      <c r="M17" s="12"/>
      <c r="N17" s="12"/>
      <c r="O17" s="12"/>
      <c r="P17" s="12"/>
      <c r="Q17" s="12"/>
      <c r="R17" s="12"/>
      <c r="S17" s="12"/>
      <c r="T17" s="12"/>
      <c r="U17" s="12"/>
      <c r="V17" s="12"/>
      <c r="W17" s="12"/>
      <c r="X17" s="12"/>
      <c r="Y17" s="12"/>
      <c r="Z17" s="12"/>
    </row>
    <row r="18" spans="1:26" ht="22.5" customHeight="1">
      <c r="A18" s="6" t="s">
        <v>2081</v>
      </c>
      <c r="B18" s="122">
        <v>16</v>
      </c>
      <c r="C18" s="123" t="s">
        <v>1946</v>
      </c>
      <c r="D18" s="123" t="s">
        <v>2137</v>
      </c>
      <c r="E18" s="124" t="s">
        <v>2138</v>
      </c>
      <c r="F18" s="124" t="s">
        <v>2139</v>
      </c>
      <c r="G18" s="125" t="s">
        <v>2140</v>
      </c>
      <c r="H18" s="12"/>
      <c r="I18" s="12"/>
      <c r="J18" s="12"/>
      <c r="K18" s="12"/>
      <c r="L18" s="12"/>
      <c r="M18" s="12"/>
      <c r="N18" s="12"/>
      <c r="O18" s="12"/>
      <c r="P18" s="12"/>
      <c r="Q18" s="12"/>
      <c r="R18" s="12"/>
      <c r="S18" s="12"/>
      <c r="T18" s="12"/>
      <c r="U18" s="12"/>
      <c r="V18" s="12"/>
      <c r="W18" s="12"/>
      <c r="X18" s="12"/>
      <c r="Y18" s="12"/>
      <c r="Z18" s="12"/>
    </row>
    <row r="19" spans="1:26" ht="22.5" customHeight="1">
      <c r="A19" s="6" t="s">
        <v>2081</v>
      </c>
      <c r="B19" s="122">
        <v>17</v>
      </c>
      <c r="C19" s="123" t="s">
        <v>2137</v>
      </c>
      <c r="D19" s="123" t="s">
        <v>2141</v>
      </c>
      <c r="E19" s="124" t="s">
        <v>2142</v>
      </c>
      <c r="F19" s="124" t="s">
        <v>2143</v>
      </c>
      <c r="G19" s="125" t="s">
        <v>2144</v>
      </c>
      <c r="H19" s="12"/>
      <c r="I19" s="12"/>
      <c r="J19" s="12"/>
      <c r="K19" s="12"/>
      <c r="L19" s="12"/>
      <c r="M19" s="12"/>
      <c r="N19" s="12"/>
      <c r="O19" s="12"/>
      <c r="P19" s="12"/>
      <c r="Q19" s="12"/>
      <c r="R19" s="12"/>
      <c r="S19" s="12"/>
      <c r="T19" s="12"/>
      <c r="U19" s="12"/>
      <c r="V19" s="12"/>
      <c r="W19" s="12"/>
      <c r="X19" s="12"/>
      <c r="Y19" s="12"/>
      <c r="Z19" s="12"/>
    </row>
    <row r="20" spans="1:26" ht="22.5" customHeight="1">
      <c r="A20" s="6" t="s">
        <v>2081</v>
      </c>
      <c r="B20" s="122">
        <v>18</v>
      </c>
      <c r="C20" s="123" t="s">
        <v>2137</v>
      </c>
      <c r="D20" s="123" t="s">
        <v>2145</v>
      </c>
      <c r="E20" s="124" t="s">
        <v>2146</v>
      </c>
      <c r="F20" s="124" t="s">
        <v>2147</v>
      </c>
      <c r="G20" s="125" t="s">
        <v>2140</v>
      </c>
      <c r="H20" s="12"/>
      <c r="I20" s="12"/>
      <c r="J20" s="12"/>
      <c r="K20" s="12"/>
      <c r="L20" s="12"/>
      <c r="M20" s="12"/>
      <c r="N20" s="12"/>
      <c r="O20" s="12"/>
      <c r="P20" s="12"/>
      <c r="Q20" s="12"/>
      <c r="R20" s="12"/>
      <c r="S20" s="12"/>
      <c r="T20" s="12"/>
      <c r="U20" s="12"/>
      <c r="V20" s="12"/>
      <c r="W20" s="12"/>
      <c r="X20" s="12"/>
      <c r="Y20" s="12"/>
      <c r="Z20" s="12"/>
    </row>
    <row r="21" spans="1:26" ht="22.5" customHeight="1">
      <c r="A21" s="6" t="s">
        <v>2081</v>
      </c>
      <c r="B21" s="122">
        <v>19</v>
      </c>
      <c r="C21" s="123" t="s">
        <v>1946</v>
      </c>
      <c r="D21" s="123" t="s">
        <v>2148</v>
      </c>
      <c r="E21" s="124" t="s">
        <v>2149</v>
      </c>
      <c r="F21" s="124" t="s">
        <v>2150</v>
      </c>
      <c r="G21" s="125" t="s">
        <v>2151</v>
      </c>
      <c r="H21" s="12"/>
      <c r="I21" s="12"/>
      <c r="J21" s="12"/>
      <c r="K21" s="12"/>
      <c r="L21" s="12"/>
      <c r="M21" s="12"/>
      <c r="N21" s="12"/>
      <c r="O21" s="12"/>
      <c r="P21" s="12"/>
      <c r="Q21" s="12"/>
      <c r="R21" s="12"/>
      <c r="S21" s="12"/>
      <c r="T21" s="12"/>
      <c r="U21" s="12"/>
      <c r="V21" s="12"/>
      <c r="W21" s="12"/>
      <c r="X21" s="12"/>
      <c r="Y21" s="12"/>
      <c r="Z21" s="12"/>
    </row>
    <row r="22" spans="1:26" ht="22.5" customHeight="1">
      <c r="A22" s="6" t="s">
        <v>2081</v>
      </c>
      <c r="B22" s="122">
        <v>20</v>
      </c>
      <c r="C22" s="123" t="s">
        <v>2152</v>
      </c>
      <c r="D22" s="123" t="s">
        <v>2153</v>
      </c>
      <c r="E22" s="124" t="s">
        <v>2154</v>
      </c>
      <c r="F22" s="124" t="s">
        <v>2155</v>
      </c>
      <c r="G22" s="125" t="s">
        <v>2156</v>
      </c>
      <c r="H22" s="12"/>
      <c r="I22" s="12"/>
      <c r="J22" s="12"/>
      <c r="K22" s="12"/>
      <c r="L22" s="12"/>
      <c r="M22" s="12"/>
      <c r="N22" s="12"/>
      <c r="O22" s="12"/>
      <c r="P22" s="12"/>
      <c r="Q22" s="12"/>
      <c r="R22" s="12"/>
      <c r="S22" s="12"/>
      <c r="T22" s="12"/>
      <c r="U22" s="12"/>
      <c r="V22" s="12"/>
      <c r="W22" s="12"/>
      <c r="X22" s="12"/>
      <c r="Y22" s="12"/>
      <c r="Z22" s="12"/>
    </row>
    <row r="23" spans="1:26" ht="22.5" customHeight="1">
      <c r="A23" s="6" t="s">
        <v>2081</v>
      </c>
      <c r="B23" s="122">
        <v>21</v>
      </c>
      <c r="C23" s="123" t="s">
        <v>2152</v>
      </c>
      <c r="D23" s="123" t="s">
        <v>2157</v>
      </c>
      <c r="E23" s="124" t="s">
        <v>2158</v>
      </c>
      <c r="F23" s="124" t="s">
        <v>2159</v>
      </c>
      <c r="G23" s="125" t="s">
        <v>2156</v>
      </c>
      <c r="H23" s="12"/>
      <c r="I23" s="12"/>
      <c r="J23" s="12"/>
      <c r="K23" s="12"/>
      <c r="L23" s="12"/>
      <c r="M23" s="12"/>
      <c r="N23" s="12"/>
      <c r="O23" s="12"/>
      <c r="P23" s="12"/>
      <c r="Q23" s="12"/>
      <c r="R23" s="12"/>
      <c r="S23" s="12"/>
      <c r="T23" s="12"/>
      <c r="U23" s="12"/>
      <c r="V23" s="12"/>
      <c r="W23" s="12"/>
      <c r="X23" s="12"/>
      <c r="Y23" s="12"/>
      <c r="Z23" s="12"/>
    </row>
    <row r="24" spans="1:26" ht="22.5" customHeight="1">
      <c r="A24" s="6" t="s">
        <v>2081</v>
      </c>
      <c r="B24" s="122">
        <v>22</v>
      </c>
      <c r="C24" s="123" t="s">
        <v>2152</v>
      </c>
      <c r="D24" s="123" t="s">
        <v>2160</v>
      </c>
      <c r="E24" s="124" t="s">
        <v>2161</v>
      </c>
      <c r="F24" s="124" t="s">
        <v>2162</v>
      </c>
      <c r="G24" s="125" t="s">
        <v>2163</v>
      </c>
      <c r="H24" s="12"/>
      <c r="I24" s="12"/>
      <c r="J24" s="12"/>
      <c r="K24" s="12"/>
      <c r="L24" s="12"/>
      <c r="M24" s="12"/>
      <c r="N24" s="12"/>
      <c r="O24" s="12"/>
      <c r="P24" s="12"/>
      <c r="Q24" s="12"/>
      <c r="R24" s="12"/>
      <c r="S24" s="12"/>
      <c r="T24" s="12"/>
      <c r="U24" s="12"/>
      <c r="V24" s="12"/>
      <c r="W24" s="12"/>
      <c r="X24" s="12"/>
      <c r="Y24" s="12"/>
      <c r="Z24" s="12"/>
    </row>
    <row r="25" spans="1:26" ht="22.5" customHeight="1">
      <c r="A25" s="6" t="s">
        <v>2081</v>
      </c>
      <c r="B25" s="122">
        <v>23</v>
      </c>
      <c r="C25" s="123" t="s">
        <v>2152</v>
      </c>
      <c r="D25" s="123" t="s">
        <v>2164</v>
      </c>
      <c r="E25" s="124" t="s">
        <v>2165</v>
      </c>
      <c r="F25" s="124" t="s">
        <v>2166</v>
      </c>
      <c r="G25" s="125" t="s">
        <v>2167</v>
      </c>
      <c r="H25" s="12"/>
      <c r="I25" s="12"/>
      <c r="J25" s="12"/>
      <c r="K25" s="12"/>
      <c r="L25" s="12"/>
      <c r="M25" s="12"/>
      <c r="N25" s="12"/>
      <c r="O25" s="12"/>
      <c r="P25" s="12"/>
      <c r="Q25" s="12"/>
      <c r="R25" s="12"/>
      <c r="S25" s="12"/>
      <c r="T25" s="12"/>
      <c r="U25" s="12"/>
      <c r="V25" s="12"/>
      <c r="W25" s="12"/>
      <c r="X25" s="12"/>
      <c r="Y25" s="12"/>
      <c r="Z25" s="12"/>
    </row>
    <row r="26" spans="1:26" ht="22.5" customHeight="1">
      <c r="A26" s="6" t="s">
        <v>2081</v>
      </c>
      <c r="B26" s="122">
        <v>24</v>
      </c>
      <c r="C26" s="123" t="s">
        <v>1946</v>
      </c>
      <c r="D26" s="123" t="s">
        <v>2168</v>
      </c>
      <c r="E26" s="124" t="s">
        <v>2169</v>
      </c>
      <c r="F26" s="124" t="s">
        <v>2170</v>
      </c>
      <c r="G26" s="125" t="s">
        <v>2171</v>
      </c>
      <c r="H26" s="12"/>
      <c r="I26" s="12"/>
      <c r="J26" s="12"/>
      <c r="K26" s="12"/>
      <c r="L26" s="12"/>
      <c r="M26" s="12"/>
      <c r="N26" s="12"/>
      <c r="O26" s="12"/>
      <c r="P26" s="12"/>
      <c r="Q26" s="12"/>
      <c r="R26" s="12"/>
      <c r="S26" s="12"/>
      <c r="T26" s="12"/>
      <c r="U26" s="12"/>
      <c r="V26" s="12"/>
      <c r="W26" s="12"/>
      <c r="X26" s="12"/>
      <c r="Y26" s="12"/>
      <c r="Z26" s="12"/>
    </row>
    <row r="27" spans="1:26" ht="22.5" customHeight="1">
      <c r="A27" s="6" t="s">
        <v>2081</v>
      </c>
      <c r="B27" s="122">
        <v>25</v>
      </c>
      <c r="C27" s="123" t="s">
        <v>2168</v>
      </c>
      <c r="D27" s="123" t="s">
        <v>2172</v>
      </c>
      <c r="E27" s="124" t="s">
        <v>2173</v>
      </c>
      <c r="F27" s="124" t="s">
        <v>2174</v>
      </c>
      <c r="G27" s="125" t="s">
        <v>2175</v>
      </c>
      <c r="H27" s="12"/>
      <c r="I27" s="12"/>
      <c r="J27" s="12"/>
      <c r="K27" s="12"/>
      <c r="L27" s="12"/>
      <c r="M27" s="12"/>
      <c r="N27" s="12"/>
      <c r="O27" s="12"/>
      <c r="P27" s="12"/>
      <c r="Q27" s="12"/>
      <c r="R27" s="12"/>
      <c r="S27" s="12"/>
      <c r="T27" s="12"/>
      <c r="U27" s="12"/>
      <c r="V27" s="12"/>
      <c r="W27" s="12"/>
      <c r="X27" s="12"/>
      <c r="Y27" s="12"/>
      <c r="Z27" s="12"/>
    </row>
    <row r="28" spans="1:26" ht="22.5" customHeight="1">
      <c r="A28" s="6" t="s">
        <v>2081</v>
      </c>
      <c r="B28" s="122">
        <v>26</v>
      </c>
      <c r="C28" s="123" t="s">
        <v>2168</v>
      </c>
      <c r="D28" s="123" t="s">
        <v>2176</v>
      </c>
      <c r="E28" s="124" t="s">
        <v>2177</v>
      </c>
      <c r="F28" s="124" t="s">
        <v>2178</v>
      </c>
      <c r="G28" s="125" t="s">
        <v>2179</v>
      </c>
      <c r="H28" s="12"/>
      <c r="I28" s="12"/>
      <c r="J28" s="12"/>
      <c r="K28" s="12"/>
      <c r="L28" s="12"/>
      <c r="M28" s="12"/>
      <c r="N28" s="12"/>
      <c r="O28" s="12"/>
      <c r="P28" s="12"/>
      <c r="Q28" s="12"/>
      <c r="R28" s="12"/>
      <c r="S28" s="12"/>
      <c r="T28" s="12"/>
      <c r="U28" s="12"/>
      <c r="V28" s="12"/>
      <c r="W28" s="12"/>
      <c r="X28" s="12"/>
      <c r="Y28" s="12"/>
      <c r="Z28" s="12"/>
    </row>
    <row r="29" spans="1:26" ht="22.5" customHeight="1">
      <c r="A29" s="6" t="s">
        <v>2081</v>
      </c>
      <c r="B29" s="122">
        <v>27</v>
      </c>
      <c r="C29" s="123" t="s">
        <v>2168</v>
      </c>
      <c r="D29" s="123" t="s">
        <v>2180</v>
      </c>
      <c r="E29" s="124" t="s">
        <v>2181</v>
      </c>
      <c r="F29" s="124" t="s">
        <v>2182</v>
      </c>
      <c r="G29" s="125" t="s">
        <v>2183</v>
      </c>
      <c r="H29" s="12"/>
      <c r="I29" s="12"/>
      <c r="J29" s="12"/>
      <c r="K29" s="12"/>
      <c r="L29" s="12"/>
      <c r="M29" s="12"/>
      <c r="N29" s="12"/>
      <c r="O29" s="12"/>
      <c r="P29" s="12"/>
      <c r="Q29" s="12"/>
      <c r="R29" s="12"/>
      <c r="S29" s="12"/>
      <c r="T29" s="12"/>
      <c r="U29" s="12"/>
      <c r="V29" s="12"/>
      <c r="W29" s="12"/>
      <c r="X29" s="12"/>
      <c r="Y29" s="12"/>
      <c r="Z29" s="12"/>
    </row>
    <row r="30" spans="1:26" ht="22.5" customHeight="1">
      <c r="A30" s="6" t="s">
        <v>2081</v>
      </c>
      <c r="B30" s="122">
        <v>28</v>
      </c>
      <c r="C30" s="123" t="s">
        <v>1946</v>
      </c>
      <c r="D30" s="123" t="s">
        <v>2184</v>
      </c>
      <c r="E30" s="124" t="s">
        <v>2185</v>
      </c>
      <c r="F30" s="124" t="s">
        <v>2186</v>
      </c>
      <c r="G30" s="125" t="s">
        <v>2187</v>
      </c>
      <c r="H30" s="12"/>
      <c r="I30" s="12"/>
      <c r="J30" s="12"/>
      <c r="K30" s="12"/>
      <c r="L30" s="12"/>
      <c r="M30" s="12"/>
      <c r="N30" s="12"/>
      <c r="O30" s="12"/>
      <c r="P30" s="12"/>
      <c r="Q30" s="12"/>
      <c r="R30" s="12"/>
      <c r="S30" s="12"/>
      <c r="T30" s="12"/>
      <c r="U30" s="12"/>
      <c r="V30" s="12"/>
      <c r="W30" s="12"/>
      <c r="X30" s="12"/>
      <c r="Y30" s="12"/>
      <c r="Z30" s="12"/>
    </row>
    <row r="31" spans="1:26" ht="22.5" customHeight="1">
      <c r="A31" s="6" t="s">
        <v>2081</v>
      </c>
      <c r="B31" s="122">
        <v>29</v>
      </c>
      <c r="C31" s="123" t="s">
        <v>1946</v>
      </c>
      <c r="D31" s="123" t="s">
        <v>2188</v>
      </c>
      <c r="E31" s="124" t="s">
        <v>2189</v>
      </c>
      <c r="F31" s="127" t="s">
        <v>2190</v>
      </c>
      <c r="G31" s="126" t="s">
        <v>2191</v>
      </c>
      <c r="H31" s="12"/>
      <c r="I31" s="12"/>
      <c r="J31" s="12"/>
      <c r="K31" s="12"/>
      <c r="L31" s="12"/>
      <c r="M31" s="12"/>
      <c r="N31" s="12"/>
      <c r="O31" s="12"/>
      <c r="P31" s="12"/>
      <c r="Q31" s="12"/>
      <c r="R31" s="12"/>
      <c r="S31" s="12"/>
      <c r="T31" s="12"/>
      <c r="U31" s="12"/>
      <c r="V31" s="12"/>
      <c r="W31" s="12"/>
      <c r="X31" s="12"/>
      <c r="Y31" s="12"/>
      <c r="Z31" s="12"/>
    </row>
    <row r="32" spans="1:26" ht="22.5" customHeight="1">
      <c r="A32" s="6" t="s">
        <v>2081</v>
      </c>
      <c r="B32" s="122">
        <v>30</v>
      </c>
      <c r="C32" s="123" t="s">
        <v>1946</v>
      </c>
      <c r="D32" s="123" t="s">
        <v>2192</v>
      </c>
      <c r="E32" s="124" t="s">
        <v>2193</v>
      </c>
      <c r="F32" s="124" t="s">
        <v>2194</v>
      </c>
      <c r="G32" s="125" t="s">
        <v>2195</v>
      </c>
      <c r="H32" s="12"/>
      <c r="I32" s="12"/>
      <c r="J32" s="12"/>
      <c r="K32" s="12"/>
      <c r="L32" s="12"/>
      <c r="M32" s="12"/>
      <c r="N32" s="12"/>
      <c r="O32" s="12"/>
      <c r="P32" s="12"/>
      <c r="Q32" s="12"/>
      <c r="R32" s="12"/>
      <c r="S32" s="12"/>
      <c r="T32" s="12"/>
      <c r="U32" s="12"/>
      <c r="V32" s="12"/>
      <c r="W32" s="12"/>
      <c r="X32" s="12"/>
      <c r="Y32" s="12"/>
      <c r="Z32" s="12"/>
    </row>
    <row r="33" spans="1:26" ht="22.5" customHeight="1">
      <c r="A33" s="6" t="s">
        <v>2081</v>
      </c>
      <c r="B33" s="122">
        <v>31</v>
      </c>
      <c r="C33" s="123" t="s">
        <v>2192</v>
      </c>
      <c r="D33" s="123" t="s">
        <v>2196</v>
      </c>
      <c r="E33" s="124" t="s">
        <v>2197</v>
      </c>
      <c r="F33" s="124" t="s">
        <v>2198</v>
      </c>
      <c r="G33" s="125" t="s">
        <v>2195</v>
      </c>
      <c r="H33" s="12"/>
      <c r="I33" s="12"/>
      <c r="J33" s="12"/>
      <c r="K33" s="12"/>
      <c r="L33" s="12"/>
      <c r="M33" s="12"/>
      <c r="N33" s="12"/>
      <c r="O33" s="12"/>
      <c r="P33" s="12"/>
      <c r="Q33" s="12"/>
      <c r="R33" s="12"/>
      <c r="S33" s="12"/>
      <c r="T33" s="12"/>
      <c r="U33" s="12"/>
      <c r="V33" s="12"/>
      <c r="W33" s="12"/>
      <c r="X33" s="12"/>
      <c r="Y33" s="12"/>
      <c r="Z33" s="12"/>
    </row>
    <row r="34" spans="1:26" ht="22.5" customHeight="1">
      <c r="A34" s="6" t="s">
        <v>2081</v>
      </c>
      <c r="B34" s="122">
        <v>32</v>
      </c>
      <c r="C34" s="123" t="s">
        <v>2192</v>
      </c>
      <c r="D34" s="123" t="s">
        <v>2199</v>
      </c>
      <c r="E34" s="124" t="s">
        <v>2200</v>
      </c>
      <c r="F34" s="124" t="s">
        <v>2201</v>
      </c>
      <c r="G34" s="125" t="s">
        <v>2202</v>
      </c>
      <c r="H34" s="12"/>
      <c r="I34" s="12"/>
      <c r="J34" s="12"/>
      <c r="K34" s="12"/>
      <c r="L34" s="12"/>
      <c r="M34" s="12"/>
      <c r="N34" s="12"/>
      <c r="O34" s="12"/>
      <c r="P34" s="12"/>
      <c r="Q34" s="12"/>
      <c r="R34" s="12"/>
      <c r="S34" s="12"/>
      <c r="T34" s="12"/>
      <c r="U34" s="12"/>
      <c r="V34" s="12"/>
      <c r="W34" s="12"/>
      <c r="X34" s="12"/>
      <c r="Y34" s="12"/>
      <c r="Z34" s="12"/>
    </row>
    <row r="35" spans="1:26" ht="22.5" customHeight="1">
      <c r="A35" s="6" t="s">
        <v>2081</v>
      </c>
      <c r="B35" s="122">
        <v>33</v>
      </c>
      <c r="C35" s="123" t="s">
        <v>2192</v>
      </c>
      <c r="D35" s="123" t="s">
        <v>2203</v>
      </c>
      <c r="E35" s="124" t="s">
        <v>2204</v>
      </c>
      <c r="F35" s="124" t="s">
        <v>2205</v>
      </c>
      <c r="G35" s="125" t="s">
        <v>2202</v>
      </c>
      <c r="H35" s="12"/>
      <c r="I35" s="12"/>
      <c r="J35" s="12"/>
      <c r="K35" s="12"/>
      <c r="L35" s="12"/>
      <c r="M35" s="12"/>
      <c r="N35" s="12"/>
      <c r="O35" s="12"/>
      <c r="P35" s="12"/>
      <c r="Q35" s="12"/>
      <c r="R35" s="12"/>
      <c r="S35" s="12"/>
      <c r="T35" s="12"/>
      <c r="U35" s="12"/>
      <c r="V35" s="12"/>
      <c r="W35" s="12"/>
      <c r="X35" s="12"/>
      <c r="Y35" s="12"/>
      <c r="Z35" s="12"/>
    </row>
    <row r="36" spans="1:26" ht="22.5" customHeight="1">
      <c r="A36" s="6" t="s">
        <v>2081</v>
      </c>
      <c r="B36" s="122">
        <v>34</v>
      </c>
      <c r="C36" s="123">
        <v>3.1</v>
      </c>
      <c r="D36" s="123" t="s">
        <v>2206</v>
      </c>
      <c r="E36" s="124" t="s">
        <v>2207</v>
      </c>
      <c r="F36" s="124" t="s">
        <v>2208</v>
      </c>
      <c r="G36" s="126" t="s">
        <v>2209</v>
      </c>
      <c r="H36" s="12"/>
      <c r="I36" s="12"/>
      <c r="J36" s="12"/>
      <c r="K36" s="12"/>
      <c r="L36" s="12"/>
      <c r="M36" s="12"/>
      <c r="N36" s="12"/>
      <c r="O36" s="12"/>
      <c r="P36" s="12"/>
      <c r="Q36" s="12"/>
      <c r="R36" s="12"/>
      <c r="S36" s="12"/>
      <c r="T36" s="12"/>
      <c r="U36" s="12"/>
      <c r="V36" s="12"/>
      <c r="W36" s="12"/>
      <c r="X36" s="12"/>
      <c r="Y36" s="12"/>
      <c r="Z36" s="12"/>
    </row>
    <row r="37" spans="1:26" ht="22.5" customHeight="1">
      <c r="A37" s="6" t="s">
        <v>2081</v>
      </c>
      <c r="B37" s="122">
        <v>35</v>
      </c>
      <c r="C37" s="123">
        <v>3.2</v>
      </c>
      <c r="D37" s="123" t="s">
        <v>2210</v>
      </c>
      <c r="E37" s="124" t="s">
        <v>2211</v>
      </c>
      <c r="F37" s="124" t="s">
        <v>2212</v>
      </c>
      <c r="G37" s="126" t="s">
        <v>2213</v>
      </c>
      <c r="H37" s="12"/>
      <c r="I37" s="12"/>
      <c r="J37" s="12"/>
      <c r="K37" s="12"/>
      <c r="L37" s="12"/>
      <c r="M37" s="12"/>
      <c r="N37" s="12"/>
      <c r="O37" s="12"/>
      <c r="P37" s="12"/>
      <c r="Q37" s="12"/>
      <c r="R37" s="12"/>
      <c r="S37" s="12"/>
      <c r="T37" s="12"/>
      <c r="U37" s="12"/>
      <c r="V37" s="12"/>
      <c r="W37" s="12"/>
      <c r="X37" s="12"/>
      <c r="Y37" s="12"/>
      <c r="Z37" s="12"/>
    </row>
    <row r="38" spans="1:26" ht="22.5" customHeight="1">
      <c r="A38" s="6" t="s">
        <v>2081</v>
      </c>
      <c r="B38" s="122">
        <v>36</v>
      </c>
      <c r="C38" s="123" t="s">
        <v>2210</v>
      </c>
      <c r="D38" s="123" t="s">
        <v>2214</v>
      </c>
      <c r="E38" s="124" t="s">
        <v>2215</v>
      </c>
      <c r="F38" s="124" t="s">
        <v>2216</v>
      </c>
      <c r="G38" s="126" t="s">
        <v>2217</v>
      </c>
      <c r="H38" s="12"/>
      <c r="I38" s="12"/>
      <c r="J38" s="12"/>
      <c r="K38" s="12"/>
      <c r="L38" s="12"/>
      <c r="M38" s="12"/>
      <c r="N38" s="12"/>
      <c r="O38" s="12"/>
      <c r="P38" s="12"/>
      <c r="Q38" s="12"/>
      <c r="R38" s="12"/>
      <c r="S38" s="12"/>
      <c r="T38" s="12"/>
      <c r="U38" s="12"/>
      <c r="V38" s="12"/>
      <c r="W38" s="12"/>
      <c r="X38" s="12"/>
      <c r="Y38" s="12"/>
      <c r="Z38" s="12"/>
    </row>
    <row r="39" spans="1:26" ht="22.5" customHeight="1">
      <c r="A39" s="6" t="s">
        <v>2081</v>
      </c>
      <c r="B39" s="122">
        <v>37</v>
      </c>
      <c r="C39" s="123" t="s">
        <v>2210</v>
      </c>
      <c r="D39" s="123" t="s">
        <v>2218</v>
      </c>
      <c r="E39" s="124" t="s">
        <v>2219</v>
      </c>
      <c r="F39" s="124" t="s">
        <v>2220</v>
      </c>
      <c r="G39" s="126" t="s">
        <v>2221</v>
      </c>
      <c r="H39" s="12"/>
      <c r="I39" s="12"/>
      <c r="J39" s="12"/>
      <c r="K39" s="12"/>
      <c r="L39" s="12"/>
      <c r="M39" s="12"/>
      <c r="N39" s="12"/>
      <c r="O39" s="12"/>
      <c r="P39" s="12"/>
      <c r="Q39" s="12"/>
      <c r="R39" s="12"/>
      <c r="S39" s="12"/>
      <c r="T39" s="12"/>
      <c r="U39" s="12"/>
      <c r="V39" s="12"/>
      <c r="W39" s="12"/>
      <c r="X39" s="12"/>
      <c r="Y39" s="12"/>
      <c r="Z39" s="12"/>
    </row>
    <row r="40" spans="1:26" ht="22.5" customHeight="1">
      <c r="A40" s="6" t="s">
        <v>2081</v>
      </c>
      <c r="B40" s="122">
        <v>38</v>
      </c>
      <c r="C40" s="123" t="s">
        <v>2218</v>
      </c>
      <c r="D40" s="123" t="s">
        <v>2222</v>
      </c>
      <c r="E40" s="124" t="s">
        <v>2223</v>
      </c>
      <c r="F40" s="124" t="s">
        <v>2224</v>
      </c>
      <c r="G40" s="125" t="s">
        <v>2225</v>
      </c>
      <c r="H40" s="12"/>
      <c r="I40" s="12"/>
      <c r="J40" s="12"/>
      <c r="K40" s="12"/>
      <c r="L40" s="12"/>
      <c r="M40" s="12"/>
      <c r="N40" s="12"/>
      <c r="O40" s="12"/>
      <c r="P40" s="12"/>
      <c r="Q40" s="12"/>
      <c r="R40" s="12"/>
      <c r="S40" s="12"/>
      <c r="T40" s="12"/>
      <c r="U40" s="12"/>
      <c r="V40" s="12"/>
      <c r="W40" s="12"/>
      <c r="X40" s="12"/>
      <c r="Y40" s="12"/>
      <c r="Z40" s="12"/>
    </row>
    <row r="41" spans="1:26" ht="22.5" customHeight="1">
      <c r="A41" s="6" t="s">
        <v>2081</v>
      </c>
      <c r="B41" s="122">
        <v>39</v>
      </c>
      <c r="C41" s="123" t="s">
        <v>2218</v>
      </c>
      <c r="D41" s="123" t="s">
        <v>2226</v>
      </c>
      <c r="E41" s="124" t="s">
        <v>2227</v>
      </c>
      <c r="F41" s="124" t="s">
        <v>2228</v>
      </c>
      <c r="G41" s="126" t="s">
        <v>2217</v>
      </c>
      <c r="H41" s="12"/>
      <c r="I41" s="12"/>
      <c r="J41" s="12"/>
      <c r="K41" s="12"/>
      <c r="L41" s="12"/>
      <c r="M41" s="12"/>
      <c r="N41" s="12"/>
      <c r="O41" s="12"/>
      <c r="P41" s="12"/>
      <c r="Q41" s="12"/>
      <c r="R41" s="12"/>
      <c r="S41" s="12"/>
      <c r="T41" s="12"/>
      <c r="U41" s="12"/>
      <c r="V41" s="12"/>
      <c r="W41" s="12"/>
      <c r="X41" s="12"/>
      <c r="Y41" s="12"/>
      <c r="Z41" s="12"/>
    </row>
    <row r="42" spans="1:26" ht="22.5" customHeight="1">
      <c r="A42" s="6" t="s">
        <v>2081</v>
      </c>
      <c r="B42" s="122">
        <v>40</v>
      </c>
      <c r="C42" s="123" t="s">
        <v>2210</v>
      </c>
      <c r="D42" s="123" t="s">
        <v>2229</v>
      </c>
      <c r="E42" s="124" t="s">
        <v>2230</v>
      </c>
      <c r="F42" s="127" t="s">
        <v>2231</v>
      </c>
      <c r="G42" s="126" t="s">
        <v>2217</v>
      </c>
      <c r="H42" s="12"/>
      <c r="I42" s="12"/>
      <c r="J42" s="12"/>
      <c r="K42" s="12"/>
      <c r="L42" s="12"/>
      <c r="M42" s="12"/>
      <c r="N42" s="12"/>
      <c r="O42" s="12"/>
      <c r="P42" s="12"/>
      <c r="Q42" s="12"/>
      <c r="R42" s="12"/>
      <c r="S42" s="12"/>
      <c r="T42" s="12"/>
      <c r="U42" s="12"/>
      <c r="V42" s="12"/>
      <c r="W42" s="12"/>
      <c r="X42" s="12"/>
      <c r="Y42" s="12"/>
      <c r="Z42" s="12"/>
    </row>
    <row r="43" spans="1:26" ht="22.5" customHeight="1">
      <c r="A43" s="6" t="s">
        <v>2081</v>
      </c>
      <c r="B43" s="122">
        <v>41</v>
      </c>
      <c r="C43" s="123" t="s">
        <v>2210</v>
      </c>
      <c r="D43" s="123" t="s">
        <v>2232</v>
      </c>
      <c r="E43" s="124" t="s">
        <v>2233</v>
      </c>
      <c r="F43" s="127" t="s">
        <v>2234</v>
      </c>
      <c r="G43" s="126" t="s">
        <v>2235</v>
      </c>
      <c r="H43" s="12"/>
      <c r="I43" s="12"/>
      <c r="J43" s="12"/>
      <c r="K43" s="12"/>
      <c r="L43" s="12"/>
      <c r="M43" s="12"/>
      <c r="N43" s="12"/>
      <c r="O43" s="12"/>
      <c r="P43" s="12"/>
      <c r="Q43" s="12"/>
      <c r="R43" s="12"/>
      <c r="S43" s="12"/>
      <c r="T43" s="12"/>
      <c r="U43" s="12"/>
      <c r="V43" s="12"/>
      <c r="W43" s="12"/>
      <c r="X43" s="12"/>
      <c r="Y43" s="12"/>
      <c r="Z43" s="12"/>
    </row>
    <row r="44" spans="1:26" ht="22.5" customHeight="1">
      <c r="A44" s="6" t="s">
        <v>2081</v>
      </c>
      <c r="B44" s="122">
        <v>42</v>
      </c>
      <c r="C44" s="123" t="s">
        <v>2232</v>
      </c>
      <c r="D44" s="123" t="s">
        <v>2236</v>
      </c>
      <c r="E44" s="124" t="s">
        <v>2237</v>
      </c>
      <c r="F44" s="127" t="s">
        <v>2238</v>
      </c>
      <c r="G44" s="126" t="s">
        <v>2239</v>
      </c>
      <c r="H44" s="12"/>
      <c r="I44" s="12"/>
      <c r="J44" s="12"/>
      <c r="K44" s="12"/>
      <c r="L44" s="12"/>
      <c r="M44" s="12"/>
      <c r="N44" s="12"/>
      <c r="O44" s="12"/>
      <c r="P44" s="12"/>
      <c r="Q44" s="12"/>
      <c r="R44" s="12"/>
      <c r="S44" s="12"/>
      <c r="T44" s="12"/>
      <c r="U44" s="12"/>
      <c r="V44" s="12"/>
      <c r="W44" s="12"/>
      <c r="X44" s="12"/>
      <c r="Y44" s="12"/>
      <c r="Z44" s="12"/>
    </row>
    <row r="45" spans="1:26" ht="22.5" customHeight="1">
      <c r="A45" s="6" t="s">
        <v>2081</v>
      </c>
      <c r="B45" s="122">
        <v>43</v>
      </c>
      <c r="C45" s="123" t="s">
        <v>2232</v>
      </c>
      <c r="D45" s="123" t="s">
        <v>2240</v>
      </c>
      <c r="E45" s="124" t="s">
        <v>2241</v>
      </c>
      <c r="F45" s="124" t="s">
        <v>2242</v>
      </c>
      <c r="G45" s="126" t="s">
        <v>2243</v>
      </c>
      <c r="H45" s="12"/>
      <c r="I45" s="12"/>
      <c r="J45" s="12"/>
      <c r="K45" s="12"/>
      <c r="L45" s="12"/>
      <c r="M45" s="12"/>
      <c r="N45" s="12"/>
      <c r="O45" s="12"/>
      <c r="P45" s="12"/>
      <c r="Q45" s="12"/>
      <c r="R45" s="12"/>
      <c r="S45" s="12"/>
      <c r="T45" s="12"/>
      <c r="U45" s="12"/>
      <c r="V45" s="12"/>
      <c r="W45" s="12"/>
      <c r="X45" s="12"/>
      <c r="Y45" s="12"/>
      <c r="Z45" s="12"/>
    </row>
    <row r="46" spans="1:26" ht="22.5" customHeight="1">
      <c r="A46" s="6" t="s">
        <v>2081</v>
      </c>
      <c r="B46" s="122">
        <v>44</v>
      </c>
      <c r="C46" s="123" t="s">
        <v>2232</v>
      </c>
      <c r="D46" s="123" t="s">
        <v>2244</v>
      </c>
      <c r="E46" s="124" t="s">
        <v>2245</v>
      </c>
      <c r="F46" s="127" t="s">
        <v>2246</v>
      </c>
      <c r="G46" s="126" t="s">
        <v>2247</v>
      </c>
      <c r="H46" s="12"/>
      <c r="I46" s="12"/>
      <c r="J46" s="12"/>
      <c r="K46" s="12"/>
      <c r="L46" s="12"/>
      <c r="M46" s="12"/>
      <c r="N46" s="12"/>
      <c r="O46" s="12"/>
      <c r="P46" s="12"/>
      <c r="Q46" s="12"/>
      <c r="R46" s="12"/>
      <c r="S46" s="12"/>
      <c r="T46" s="12"/>
      <c r="U46" s="12"/>
      <c r="V46" s="12"/>
      <c r="W46" s="12"/>
      <c r="X46" s="12"/>
      <c r="Y46" s="12"/>
      <c r="Z46" s="12"/>
    </row>
    <row r="47" spans="1:26" ht="22.5" customHeight="1">
      <c r="A47" s="6" t="s">
        <v>2081</v>
      </c>
      <c r="B47" s="122">
        <v>45</v>
      </c>
      <c r="C47" s="123" t="s">
        <v>2232</v>
      </c>
      <c r="D47" s="123" t="s">
        <v>2248</v>
      </c>
      <c r="E47" s="124" t="s">
        <v>2249</v>
      </c>
      <c r="F47" s="124" t="s">
        <v>2250</v>
      </c>
      <c r="G47" s="125" t="s">
        <v>2251</v>
      </c>
      <c r="H47" s="12"/>
      <c r="I47" s="12"/>
      <c r="J47" s="12"/>
      <c r="K47" s="12"/>
      <c r="L47" s="12"/>
      <c r="M47" s="12"/>
      <c r="N47" s="12"/>
      <c r="O47" s="12"/>
      <c r="P47" s="12"/>
      <c r="Q47" s="12"/>
      <c r="R47" s="12"/>
      <c r="S47" s="12"/>
      <c r="T47" s="12"/>
      <c r="U47" s="12"/>
      <c r="V47" s="12"/>
      <c r="W47" s="12"/>
      <c r="X47" s="12"/>
      <c r="Y47" s="12"/>
      <c r="Z47" s="12"/>
    </row>
    <row r="48" spans="1:26" ht="22.5" customHeight="1">
      <c r="A48" s="6" t="s">
        <v>2081</v>
      </c>
      <c r="B48" s="122">
        <v>46</v>
      </c>
      <c r="C48" s="123" t="s">
        <v>2232</v>
      </c>
      <c r="D48" s="123" t="s">
        <v>2252</v>
      </c>
      <c r="E48" s="124" t="s">
        <v>2253</v>
      </c>
      <c r="F48" s="127" t="s">
        <v>2254</v>
      </c>
      <c r="G48" s="125" t="s">
        <v>2255</v>
      </c>
      <c r="H48" s="12"/>
      <c r="I48" s="12"/>
      <c r="J48" s="12"/>
      <c r="K48" s="12"/>
      <c r="L48" s="12"/>
      <c r="M48" s="12"/>
      <c r="N48" s="12"/>
      <c r="O48" s="12"/>
      <c r="P48" s="12"/>
      <c r="Q48" s="12"/>
      <c r="R48" s="12"/>
      <c r="S48" s="12"/>
      <c r="T48" s="12"/>
      <c r="U48" s="12"/>
      <c r="V48" s="12"/>
      <c r="W48" s="12"/>
      <c r="X48" s="12"/>
      <c r="Y48" s="12"/>
      <c r="Z48" s="12"/>
    </row>
    <row r="49" spans="1:26" ht="22.5" customHeight="1">
      <c r="A49" s="6" t="s">
        <v>2081</v>
      </c>
      <c r="B49" s="122">
        <v>47</v>
      </c>
      <c r="C49" s="123" t="s">
        <v>2232</v>
      </c>
      <c r="D49" s="123" t="s">
        <v>2256</v>
      </c>
      <c r="E49" s="124" t="s">
        <v>2257</v>
      </c>
      <c r="F49" s="124" t="s">
        <v>2258</v>
      </c>
      <c r="G49" s="126" t="s">
        <v>2259</v>
      </c>
      <c r="H49" s="12"/>
      <c r="I49" s="12"/>
      <c r="J49" s="12"/>
      <c r="K49" s="12"/>
      <c r="L49" s="12"/>
      <c r="M49" s="12"/>
      <c r="N49" s="12"/>
      <c r="O49" s="12"/>
      <c r="P49" s="12"/>
      <c r="Q49" s="12"/>
      <c r="R49" s="12"/>
      <c r="S49" s="12"/>
      <c r="T49" s="12"/>
      <c r="U49" s="12"/>
      <c r="V49" s="12"/>
      <c r="W49" s="12"/>
      <c r="X49" s="12"/>
      <c r="Y49" s="12"/>
      <c r="Z49" s="12"/>
    </row>
    <row r="50" spans="1:26" ht="22.5" customHeight="1">
      <c r="A50" s="6" t="s">
        <v>2081</v>
      </c>
      <c r="B50" s="122">
        <v>48</v>
      </c>
      <c r="C50" s="123" t="s">
        <v>2260</v>
      </c>
      <c r="D50" s="123" t="s">
        <v>2261</v>
      </c>
      <c r="E50" s="124" t="s">
        <v>2262</v>
      </c>
      <c r="F50" s="128" t="s">
        <v>2263</v>
      </c>
      <c r="G50" s="125" t="s">
        <v>2264</v>
      </c>
      <c r="H50" s="12"/>
      <c r="I50" s="12"/>
      <c r="J50" s="12"/>
      <c r="K50" s="12"/>
      <c r="L50" s="12"/>
      <c r="M50" s="12"/>
      <c r="N50" s="12"/>
      <c r="O50" s="12"/>
      <c r="P50" s="12"/>
      <c r="Q50" s="12"/>
      <c r="R50" s="12"/>
      <c r="S50" s="12"/>
      <c r="T50" s="12"/>
      <c r="U50" s="12"/>
      <c r="V50" s="12"/>
      <c r="W50" s="12"/>
      <c r="X50" s="12"/>
      <c r="Y50" s="12"/>
      <c r="Z50" s="12"/>
    </row>
    <row r="51" spans="1:26" ht="22.5" customHeight="1">
      <c r="A51" s="6" t="s">
        <v>2081</v>
      </c>
      <c r="B51" s="122">
        <v>49</v>
      </c>
      <c r="C51" s="123" t="s">
        <v>2260</v>
      </c>
      <c r="D51" s="123" t="s">
        <v>2265</v>
      </c>
      <c r="E51" s="124" t="s">
        <v>2266</v>
      </c>
      <c r="F51" s="128" t="s">
        <v>2267</v>
      </c>
      <c r="G51" s="126" t="s">
        <v>2268</v>
      </c>
      <c r="H51" s="12"/>
      <c r="I51" s="12"/>
      <c r="J51" s="12"/>
      <c r="K51" s="12"/>
      <c r="L51" s="12"/>
      <c r="M51" s="12"/>
      <c r="N51" s="12"/>
      <c r="O51" s="12"/>
      <c r="P51" s="12"/>
      <c r="Q51" s="12"/>
      <c r="R51" s="12"/>
      <c r="S51" s="12"/>
      <c r="T51" s="12"/>
      <c r="U51" s="12"/>
      <c r="V51" s="12"/>
      <c r="W51" s="12"/>
      <c r="X51" s="12"/>
      <c r="Y51" s="12"/>
      <c r="Z51" s="12"/>
    </row>
    <row r="52" spans="1:26" ht="22.5" customHeight="1">
      <c r="A52" s="6" t="s">
        <v>2081</v>
      </c>
      <c r="B52" s="122">
        <v>50</v>
      </c>
      <c r="C52" s="123" t="s">
        <v>2260</v>
      </c>
      <c r="D52" s="123" t="s">
        <v>2269</v>
      </c>
      <c r="E52" s="124" t="s">
        <v>2270</v>
      </c>
      <c r="F52" s="128" t="s">
        <v>2271</v>
      </c>
      <c r="G52" s="125" t="s">
        <v>2272</v>
      </c>
      <c r="H52" s="12"/>
      <c r="I52" s="12"/>
      <c r="J52" s="12"/>
      <c r="K52" s="12"/>
      <c r="L52" s="12"/>
      <c r="M52" s="12"/>
      <c r="N52" s="12"/>
      <c r="O52" s="12"/>
      <c r="P52" s="12"/>
      <c r="Q52" s="12"/>
      <c r="R52" s="12"/>
      <c r="S52" s="12"/>
      <c r="T52" s="12"/>
      <c r="U52" s="12"/>
      <c r="V52" s="12"/>
      <c r="W52" s="12"/>
      <c r="X52" s="12"/>
      <c r="Y52" s="12"/>
      <c r="Z52" s="12"/>
    </row>
    <row r="53" spans="1:26" ht="22.5" customHeight="1">
      <c r="A53" s="6" t="s">
        <v>2081</v>
      </c>
      <c r="B53" s="122">
        <v>51</v>
      </c>
      <c r="C53" s="123" t="s">
        <v>2260</v>
      </c>
      <c r="D53" s="123" t="s">
        <v>2273</v>
      </c>
      <c r="E53" s="124" t="s">
        <v>2274</v>
      </c>
      <c r="F53" s="128" t="s">
        <v>2275</v>
      </c>
      <c r="G53" s="125" t="s">
        <v>2276</v>
      </c>
      <c r="H53" s="12"/>
      <c r="I53" s="12"/>
      <c r="J53" s="12"/>
      <c r="K53" s="12"/>
      <c r="L53" s="12"/>
      <c r="M53" s="12"/>
      <c r="N53" s="12"/>
      <c r="O53" s="12"/>
      <c r="P53" s="12"/>
      <c r="Q53" s="12"/>
      <c r="R53" s="12"/>
      <c r="S53" s="12"/>
      <c r="T53" s="12"/>
      <c r="U53" s="12"/>
      <c r="V53" s="12"/>
      <c r="W53" s="12"/>
      <c r="X53" s="12"/>
      <c r="Y53" s="12"/>
      <c r="Z53" s="12"/>
    </row>
    <row r="54" spans="1:26" ht="22.5" customHeight="1">
      <c r="A54" s="6" t="s">
        <v>2081</v>
      </c>
      <c r="B54" s="122">
        <v>52</v>
      </c>
      <c r="C54" s="123" t="s">
        <v>2260</v>
      </c>
      <c r="D54" s="123" t="s">
        <v>2277</v>
      </c>
      <c r="E54" s="124" t="s">
        <v>2278</v>
      </c>
      <c r="F54" s="128" t="s">
        <v>2279</v>
      </c>
      <c r="G54" s="126" t="s">
        <v>2280</v>
      </c>
      <c r="H54" s="12"/>
      <c r="I54" s="12"/>
      <c r="J54" s="12"/>
      <c r="K54" s="12"/>
      <c r="L54" s="12"/>
      <c r="M54" s="12"/>
      <c r="N54" s="12"/>
      <c r="O54" s="12"/>
      <c r="P54" s="12"/>
      <c r="Q54" s="12"/>
      <c r="R54" s="12"/>
      <c r="S54" s="12"/>
      <c r="T54" s="12"/>
      <c r="U54" s="12"/>
      <c r="V54" s="12"/>
      <c r="W54" s="12"/>
      <c r="X54" s="12"/>
      <c r="Y54" s="12"/>
      <c r="Z54" s="12"/>
    </row>
    <row r="55" spans="1:26" ht="22.5" customHeight="1">
      <c r="A55" s="6" t="s">
        <v>2081</v>
      </c>
      <c r="B55" s="122">
        <v>53</v>
      </c>
      <c r="C55" s="123" t="s">
        <v>2260</v>
      </c>
      <c r="D55" s="123" t="s">
        <v>2281</v>
      </c>
      <c r="E55" s="124" t="s">
        <v>2282</v>
      </c>
      <c r="F55" s="128" t="s">
        <v>2283</v>
      </c>
      <c r="G55" s="126" t="s">
        <v>2284</v>
      </c>
      <c r="H55" s="12"/>
      <c r="I55" s="12"/>
      <c r="J55" s="12"/>
      <c r="K55" s="12"/>
      <c r="L55" s="12"/>
      <c r="M55" s="12"/>
      <c r="N55" s="12"/>
      <c r="O55" s="12"/>
      <c r="P55" s="12"/>
      <c r="Q55" s="12"/>
      <c r="R55" s="12"/>
      <c r="S55" s="12"/>
      <c r="T55" s="12"/>
      <c r="U55" s="12"/>
      <c r="V55" s="12"/>
      <c r="W55" s="12"/>
      <c r="X55" s="12"/>
      <c r="Y55" s="12"/>
      <c r="Z55" s="12"/>
    </row>
    <row r="56" spans="1:26" ht="22.5" customHeight="1">
      <c r="A56" s="6" t="s">
        <v>2081</v>
      </c>
      <c r="B56" s="122">
        <v>54</v>
      </c>
      <c r="C56" s="123" t="s">
        <v>2260</v>
      </c>
      <c r="D56" s="123" t="s">
        <v>2285</v>
      </c>
      <c r="E56" s="124" t="s">
        <v>2286</v>
      </c>
      <c r="F56" s="128" t="s">
        <v>2287</v>
      </c>
      <c r="G56" s="126" t="s">
        <v>2288</v>
      </c>
      <c r="H56" s="12"/>
      <c r="I56" s="12"/>
      <c r="J56" s="12"/>
      <c r="K56" s="12"/>
      <c r="L56" s="12"/>
      <c r="M56" s="12"/>
      <c r="N56" s="12"/>
      <c r="O56" s="12"/>
      <c r="P56" s="12"/>
      <c r="Q56" s="12"/>
      <c r="R56" s="12"/>
      <c r="S56" s="12"/>
      <c r="T56" s="12"/>
      <c r="U56" s="12"/>
      <c r="V56" s="12"/>
      <c r="W56" s="12"/>
      <c r="X56" s="12"/>
      <c r="Y56" s="12"/>
      <c r="Z56" s="12"/>
    </row>
    <row r="57" spans="1:26" ht="22.5" customHeight="1">
      <c r="A57" s="6" t="s">
        <v>2081</v>
      </c>
      <c r="B57" s="122">
        <v>55</v>
      </c>
      <c r="C57" s="123" t="s">
        <v>2260</v>
      </c>
      <c r="D57" s="123" t="s">
        <v>2289</v>
      </c>
      <c r="E57" s="124" t="s">
        <v>2290</v>
      </c>
      <c r="F57" s="128" t="s">
        <v>2291</v>
      </c>
      <c r="G57" s="125" t="s">
        <v>2292</v>
      </c>
      <c r="H57" s="12"/>
      <c r="I57" s="12"/>
      <c r="J57" s="12"/>
      <c r="K57" s="12"/>
      <c r="L57" s="12"/>
      <c r="M57" s="12"/>
      <c r="N57" s="12"/>
      <c r="O57" s="12"/>
      <c r="P57" s="12"/>
      <c r="Q57" s="12"/>
      <c r="R57" s="12"/>
      <c r="S57" s="12"/>
      <c r="T57" s="12"/>
      <c r="U57" s="12"/>
      <c r="V57" s="12"/>
      <c r="W57" s="12"/>
      <c r="X57" s="12"/>
      <c r="Y57" s="12"/>
      <c r="Z57" s="12"/>
    </row>
    <row r="58" spans="1:26" ht="22.5" customHeight="1">
      <c r="A58" s="6" t="s">
        <v>2081</v>
      </c>
      <c r="B58" s="122">
        <v>56</v>
      </c>
      <c r="C58" s="123" t="s">
        <v>1741</v>
      </c>
      <c r="D58" s="123" t="s">
        <v>1858</v>
      </c>
      <c r="E58" s="124" t="s">
        <v>2293</v>
      </c>
      <c r="F58" s="128" t="s">
        <v>2294</v>
      </c>
      <c r="G58" s="125" t="s">
        <v>2295</v>
      </c>
      <c r="H58" s="12"/>
      <c r="I58" s="12"/>
      <c r="J58" s="12"/>
      <c r="K58" s="12"/>
      <c r="L58" s="12"/>
      <c r="M58" s="12"/>
      <c r="N58" s="12"/>
      <c r="O58" s="12"/>
      <c r="P58" s="12"/>
      <c r="Q58" s="12"/>
      <c r="R58" s="12"/>
      <c r="S58" s="12"/>
      <c r="T58" s="12"/>
      <c r="U58" s="12"/>
      <c r="V58" s="12"/>
      <c r="W58" s="12"/>
      <c r="X58" s="12"/>
      <c r="Y58" s="12"/>
      <c r="Z58" s="12"/>
    </row>
    <row r="59" spans="1:26" ht="22.5" customHeight="1">
      <c r="A59" s="6" t="s">
        <v>2081</v>
      </c>
      <c r="B59" s="122">
        <v>57</v>
      </c>
      <c r="C59" s="123" t="s">
        <v>1741</v>
      </c>
      <c r="D59" s="123" t="s">
        <v>2296</v>
      </c>
      <c r="E59" s="124" t="s">
        <v>2297</v>
      </c>
      <c r="F59" s="128" t="s">
        <v>2298</v>
      </c>
      <c r="G59" s="126" t="s">
        <v>2299</v>
      </c>
      <c r="H59" s="12"/>
      <c r="I59" s="12"/>
      <c r="J59" s="12"/>
      <c r="K59" s="12"/>
      <c r="L59" s="12"/>
      <c r="M59" s="12"/>
      <c r="N59" s="12"/>
      <c r="O59" s="12"/>
      <c r="P59" s="12"/>
      <c r="Q59" s="12"/>
      <c r="R59" s="12"/>
      <c r="S59" s="12"/>
      <c r="T59" s="12"/>
      <c r="U59" s="12"/>
      <c r="V59" s="12"/>
      <c r="W59" s="12"/>
      <c r="X59" s="12"/>
      <c r="Y59" s="12"/>
      <c r="Z59" s="12"/>
    </row>
    <row r="60" spans="1:26" ht="22.5" customHeight="1">
      <c r="A60" s="6" t="s">
        <v>2081</v>
      </c>
      <c r="B60" s="122">
        <v>58</v>
      </c>
      <c r="C60" s="123">
        <v>3.2</v>
      </c>
      <c r="D60" s="123" t="s">
        <v>2300</v>
      </c>
      <c r="E60" s="124" t="s">
        <v>2301</v>
      </c>
      <c r="F60" s="128" t="s">
        <v>2302</v>
      </c>
      <c r="G60" s="126" t="s">
        <v>2303</v>
      </c>
      <c r="H60" s="12"/>
      <c r="I60" s="12"/>
      <c r="J60" s="12"/>
      <c r="K60" s="12"/>
      <c r="L60" s="12"/>
      <c r="M60" s="12"/>
      <c r="N60" s="12"/>
      <c r="O60" s="12"/>
      <c r="P60" s="12"/>
      <c r="Q60" s="12"/>
      <c r="R60" s="12"/>
      <c r="S60" s="12"/>
      <c r="T60" s="12"/>
      <c r="U60" s="12"/>
      <c r="V60" s="12"/>
      <c r="W60" s="12"/>
      <c r="X60" s="12"/>
      <c r="Y60" s="12"/>
      <c r="Z60" s="12"/>
    </row>
    <row r="61" spans="1:26" ht="22.5" customHeight="1">
      <c r="A61" s="6" t="s">
        <v>2081</v>
      </c>
      <c r="B61" s="122">
        <v>59</v>
      </c>
      <c r="C61" s="123">
        <v>3.2</v>
      </c>
      <c r="D61" s="123" t="s">
        <v>2304</v>
      </c>
      <c r="E61" s="124" t="s">
        <v>2305</v>
      </c>
      <c r="F61" s="128" t="s">
        <v>2306</v>
      </c>
      <c r="G61" s="126" t="s">
        <v>2307</v>
      </c>
      <c r="H61" s="12"/>
      <c r="I61" s="12"/>
      <c r="J61" s="12"/>
      <c r="K61" s="12"/>
      <c r="L61" s="12"/>
      <c r="M61" s="12"/>
      <c r="N61" s="12"/>
      <c r="O61" s="12"/>
      <c r="P61" s="12"/>
      <c r="Q61" s="12"/>
      <c r="R61" s="12"/>
      <c r="S61" s="12"/>
      <c r="T61" s="12"/>
      <c r="U61" s="12"/>
      <c r="V61" s="12"/>
      <c r="W61" s="12"/>
      <c r="X61" s="12"/>
      <c r="Y61" s="12"/>
      <c r="Z61" s="12"/>
    </row>
    <row r="62" spans="1:26" ht="22.5" customHeight="1">
      <c r="A62" s="6" t="s">
        <v>2081</v>
      </c>
      <c r="B62" s="122">
        <v>60</v>
      </c>
      <c r="C62" s="123" t="s">
        <v>2304</v>
      </c>
      <c r="D62" s="123" t="s">
        <v>2308</v>
      </c>
      <c r="E62" s="124" t="s">
        <v>2309</v>
      </c>
      <c r="F62" s="128" t="s">
        <v>2310</v>
      </c>
      <c r="G62" s="126" t="s">
        <v>2311</v>
      </c>
      <c r="H62" s="12"/>
      <c r="I62" s="12"/>
      <c r="J62" s="12"/>
      <c r="K62" s="12"/>
      <c r="L62" s="12"/>
      <c r="M62" s="12"/>
      <c r="N62" s="12"/>
      <c r="O62" s="12"/>
      <c r="P62" s="12"/>
      <c r="Q62" s="12"/>
      <c r="R62" s="12"/>
      <c r="S62" s="12"/>
      <c r="T62" s="12"/>
      <c r="U62" s="12"/>
      <c r="V62" s="12"/>
      <c r="W62" s="12"/>
      <c r="X62" s="12"/>
      <c r="Y62" s="12"/>
      <c r="Z62" s="12"/>
    </row>
    <row r="63" spans="1:26" ht="22.5" customHeight="1">
      <c r="A63" s="6" t="s">
        <v>2081</v>
      </c>
      <c r="B63" s="122">
        <v>61</v>
      </c>
      <c r="C63" s="123" t="s">
        <v>2304</v>
      </c>
      <c r="D63" s="123" t="s">
        <v>2312</v>
      </c>
      <c r="E63" s="124" t="s">
        <v>2313</v>
      </c>
      <c r="F63" s="128" t="s">
        <v>2314</v>
      </c>
      <c r="G63" s="126" t="s">
        <v>2315</v>
      </c>
      <c r="H63" s="12"/>
      <c r="I63" s="12"/>
      <c r="J63" s="12"/>
      <c r="K63" s="12"/>
      <c r="L63" s="12"/>
      <c r="M63" s="12"/>
      <c r="N63" s="12"/>
      <c r="O63" s="12"/>
      <c r="P63" s="12"/>
      <c r="Q63" s="12"/>
      <c r="R63" s="12"/>
      <c r="S63" s="12"/>
      <c r="T63" s="12"/>
      <c r="U63" s="12"/>
      <c r="V63" s="12"/>
      <c r="W63" s="12"/>
      <c r="X63" s="12"/>
      <c r="Y63" s="12"/>
      <c r="Z63" s="12"/>
    </row>
    <row r="64" spans="1:26" ht="22.5" customHeight="1">
      <c r="A64" s="6" t="s">
        <v>2081</v>
      </c>
      <c r="B64" s="122">
        <v>62</v>
      </c>
      <c r="C64" s="123" t="s">
        <v>2316</v>
      </c>
      <c r="D64" s="123" t="s">
        <v>2317</v>
      </c>
      <c r="E64" s="124" t="s">
        <v>2318</v>
      </c>
      <c r="F64" s="128" t="s">
        <v>2319</v>
      </c>
      <c r="G64" s="125" t="s">
        <v>2320</v>
      </c>
      <c r="H64" s="12"/>
      <c r="I64" s="12"/>
      <c r="J64" s="12"/>
      <c r="K64" s="12"/>
      <c r="L64" s="12"/>
      <c r="M64" s="12"/>
      <c r="N64" s="12"/>
      <c r="O64" s="12"/>
      <c r="P64" s="12"/>
      <c r="Q64" s="12"/>
      <c r="R64" s="12"/>
      <c r="S64" s="12"/>
      <c r="T64" s="12"/>
      <c r="U64" s="12"/>
      <c r="V64" s="12"/>
      <c r="W64" s="12"/>
      <c r="X64" s="12"/>
      <c r="Y64" s="12"/>
      <c r="Z64" s="12"/>
    </row>
    <row r="65" spans="1:26" ht="22.5" customHeight="1">
      <c r="A65" s="6" t="s">
        <v>2081</v>
      </c>
      <c r="B65" s="122">
        <v>63</v>
      </c>
      <c r="C65" s="123" t="s">
        <v>2316</v>
      </c>
      <c r="D65" s="123" t="s">
        <v>2321</v>
      </c>
      <c r="E65" s="124" t="s">
        <v>2322</v>
      </c>
      <c r="F65" s="128" t="s">
        <v>2323</v>
      </c>
      <c r="G65" s="126" t="s">
        <v>2324</v>
      </c>
      <c r="H65" s="12"/>
      <c r="I65" s="12"/>
      <c r="J65" s="12"/>
      <c r="K65" s="12"/>
      <c r="L65" s="12"/>
      <c r="M65" s="12"/>
      <c r="N65" s="12"/>
      <c r="O65" s="12"/>
      <c r="P65" s="12"/>
      <c r="Q65" s="12"/>
      <c r="R65" s="12"/>
      <c r="S65" s="12"/>
      <c r="T65" s="12"/>
      <c r="U65" s="12"/>
      <c r="V65" s="12"/>
      <c r="W65" s="12"/>
      <c r="X65" s="12"/>
      <c r="Y65" s="12"/>
      <c r="Z65" s="12"/>
    </row>
    <row r="66" spans="1:26" ht="22.5" customHeight="1">
      <c r="A66" s="6" t="s">
        <v>2081</v>
      </c>
      <c r="B66" s="122">
        <v>64</v>
      </c>
      <c r="C66" s="123" t="s">
        <v>2316</v>
      </c>
      <c r="D66" s="123" t="s">
        <v>2325</v>
      </c>
      <c r="E66" s="129" t="s">
        <v>2326</v>
      </c>
      <c r="F66" s="130" t="s">
        <v>2327</v>
      </c>
      <c r="G66" s="125" t="s">
        <v>2328</v>
      </c>
      <c r="H66" s="12"/>
      <c r="I66" s="12"/>
      <c r="J66" s="12"/>
      <c r="K66" s="12"/>
      <c r="L66" s="12"/>
      <c r="M66" s="12"/>
      <c r="N66" s="12"/>
      <c r="O66" s="12"/>
      <c r="P66" s="12"/>
      <c r="Q66" s="12"/>
      <c r="R66" s="12"/>
      <c r="S66" s="12"/>
      <c r="T66" s="12"/>
      <c r="U66" s="12"/>
      <c r="V66" s="12"/>
      <c r="W66" s="12"/>
      <c r="X66" s="12"/>
      <c r="Y66" s="12"/>
      <c r="Z66" s="12"/>
    </row>
    <row r="67" spans="1:26" ht="22.5" customHeight="1">
      <c r="A67" s="6" t="s">
        <v>2081</v>
      </c>
      <c r="B67" s="122">
        <v>65</v>
      </c>
      <c r="C67" s="123" t="s">
        <v>2316</v>
      </c>
      <c r="D67" s="123" t="s">
        <v>2329</v>
      </c>
      <c r="E67" s="124" t="s">
        <v>2330</v>
      </c>
      <c r="F67" s="128" t="s">
        <v>2331</v>
      </c>
      <c r="G67" s="125" t="s">
        <v>2332</v>
      </c>
      <c r="H67" s="12"/>
      <c r="I67" s="12"/>
      <c r="J67" s="12"/>
      <c r="K67" s="12"/>
      <c r="L67" s="12"/>
      <c r="M67" s="12"/>
      <c r="N67" s="12"/>
      <c r="O67" s="12"/>
      <c r="P67" s="12"/>
      <c r="Q67" s="12"/>
      <c r="R67" s="12"/>
      <c r="S67" s="12"/>
      <c r="T67" s="12"/>
      <c r="U67" s="12"/>
      <c r="V67" s="12"/>
      <c r="W67" s="12"/>
      <c r="X67" s="12"/>
      <c r="Y67" s="12"/>
      <c r="Z67" s="12"/>
    </row>
    <row r="68" spans="1:26" ht="22.5" customHeight="1">
      <c r="A68" s="6" t="s">
        <v>2081</v>
      </c>
      <c r="B68" s="122">
        <v>66</v>
      </c>
      <c r="C68" s="123" t="s">
        <v>2333</v>
      </c>
      <c r="D68" s="123" t="s">
        <v>2334</v>
      </c>
      <c r="E68" s="124" t="s">
        <v>2335</v>
      </c>
      <c r="F68" s="128" t="s">
        <v>2336</v>
      </c>
      <c r="G68" s="125" t="s">
        <v>2337</v>
      </c>
      <c r="H68" s="12"/>
      <c r="I68" s="12"/>
      <c r="J68" s="12"/>
      <c r="K68" s="12"/>
      <c r="L68" s="12"/>
      <c r="M68" s="12"/>
      <c r="N68" s="12"/>
      <c r="O68" s="12"/>
      <c r="P68" s="12"/>
      <c r="Q68" s="12"/>
      <c r="R68" s="12"/>
      <c r="S68" s="12"/>
      <c r="T68" s="12"/>
      <c r="U68" s="12"/>
      <c r="V68" s="12"/>
      <c r="W68" s="12"/>
      <c r="X68" s="12"/>
      <c r="Y68" s="12"/>
      <c r="Z68" s="12"/>
    </row>
    <row r="69" spans="1:26" ht="22.5" customHeight="1">
      <c r="A69" s="6" t="s">
        <v>2081</v>
      </c>
      <c r="B69" s="122">
        <v>67</v>
      </c>
      <c r="C69" s="123" t="s">
        <v>2333</v>
      </c>
      <c r="D69" s="123" t="s">
        <v>2338</v>
      </c>
      <c r="E69" s="124" t="s">
        <v>2339</v>
      </c>
      <c r="F69" s="128" t="s">
        <v>2340</v>
      </c>
      <c r="G69" s="125" t="s">
        <v>2341</v>
      </c>
      <c r="H69" s="12"/>
      <c r="I69" s="12"/>
      <c r="J69" s="12"/>
      <c r="K69" s="12"/>
      <c r="L69" s="12"/>
      <c r="M69" s="12"/>
      <c r="N69" s="12"/>
      <c r="O69" s="12"/>
      <c r="P69" s="12"/>
      <c r="Q69" s="12"/>
      <c r="R69" s="12"/>
      <c r="S69" s="12"/>
      <c r="T69" s="12"/>
      <c r="U69" s="12"/>
      <c r="V69" s="12"/>
      <c r="W69" s="12"/>
      <c r="X69" s="12"/>
      <c r="Y69" s="12"/>
      <c r="Z69" s="12"/>
    </row>
    <row r="70" spans="1:26" ht="22.5" customHeight="1">
      <c r="A70" s="6" t="s">
        <v>2081</v>
      </c>
      <c r="B70" s="122">
        <v>68</v>
      </c>
      <c r="C70" s="123" t="s">
        <v>2333</v>
      </c>
      <c r="D70" s="123" t="s">
        <v>2342</v>
      </c>
      <c r="E70" s="124" t="s">
        <v>2343</v>
      </c>
      <c r="F70" s="128" t="s">
        <v>2344</v>
      </c>
      <c r="G70" s="125" t="s">
        <v>2345</v>
      </c>
      <c r="H70" s="12"/>
      <c r="I70" s="12"/>
      <c r="J70" s="12"/>
      <c r="K70" s="12"/>
      <c r="L70" s="12"/>
      <c r="M70" s="12"/>
      <c r="N70" s="12"/>
      <c r="O70" s="12"/>
      <c r="P70" s="12"/>
      <c r="Q70" s="12"/>
      <c r="R70" s="12"/>
      <c r="S70" s="12"/>
      <c r="T70" s="12"/>
      <c r="U70" s="12"/>
      <c r="V70" s="12"/>
      <c r="W70" s="12"/>
      <c r="X70" s="12"/>
      <c r="Y70" s="12"/>
      <c r="Z70" s="12"/>
    </row>
    <row r="71" spans="1:26" ht="22.5" customHeight="1">
      <c r="A71" s="6" t="s">
        <v>2081</v>
      </c>
      <c r="B71" s="122">
        <v>69</v>
      </c>
      <c r="C71" s="123" t="s">
        <v>2333</v>
      </c>
      <c r="D71" s="123" t="s">
        <v>2346</v>
      </c>
      <c r="E71" s="124" t="s">
        <v>2347</v>
      </c>
      <c r="F71" s="128" t="s">
        <v>2348</v>
      </c>
      <c r="G71" s="125" t="s">
        <v>2349</v>
      </c>
      <c r="H71" s="12"/>
      <c r="I71" s="12"/>
      <c r="J71" s="12"/>
      <c r="K71" s="12"/>
      <c r="L71" s="12"/>
      <c r="M71" s="12"/>
      <c r="N71" s="12"/>
      <c r="O71" s="12"/>
      <c r="P71" s="12"/>
      <c r="Q71" s="12"/>
      <c r="R71" s="12"/>
      <c r="S71" s="12"/>
      <c r="T71" s="12"/>
      <c r="U71" s="12"/>
      <c r="V71" s="12"/>
      <c r="W71" s="12"/>
      <c r="X71" s="12"/>
      <c r="Y71" s="12"/>
      <c r="Z71" s="12"/>
    </row>
    <row r="72" spans="1:26" ht="22.5" customHeight="1">
      <c r="A72" s="6" t="s">
        <v>2081</v>
      </c>
      <c r="B72" s="122">
        <v>70</v>
      </c>
      <c r="C72" s="123" t="s">
        <v>2333</v>
      </c>
      <c r="D72" s="123" t="s">
        <v>2350</v>
      </c>
      <c r="E72" s="124" t="s">
        <v>2351</v>
      </c>
      <c r="F72" s="128" t="s">
        <v>2352</v>
      </c>
      <c r="G72" s="125" t="s">
        <v>2353</v>
      </c>
      <c r="H72" s="12"/>
      <c r="I72" s="12"/>
      <c r="J72" s="12"/>
      <c r="K72" s="12"/>
      <c r="L72" s="12"/>
      <c r="M72" s="12"/>
      <c r="N72" s="12"/>
      <c r="O72" s="12"/>
      <c r="P72" s="12"/>
      <c r="Q72" s="12"/>
      <c r="R72" s="12"/>
      <c r="S72" s="12"/>
      <c r="T72" s="12"/>
      <c r="U72" s="12"/>
      <c r="V72" s="12"/>
      <c r="W72" s="12"/>
      <c r="X72" s="12"/>
      <c r="Y72" s="12"/>
      <c r="Z72" s="12"/>
    </row>
    <row r="73" spans="1:26" ht="22.5" customHeight="1">
      <c r="A73" s="6" t="s">
        <v>2081</v>
      </c>
      <c r="B73" s="122">
        <v>71</v>
      </c>
      <c r="C73" s="123" t="s">
        <v>2316</v>
      </c>
      <c r="D73" s="123" t="s">
        <v>2354</v>
      </c>
      <c r="E73" s="124" t="s">
        <v>2355</v>
      </c>
      <c r="F73" s="128" t="s">
        <v>2356</v>
      </c>
      <c r="G73" s="125" t="s">
        <v>2357</v>
      </c>
      <c r="H73" s="12"/>
      <c r="I73" s="12"/>
      <c r="J73" s="12"/>
      <c r="K73" s="12"/>
      <c r="L73" s="12"/>
      <c r="M73" s="12"/>
      <c r="N73" s="12"/>
      <c r="O73" s="12"/>
      <c r="P73" s="12"/>
      <c r="Q73" s="12"/>
      <c r="R73" s="12"/>
      <c r="S73" s="12"/>
      <c r="T73" s="12"/>
      <c r="U73" s="12"/>
      <c r="V73" s="12"/>
      <c r="W73" s="12"/>
      <c r="X73" s="12"/>
      <c r="Y73" s="12"/>
      <c r="Z73" s="12"/>
    </row>
    <row r="74" spans="1:26" ht="22.5" customHeight="1">
      <c r="A74" s="6" t="s">
        <v>2081</v>
      </c>
      <c r="B74" s="122">
        <v>72</v>
      </c>
      <c r="C74" s="123" t="s">
        <v>2358</v>
      </c>
      <c r="D74" s="123" t="s">
        <v>2359</v>
      </c>
      <c r="E74" s="124" t="s">
        <v>2360</v>
      </c>
      <c r="F74" s="128" t="s">
        <v>2361</v>
      </c>
      <c r="G74" s="125" t="s">
        <v>2362</v>
      </c>
      <c r="H74" s="12"/>
      <c r="I74" s="12"/>
      <c r="J74" s="12"/>
      <c r="K74" s="12"/>
      <c r="L74" s="12"/>
      <c r="M74" s="12"/>
      <c r="N74" s="12"/>
      <c r="O74" s="12"/>
      <c r="P74" s="12"/>
      <c r="Q74" s="12"/>
      <c r="R74" s="12"/>
      <c r="S74" s="12"/>
      <c r="T74" s="12"/>
      <c r="U74" s="12"/>
      <c r="V74" s="12"/>
      <c r="W74" s="12"/>
      <c r="X74" s="12"/>
      <c r="Y74" s="12"/>
      <c r="Z74" s="12"/>
    </row>
    <row r="75" spans="1:26" ht="22.5" customHeight="1">
      <c r="A75" s="6" t="s">
        <v>2081</v>
      </c>
      <c r="B75" s="122">
        <v>73</v>
      </c>
      <c r="C75" s="123">
        <v>3.2</v>
      </c>
      <c r="D75" s="123" t="s">
        <v>2363</v>
      </c>
      <c r="E75" s="124" t="s">
        <v>2364</v>
      </c>
      <c r="F75" s="128" t="s">
        <v>2365</v>
      </c>
      <c r="G75" s="125" t="s">
        <v>2366</v>
      </c>
      <c r="H75" s="12"/>
      <c r="I75" s="12"/>
      <c r="J75" s="12"/>
      <c r="K75" s="12"/>
      <c r="L75" s="12"/>
      <c r="M75" s="12"/>
      <c r="N75" s="12"/>
      <c r="O75" s="12"/>
      <c r="P75" s="12"/>
      <c r="Q75" s="12"/>
      <c r="R75" s="12"/>
      <c r="S75" s="12"/>
      <c r="T75" s="12"/>
      <c r="U75" s="12"/>
      <c r="V75" s="12"/>
      <c r="W75" s="12"/>
      <c r="X75" s="12"/>
      <c r="Y75" s="12"/>
      <c r="Z75" s="12"/>
    </row>
    <row r="76" spans="1:26" ht="22.5" customHeight="1">
      <c r="A76" s="6" t="s">
        <v>2081</v>
      </c>
      <c r="B76" s="122">
        <v>74</v>
      </c>
      <c r="C76" s="123">
        <v>3.3</v>
      </c>
      <c r="D76" s="123" t="s">
        <v>2367</v>
      </c>
      <c r="E76" s="124" t="s">
        <v>2368</v>
      </c>
      <c r="F76" s="128" t="s">
        <v>2369</v>
      </c>
      <c r="G76" s="125" t="s">
        <v>2370</v>
      </c>
      <c r="H76" s="12"/>
      <c r="I76" s="12"/>
      <c r="J76" s="12"/>
      <c r="K76" s="12"/>
      <c r="L76" s="12"/>
      <c r="M76" s="12"/>
      <c r="N76" s="12"/>
      <c r="O76" s="12"/>
      <c r="P76" s="12"/>
      <c r="Q76" s="12"/>
      <c r="R76" s="12"/>
      <c r="S76" s="12"/>
      <c r="T76" s="12"/>
      <c r="U76" s="12"/>
      <c r="V76" s="12"/>
      <c r="W76" s="12"/>
      <c r="X76" s="12"/>
      <c r="Y76" s="12"/>
      <c r="Z76" s="12"/>
    </row>
    <row r="77" spans="1:26" ht="22.5" customHeight="1">
      <c r="A77" s="6" t="s">
        <v>2081</v>
      </c>
      <c r="B77" s="122">
        <v>75</v>
      </c>
      <c r="C77" s="123">
        <v>3.3</v>
      </c>
      <c r="D77" s="123" t="s">
        <v>2371</v>
      </c>
      <c r="E77" s="124" t="s">
        <v>2372</v>
      </c>
      <c r="F77" s="128" t="s">
        <v>2373</v>
      </c>
      <c r="G77" s="125" t="s">
        <v>2374</v>
      </c>
      <c r="H77" s="12"/>
      <c r="I77" s="12"/>
      <c r="J77" s="12"/>
      <c r="K77" s="12"/>
      <c r="L77" s="12"/>
      <c r="M77" s="12"/>
      <c r="N77" s="12"/>
      <c r="O77" s="12"/>
      <c r="P77" s="12"/>
      <c r="Q77" s="12"/>
      <c r="R77" s="12"/>
      <c r="S77" s="12"/>
      <c r="T77" s="12"/>
      <c r="U77" s="12"/>
      <c r="V77" s="12"/>
      <c r="W77" s="12"/>
      <c r="X77" s="12"/>
      <c r="Y77" s="12"/>
      <c r="Z77" s="12"/>
    </row>
    <row r="78" spans="1:26" ht="22.5" customHeight="1">
      <c r="A78" s="6" t="s">
        <v>2081</v>
      </c>
      <c r="B78" s="122">
        <v>76</v>
      </c>
      <c r="C78" s="123">
        <v>3.3</v>
      </c>
      <c r="D78" s="123" t="s">
        <v>2375</v>
      </c>
      <c r="E78" s="124" t="s">
        <v>2376</v>
      </c>
      <c r="F78" s="128" t="s">
        <v>2377</v>
      </c>
      <c r="G78" s="125" t="s">
        <v>2378</v>
      </c>
      <c r="H78" s="12"/>
      <c r="I78" s="12"/>
      <c r="J78" s="12"/>
      <c r="K78" s="12"/>
      <c r="L78" s="12"/>
      <c r="M78" s="12"/>
      <c r="N78" s="12"/>
      <c r="O78" s="12"/>
      <c r="P78" s="12"/>
      <c r="Q78" s="12"/>
      <c r="R78" s="12"/>
      <c r="S78" s="12"/>
      <c r="T78" s="12"/>
      <c r="U78" s="12"/>
      <c r="V78" s="12"/>
      <c r="W78" s="12"/>
      <c r="X78" s="12"/>
      <c r="Y78" s="12"/>
      <c r="Z78" s="12"/>
    </row>
    <row r="79" spans="1:26" ht="22.5" customHeight="1">
      <c r="A79" s="6" t="s">
        <v>2081</v>
      </c>
      <c r="B79" s="122">
        <v>77</v>
      </c>
      <c r="C79" s="123" t="s">
        <v>2379</v>
      </c>
      <c r="D79" s="123" t="s">
        <v>2380</v>
      </c>
      <c r="E79" s="124" t="s">
        <v>2381</v>
      </c>
      <c r="F79" s="128" t="s">
        <v>2382</v>
      </c>
      <c r="G79" s="126" t="s">
        <v>2383</v>
      </c>
      <c r="H79" s="12"/>
      <c r="I79" s="12"/>
      <c r="J79" s="12"/>
      <c r="K79" s="12"/>
      <c r="L79" s="12"/>
      <c r="M79" s="12"/>
      <c r="N79" s="12"/>
      <c r="O79" s="12"/>
      <c r="P79" s="12"/>
      <c r="Q79" s="12"/>
      <c r="R79" s="12"/>
      <c r="S79" s="12"/>
      <c r="T79" s="12"/>
      <c r="U79" s="12"/>
      <c r="V79" s="12"/>
      <c r="W79" s="12"/>
      <c r="X79" s="12"/>
      <c r="Y79" s="12"/>
      <c r="Z79" s="12"/>
    </row>
    <row r="80" spans="1:26" ht="22.5" customHeight="1">
      <c r="A80" s="6" t="s">
        <v>2081</v>
      </c>
      <c r="B80" s="122">
        <v>78</v>
      </c>
      <c r="C80" s="123" t="s">
        <v>2379</v>
      </c>
      <c r="D80" s="123" t="s">
        <v>2384</v>
      </c>
      <c r="E80" s="124" t="s">
        <v>2385</v>
      </c>
      <c r="F80" s="128" t="s">
        <v>2386</v>
      </c>
      <c r="G80" s="126" t="s">
        <v>2387</v>
      </c>
      <c r="H80" s="12"/>
      <c r="I80" s="12"/>
      <c r="J80" s="12"/>
      <c r="K80" s="12"/>
      <c r="L80" s="12"/>
      <c r="M80" s="12"/>
      <c r="N80" s="12"/>
      <c r="O80" s="12"/>
      <c r="P80" s="12"/>
      <c r="Q80" s="12"/>
      <c r="R80" s="12"/>
      <c r="S80" s="12"/>
      <c r="T80" s="12"/>
      <c r="U80" s="12"/>
      <c r="V80" s="12"/>
      <c r="W80" s="12"/>
      <c r="X80" s="12"/>
      <c r="Y80" s="12"/>
      <c r="Z80" s="12"/>
    </row>
    <row r="81" spans="1:26" ht="22.5" customHeight="1">
      <c r="A81" s="6" t="s">
        <v>2081</v>
      </c>
      <c r="B81" s="122">
        <v>79</v>
      </c>
      <c r="C81" s="123" t="s">
        <v>2379</v>
      </c>
      <c r="D81" s="123" t="s">
        <v>2388</v>
      </c>
      <c r="E81" s="124" t="s">
        <v>2389</v>
      </c>
      <c r="F81" s="128" t="s">
        <v>2390</v>
      </c>
      <c r="G81" s="125" t="s">
        <v>2391</v>
      </c>
      <c r="H81" s="12"/>
      <c r="I81" s="12"/>
      <c r="J81" s="12"/>
      <c r="K81" s="12"/>
      <c r="L81" s="12"/>
      <c r="M81" s="12"/>
      <c r="N81" s="12"/>
      <c r="O81" s="12"/>
      <c r="P81" s="12"/>
      <c r="Q81" s="12"/>
      <c r="R81" s="12"/>
      <c r="S81" s="12"/>
      <c r="T81" s="12"/>
      <c r="U81" s="12"/>
      <c r="V81" s="12"/>
      <c r="W81" s="12"/>
      <c r="X81" s="12"/>
      <c r="Y81" s="12"/>
      <c r="Z81" s="12"/>
    </row>
    <row r="82" spans="1:26" ht="22.5" customHeight="1">
      <c r="A82" s="6" t="s">
        <v>2081</v>
      </c>
      <c r="B82" s="122">
        <v>80</v>
      </c>
      <c r="C82" s="123" t="s">
        <v>2379</v>
      </c>
      <c r="D82" s="123" t="s">
        <v>2392</v>
      </c>
      <c r="E82" s="124" t="s">
        <v>2393</v>
      </c>
      <c r="F82" s="128" t="s">
        <v>2394</v>
      </c>
      <c r="G82" s="126" t="s">
        <v>2395</v>
      </c>
      <c r="H82" s="12"/>
      <c r="I82" s="12"/>
      <c r="J82" s="12"/>
      <c r="K82" s="12"/>
      <c r="L82" s="12"/>
      <c r="M82" s="12"/>
      <c r="N82" s="12"/>
      <c r="O82" s="12"/>
      <c r="P82" s="12"/>
      <c r="Q82" s="12"/>
      <c r="R82" s="12"/>
      <c r="S82" s="12"/>
      <c r="T82" s="12"/>
      <c r="U82" s="12"/>
      <c r="V82" s="12"/>
      <c r="W82" s="12"/>
      <c r="X82" s="12"/>
      <c r="Y82" s="12"/>
      <c r="Z82" s="12"/>
    </row>
    <row r="83" spans="1:26" ht="22.5" customHeight="1">
      <c r="A83" s="6" t="s">
        <v>2081</v>
      </c>
      <c r="B83" s="122">
        <v>81</v>
      </c>
      <c r="C83" s="123" t="s">
        <v>2379</v>
      </c>
      <c r="D83" s="123" t="s">
        <v>2396</v>
      </c>
      <c r="E83" s="124" t="s">
        <v>2397</v>
      </c>
      <c r="F83" s="128" t="s">
        <v>2398</v>
      </c>
      <c r="G83" s="125" t="s">
        <v>2399</v>
      </c>
      <c r="H83" s="12"/>
      <c r="I83" s="12"/>
      <c r="J83" s="12"/>
      <c r="K83" s="12"/>
      <c r="L83" s="12"/>
      <c r="M83" s="12"/>
      <c r="N83" s="12"/>
      <c r="O83" s="12"/>
      <c r="P83" s="12"/>
      <c r="Q83" s="12"/>
      <c r="R83" s="12"/>
      <c r="S83" s="12"/>
      <c r="T83" s="12"/>
      <c r="U83" s="12"/>
      <c r="V83" s="12"/>
      <c r="W83" s="12"/>
      <c r="X83" s="12"/>
      <c r="Y83" s="12"/>
      <c r="Z83" s="12"/>
    </row>
    <row r="84" spans="1:26" ht="22.5" customHeight="1">
      <c r="A84" s="6" t="s">
        <v>2081</v>
      </c>
      <c r="B84" s="122">
        <v>82</v>
      </c>
      <c r="C84" s="123">
        <v>3.3</v>
      </c>
      <c r="D84" s="123" t="s">
        <v>2400</v>
      </c>
      <c r="E84" s="124" t="s">
        <v>2401</v>
      </c>
      <c r="F84" s="128" t="s">
        <v>2402</v>
      </c>
      <c r="G84" s="125" t="s">
        <v>2403</v>
      </c>
      <c r="H84" s="12"/>
      <c r="I84" s="12"/>
      <c r="J84" s="12"/>
      <c r="K84" s="12"/>
      <c r="L84" s="12"/>
      <c r="M84" s="12"/>
      <c r="N84" s="12"/>
      <c r="O84" s="12"/>
      <c r="P84" s="12"/>
      <c r="Q84" s="12"/>
      <c r="R84" s="12"/>
      <c r="S84" s="12"/>
      <c r="T84" s="12"/>
      <c r="U84" s="12"/>
      <c r="V84" s="12"/>
      <c r="W84" s="12"/>
      <c r="X84" s="12"/>
      <c r="Y84" s="12"/>
      <c r="Z84" s="12"/>
    </row>
    <row r="85" spans="1:26" ht="22.5" customHeight="1">
      <c r="A85" s="6" t="s">
        <v>2081</v>
      </c>
      <c r="B85" s="122">
        <v>83</v>
      </c>
      <c r="C85" s="123" t="s">
        <v>2404</v>
      </c>
      <c r="D85" s="123" t="s">
        <v>2405</v>
      </c>
      <c r="E85" s="124" t="s">
        <v>2406</v>
      </c>
      <c r="F85" s="128" t="s">
        <v>2407</v>
      </c>
      <c r="G85" s="125" t="s">
        <v>2408</v>
      </c>
      <c r="H85" s="12"/>
      <c r="I85" s="12"/>
      <c r="J85" s="12"/>
      <c r="K85" s="12"/>
      <c r="L85" s="12"/>
      <c r="M85" s="12"/>
      <c r="N85" s="12"/>
      <c r="O85" s="12"/>
      <c r="P85" s="12"/>
      <c r="Q85" s="12"/>
      <c r="R85" s="12"/>
      <c r="S85" s="12"/>
      <c r="T85" s="12"/>
      <c r="U85" s="12"/>
      <c r="V85" s="12"/>
      <c r="W85" s="12"/>
      <c r="X85" s="12"/>
      <c r="Y85" s="12"/>
      <c r="Z85" s="12"/>
    </row>
    <row r="86" spans="1:26" ht="22.5" customHeight="1">
      <c r="A86" s="6" t="s">
        <v>2081</v>
      </c>
      <c r="B86" s="122">
        <v>84</v>
      </c>
      <c r="C86" s="123" t="s">
        <v>2404</v>
      </c>
      <c r="D86" s="123" t="s">
        <v>2409</v>
      </c>
      <c r="E86" s="124" t="s">
        <v>2410</v>
      </c>
      <c r="F86" s="128" t="s">
        <v>2411</v>
      </c>
      <c r="G86" s="125" t="s">
        <v>2412</v>
      </c>
      <c r="H86" s="12"/>
      <c r="I86" s="12"/>
      <c r="J86" s="12"/>
      <c r="K86" s="12"/>
      <c r="L86" s="12"/>
      <c r="M86" s="12"/>
      <c r="N86" s="12"/>
      <c r="O86" s="12"/>
      <c r="P86" s="12"/>
      <c r="Q86" s="12"/>
      <c r="R86" s="12"/>
      <c r="S86" s="12"/>
      <c r="T86" s="12"/>
      <c r="U86" s="12"/>
      <c r="V86" s="12"/>
      <c r="W86" s="12"/>
      <c r="X86" s="12"/>
      <c r="Y86" s="12"/>
      <c r="Z86" s="12"/>
    </row>
    <row r="87" spans="1:26" ht="22.5" customHeight="1">
      <c r="A87" s="6" t="s">
        <v>2081</v>
      </c>
      <c r="B87" s="122">
        <v>85</v>
      </c>
      <c r="C87" s="123" t="s">
        <v>2404</v>
      </c>
      <c r="D87" s="123" t="s">
        <v>2413</v>
      </c>
      <c r="E87" s="124" t="s">
        <v>2414</v>
      </c>
      <c r="F87" s="128" t="s">
        <v>2415</v>
      </c>
      <c r="G87" s="125" t="s">
        <v>2416</v>
      </c>
      <c r="H87" s="12"/>
      <c r="I87" s="12"/>
      <c r="J87" s="12"/>
      <c r="K87" s="12"/>
      <c r="L87" s="12"/>
      <c r="M87" s="12"/>
      <c r="N87" s="12"/>
      <c r="O87" s="12"/>
      <c r="P87" s="12"/>
      <c r="Q87" s="12"/>
      <c r="R87" s="12"/>
      <c r="S87" s="12"/>
      <c r="T87" s="12"/>
      <c r="U87" s="12"/>
      <c r="V87" s="12"/>
      <c r="W87" s="12"/>
      <c r="X87" s="12"/>
      <c r="Y87" s="12"/>
      <c r="Z87" s="12"/>
    </row>
    <row r="88" spans="1:26" ht="22.5" customHeight="1">
      <c r="A88" s="6" t="s">
        <v>2081</v>
      </c>
      <c r="B88" s="122">
        <v>86</v>
      </c>
      <c r="C88" s="123" t="s">
        <v>2404</v>
      </c>
      <c r="D88" s="123" t="s">
        <v>2417</v>
      </c>
      <c r="E88" s="124" t="s">
        <v>2418</v>
      </c>
      <c r="F88" s="128" t="s">
        <v>2419</v>
      </c>
      <c r="G88" s="125" t="s">
        <v>2420</v>
      </c>
      <c r="H88" s="12"/>
      <c r="I88" s="12"/>
      <c r="J88" s="12"/>
      <c r="K88" s="12"/>
      <c r="L88" s="12"/>
      <c r="M88" s="12"/>
      <c r="N88" s="12"/>
      <c r="O88" s="12"/>
      <c r="P88" s="12"/>
      <c r="Q88" s="12"/>
      <c r="R88" s="12"/>
      <c r="S88" s="12"/>
      <c r="T88" s="12"/>
      <c r="U88" s="12"/>
      <c r="V88" s="12"/>
      <c r="W88" s="12"/>
      <c r="X88" s="12"/>
      <c r="Y88" s="12"/>
      <c r="Z88" s="12"/>
    </row>
    <row r="89" spans="1:26" ht="22.5" customHeight="1">
      <c r="A89" s="6" t="s">
        <v>2081</v>
      </c>
      <c r="B89" s="122">
        <v>87</v>
      </c>
      <c r="C89" s="123" t="s">
        <v>2404</v>
      </c>
      <c r="D89" s="123" t="s">
        <v>2421</v>
      </c>
      <c r="E89" s="124" t="s">
        <v>2422</v>
      </c>
      <c r="F89" s="128" t="s">
        <v>2423</v>
      </c>
      <c r="G89" s="126" t="s">
        <v>2424</v>
      </c>
      <c r="H89" s="12"/>
      <c r="I89" s="12"/>
      <c r="J89" s="12"/>
      <c r="K89" s="12"/>
      <c r="L89" s="12"/>
      <c r="M89" s="12"/>
      <c r="N89" s="12"/>
      <c r="O89" s="12"/>
      <c r="P89" s="12"/>
      <c r="Q89" s="12"/>
      <c r="R89" s="12"/>
      <c r="S89" s="12"/>
      <c r="T89" s="12"/>
      <c r="U89" s="12"/>
      <c r="V89" s="12"/>
      <c r="W89" s="12"/>
      <c r="X89" s="12"/>
      <c r="Y89" s="12"/>
      <c r="Z89" s="12"/>
    </row>
    <row r="90" spans="1:26" ht="22.5" customHeight="1">
      <c r="A90" s="6" t="s">
        <v>2081</v>
      </c>
      <c r="B90" s="122">
        <v>88</v>
      </c>
      <c r="C90" s="123" t="s">
        <v>2404</v>
      </c>
      <c r="D90" s="123" t="s">
        <v>2425</v>
      </c>
      <c r="E90" s="124" t="s">
        <v>2426</v>
      </c>
      <c r="F90" s="128" t="s">
        <v>2427</v>
      </c>
      <c r="G90" s="125" t="s">
        <v>2428</v>
      </c>
      <c r="H90" s="12"/>
      <c r="I90" s="12"/>
      <c r="J90" s="12"/>
      <c r="K90" s="12"/>
      <c r="L90" s="12"/>
      <c r="M90" s="12"/>
      <c r="N90" s="12"/>
      <c r="O90" s="12"/>
      <c r="P90" s="12"/>
      <c r="Q90" s="12"/>
      <c r="R90" s="12"/>
      <c r="S90" s="12"/>
      <c r="T90" s="12"/>
      <c r="U90" s="12"/>
      <c r="V90" s="12"/>
      <c r="W90" s="12"/>
      <c r="X90" s="12"/>
      <c r="Y90" s="12"/>
      <c r="Z90" s="12"/>
    </row>
    <row r="91" spans="1:26" ht="22.5" customHeight="1">
      <c r="A91" s="6" t="s">
        <v>2081</v>
      </c>
      <c r="B91" s="122">
        <v>89</v>
      </c>
      <c r="C91" s="123" t="s">
        <v>2404</v>
      </c>
      <c r="D91" s="123" t="s">
        <v>2429</v>
      </c>
      <c r="E91" s="124" t="s">
        <v>2430</v>
      </c>
      <c r="F91" s="128" t="s">
        <v>2431</v>
      </c>
      <c r="G91" s="125" t="s">
        <v>2432</v>
      </c>
      <c r="H91" s="12"/>
      <c r="I91" s="12"/>
      <c r="J91" s="12"/>
      <c r="K91" s="12"/>
      <c r="L91" s="12"/>
      <c r="M91" s="12"/>
      <c r="N91" s="12"/>
      <c r="O91" s="12"/>
      <c r="P91" s="12"/>
      <c r="Q91" s="12"/>
      <c r="R91" s="12"/>
      <c r="S91" s="12"/>
      <c r="T91" s="12"/>
      <c r="U91" s="12"/>
      <c r="V91" s="12"/>
      <c r="W91" s="12"/>
      <c r="X91" s="12"/>
      <c r="Y91" s="12"/>
      <c r="Z91" s="12"/>
    </row>
    <row r="92" spans="1:26" ht="22.5" customHeight="1">
      <c r="A92" s="6" t="s">
        <v>2081</v>
      </c>
      <c r="B92" s="122">
        <v>90</v>
      </c>
      <c r="C92" s="123" t="s">
        <v>2404</v>
      </c>
      <c r="D92" s="123" t="s">
        <v>2433</v>
      </c>
      <c r="E92" s="124" t="s">
        <v>2434</v>
      </c>
      <c r="F92" s="128" t="s">
        <v>2435</v>
      </c>
      <c r="G92" s="126" t="s">
        <v>2436</v>
      </c>
      <c r="H92" s="12"/>
      <c r="I92" s="12"/>
      <c r="J92" s="12"/>
      <c r="K92" s="12"/>
      <c r="L92" s="12"/>
      <c r="M92" s="12"/>
      <c r="N92" s="12"/>
      <c r="O92" s="12"/>
      <c r="P92" s="12"/>
      <c r="Q92" s="12"/>
      <c r="R92" s="12"/>
      <c r="S92" s="12"/>
      <c r="T92" s="12"/>
      <c r="U92" s="12"/>
      <c r="V92" s="12"/>
      <c r="W92" s="12"/>
      <c r="X92" s="12"/>
      <c r="Y92" s="12"/>
      <c r="Z92" s="12"/>
    </row>
    <row r="93" spans="1:26" ht="22.5" customHeight="1">
      <c r="A93" s="6" t="s">
        <v>2081</v>
      </c>
      <c r="B93" s="122">
        <v>91</v>
      </c>
      <c r="C93" s="123" t="s">
        <v>2404</v>
      </c>
      <c r="D93" s="123" t="s">
        <v>2437</v>
      </c>
      <c r="E93" s="124" t="s">
        <v>2438</v>
      </c>
      <c r="F93" s="128" t="s">
        <v>2439</v>
      </c>
      <c r="G93" s="126" t="s">
        <v>2440</v>
      </c>
      <c r="H93" s="12"/>
      <c r="I93" s="12"/>
      <c r="J93" s="12"/>
      <c r="K93" s="12"/>
      <c r="L93" s="12"/>
      <c r="M93" s="12"/>
      <c r="N93" s="12"/>
      <c r="O93" s="12"/>
      <c r="P93" s="12"/>
      <c r="Q93" s="12"/>
      <c r="R93" s="12"/>
      <c r="S93" s="12"/>
      <c r="T93" s="12"/>
      <c r="U93" s="12"/>
      <c r="V93" s="12"/>
      <c r="W93" s="12"/>
      <c r="X93" s="12"/>
      <c r="Y93" s="12"/>
      <c r="Z93" s="12"/>
    </row>
    <row r="94" spans="1:26" ht="22.5" customHeight="1">
      <c r="A94" s="6" t="s">
        <v>2081</v>
      </c>
      <c r="B94" s="122">
        <v>92</v>
      </c>
      <c r="C94" s="123">
        <v>3.3</v>
      </c>
      <c r="D94" s="123" t="s">
        <v>2441</v>
      </c>
      <c r="E94" s="124" t="s">
        <v>2442</v>
      </c>
      <c r="F94" s="128" t="s">
        <v>2443</v>
      </c>
      <c r="G94" s="125" t="s">
        <v>2444</v>
      </c>
      <c r="H94" s="12"/>
      <c r="I94" s="12"/>
      <c r="J94" s="12"/>
      <c r="K94" s="12"/>
      <c r="L94" s="12"/>
      <c r="M94" s="12"/>
      <c r="N94" s="12"/>
      <c r="O94" s="12"/>
      <c r="P94" s="12"/>
      <c r="Q94" s="12"/>
      <c r="R94" s="12"/>
      <c r="S94" s="12"/>
      <c r="T94" s="12"/>
      <c r="U94" s="12"/>
      <c r="V94" s="12"/>
      <c r="W94" s="12"/>
      <c r="X94" s="12"/>
      <c r="Y94" s="12"/>
      <c r="Z94" s="12"/>
    </row>
    <row r="95" spans="1:26" ht="22.5" customHeight="1">
      <c r="A95" s="6" t="s">
        <v>2081</v>
      </c>
      <c r="B95" s="122">
        <v>93</v>
      </c>
      <c r="C95" s="123" t="s">
        <v>2445</v>
      </c>
      <c r="D95" s="123" t="s">
        <v>84</v>
      </c>
      <c r="E95" s="124" t="s">
        <v>2446</v>
      </c>
      <c r="F95" s="128" t="s">
        <v>2447</v>
      </c>
      <c r="G95" s="125" t="s">
        <v>2448</v>
      </c>
      <c r="H95" s="12"/>
      <c r="I95" s="12"/>
      <c r="J95" s="12"/>
      <c r="K95" s="12"/>
      <c r="L95" s="12"/>
      <c r="M95" s="12"/>
      <c r="N95" s="12"/>
      <c r="O95" s="12"/>
      <c r="P95" s="12"/>
      <c r="Q95" s="12"/>
      <c r="R95" s="12"/>
      <c r="S95" s="12"/>
      <c r="T95" s="12"/>
      <c r="U95" s="12"/>
      <c r="V95" s="12"/>
      <c r="W95" s="12"/>
      <c r="X95" s="12"/>
      <c r="Y95" s="12"/>
      <c r="Z95" s="12"/>
    </row>
    <row r="96" spans="1:26" ht="22.5" customHeight="1">
      <c r="A96" s="6" t="s">
        <v>2081</v>
      </c>
      <c r="B96" s="122">
        <v>94</v>
      </c>
      <c r="C96" s="123" t="s">
        <v>2449</v>
      </c>
      <c r="D96" s="123" t="s">
        <v>2450</v>
      </c>
      <c r="E96" s="124" t="s">
        <v>2451</v>
      </c>
      <c r="F96" s="128" t="s">
        <v>2452</v>
      </c>
      <c r="G96" s="126" t="s">
        <v>2453</v>
      </c>
      <c r="H96" s="12"/>
      <c r="I96" s="12"/>
      <c r="J96" s="12"/>
      <c r="K96" s="12"/>
      <c r="L96" s="12"/>
      <c r="M96" s="12"/>
      <c r="N96" s="12"/>
      <c r="O96" s="12"/>
      <c r="P96" s="12"/>
      <c r="Q96" s="12"/>
      <c r="R96" s="12"/>
      <c r="S96" s="12"/>
      <c r="T96" s="12"/>
      <c r="U96" s="12"/>
      <c r="V96" s="12"/>
      <c r="W96" s="12"/>
      <c r="X96" s="12"/>
      <c r="Y96" s="12"/>
      <c r="Z96" s="12"/>
    </row>
    <row r="97" spans="1:26" ht="22.5" customHeight="1">
      <c r="A97" s="6" t="s">
        <v>2081</v>
      </c>
      <c r="B97" s="122">
        <v>95</v>
      </c>
      <c r="C97" s="123" t="s">
        <v>2449</v>
      </c>
      <c r="D97" s="123" t="s">
        <v>2454</v>
      </c>
      <c r="E97" s="124" t="s">
        <v>2455</v>
      </c>
      <c r="F97" s="128" t="s">
        <v>2456</v>
      </c>
      <c r="G97" s="126" t="s">
        <v>2457</v>
      </c>
      <c r="H97" s="12"/>
      <c r="I97" s="12"/>
      <c r="J97" s="12"/>
      <c r="K97" s="12"/>
      <c r="L97" s="12"/>
      <c r="M97" s="12"/>
      <c r="N97" s="12"/>
      <c r="O97" s="12"/>
      <c r="P97" s="12"/>
      <c r="Q97" s="12"/>
      <c r="R97" s="12"/>
      <c r="S97" s="12"/>
      <c r="T97" s="12"/>
      <c r="U97" s="12"/>
      <c r="V97" s="12"/>
      <c r="W97" s="12"/>
      <c r="X97" s="12"/>
      <c r="Y97" s="12"/>
      <c r="Z97" s="12"/>
    </row>
    <row r="98" spans="1:26" ht="22.5" customHeight="1">
      <c r="A98" s="6" t="s">
        <v>2081</v>
      </c>
      <c r="B98" s="122">
        <v>96</v>
      </c>
      <c r="C98" s="123" t="s">
        <v>2449</v>
      </c>
      <c r="D98" s="123" t="s">
        <v>2458</v>
      </c>
      <c r="E98" s="124" t="s">
        <v>2459</v>
      </c>
      <c r="F98" s="128" t="s">
        <v>2460</v>
      </c>
      <c r="G98" s="126" t="s">
        <v>2461</v>
      </c>
      <c r="H98" s="12"/>
      <c r="I98" s="12"/>
      <c r="J98" s="12"/>
      <c r="K98" s="12"/>
      <c r="L98" s="12"/>
      <c r="M98" s="12"/>
      <c r="N98" s="12"/>
      <c r="O98" s="12"/>
      <c r="P98" s="12"/>
      <c r="Q98" s="12"/>
      <c r="R98" s="12"/>
      <c r="S98" s="12"/>
      <c r="T98" s="12"/>
      <c r="U98" s="12"/>
      <c r="V98" s="12"/>
      <c r="W98" s="12"/>
      <c r="X98" s="12"/>
      <c r="Y98" s="12"/>
      <c r="Z98" s="12"/>
    </row>
    <row r="99" spans="1:26" ht="22.5" customHeight="1">
      <c r="A99" s="6" t="s">
        <v>2081</v>
      </c>
      <c r="B99" s="122">
        <v>97</v>
      </c>
      <c r="C99" s="123">
        <v>3.7</v>
      </c>
      <c r="D99" s="123" t="s">
        <v>2462</v>
      </c>
      <c r="E99" s="124" t="s">
        <v>2463</v>
      </c>
      <c r="F99" s="128" t="s">
        <v>2464</v>
      </c>
      <c r="G99" s="125" t="s">
        <v>2465</v>
      </c>
      <c r="H99" s="12"/>
      <c r="I99" s="12"/>
      <c r="J99" s="12"/>
      <c r="K99" s="12"/>
      <c r="L99" s="12"/>
      <c r="M99" s="12"/>
      <c r="N99" s="12"/>
      <c r="O99" s="12"/>
      <c r="P99" s="12"/>
      <c r="Q99" s="12"/>
      <c r="R99" s="12"/>
      <c r="S99" s="12"/>
      <c r="T99" s="12"/>
      <c r="U99" s="12"/>
      <c r="V99" s="12"/>
      <c r="W99" s="12"/>
      <c r="X99" s="12"/>
      <c r="Y99" s="12"/>
      <c r="Z99" s="12"/>
    </row>
    <row r="100" spans="1:26" ht="22.5" customHeight="1">
      <c r="A100" s="6" t="s">
        <v>2081</v>
      </c>
      <c r="B100" s="122">
        <v>98</v>
      </c>
      <c r="C100" s="123">
        <v>3.7</v>
      </c>
      <c r="D100" s="123" t="s">
        <v>1846</v>
      </c>
      <c r="E100" s="124" t="s">
        <v>2466</v>
      </c>
      <c r="F100" s="128" t="s">
        <v>2467</v>
      </c>
      <c r="G100" s="126" t="s">
        <v>2468</v>
      </c>
      <c r="H100" s="12"/>
      <c r="I100" s="12"/>
      <c r="J100" s="12"/>
      <c r="K100" s="12"/>
      <c r="L100" s="12"/>
      <c r="M100" s="12"/>
      <c r="N100" s="12"/>
      <c r="O100" s="12"/>
      <c r="P100" s="12"/>
      <c r="Q100" s="12"/>
      <c r="R100" s="12"/>
      <c r="S100" s="12"/>
      <c r="T100" s="12"/>
      <c r="U100" s="12"/>
      <c r="V100" s="12"/>
      <c r="W100" s="12"/>
      <c r="X100" s="12"/>
      <c r="Y100" s="12"/>
      <c r="Z100" s="12"/>
    </row>
    <row r="101" spans="1:26" ht="22.5" customHeight="1">
      <c r="A101" s="6" t="s">
        <v>2081</v>
      </c>
      <c r="B101" s="122">
        <v>99</v>
      </c>
      <c r="C101" s="123" t="s">
        <v>1846</v>
      </c>
      <c r="D101" s="123" t="s">
        <v>2469</v>
      </c>
      <c r="E101" s="124" t="s">
        <v>2470</v>
      </c>
      <c r="F101" s="128" t="s">
        <v>2471</v>
      </c>
      <c r="G101" s="125" t="s">
        <v>2472</v>
      </c>
      <c r="H101" s="12"/>
      <c r="I101" s="12"/>
      <c r="J101" s="12"/>
      <c r="K101" s="12"/>
      <c r="L101" s="12"/>
      <c r="M101" s="12"/>
      <c r="N101" s="12"/>
      <c r="O101" s="12"/>
      <c r="P101" s="12"/>
      <c r="Q101" s="12"/>
      <c r="R101" s="12"/>
      <c r="S101" s="12"/>
      <c r="T101" s="12"/>
      <c r="U101" s="12"/>
      <c r="V101" s="12"/>
      <c r="W101" s="12"/>
      <c r="X101" s="12"/>
      <c r="Y101" s="12"/>
      <c r="Z101" s="12"/>
    </row>
    <row r="102" spans="1:26" ht="22.5" customHeight="1">
      <c r="A102" s="6" t="s">
        <v>2081</v>
      </c>
      <c r="B102" s="122">
        <v>100</v>
      </c>
      <c r="C102" s="123" t="s">
        <v>2473</v>
      </c>
      <c r="D102" s="123" t="s">
        <v>2474</v>
      </c>
      <c r="E102" s="124" t="s">
        <v>2475</v>
      </c>
      <c r="F102" s="128" t="s">
        <v>2476</v>
      </c>
      <c r="G102" s="125" t="s">
        <v>2477</v>
      </c>
      <c r="H102" s="12"/>
      <c r="I102" s="12"/>
      <c r="J102" s="12"/>
      <c r="K102" s="12"/>
      <c r="L102" s="12"/>
      <c r="M102" s="12"/>
      <c r="N102" s="12"/>
      <c r="O102" s="12"/>
      <c r="P102" s="12"/>
      <c r="Q102" s="12"/>
      <c r="R102" s="12"/>
      <c r="S102" s="12"/>
      <c r="T102" s="12"/>
      <c r="U102" s="12"/>
      <c r="V102" s="12"/>
      <c r="W102" s="12"/>
      <c r="X102" s="12"/>
      <c r="Y102" s="12"/>
      <c r="Z102" s="12"/>
    </row>
    <row r="103" spans="1:26" ht="22.5" customHeight="1">
      <c r="A103" s="6" t="s">
        <v>2081</v>
      </c>
      <c r="B103" s="122">
        <v>101</v>
      </c>
      <c r="C103" s="123" t="s">
        <v>2473</v>
      </c>
      <c r="D103" s="123" t="s">
        <v>2478</v>
      </c>
      <c r="E103" s="124" t="s">
        <v>2479</v>
      </c>
      <c r="F103" s="128" t="s">
        <v>2480</v>
      </c>
      <c r="G103" s="125" t="s">
        <v>2481</v>
      </c>
      <c r="H103" s="12"/>
      <c r="I103" s="12"/>
      <c r="J103" s="12"/>
      <c r="K103" s="12"/>
      <c r="L103" s="12"/>
      <c r="M103" s="12"/>
      <c r="N103" s="12"/>
      <c r="O103" s="12"/>
      <c r="P103" s="12"/>
      <c r="Q103" s="12"/>
      <c r="R103" s="12"/>
      <c r="S103" s="12"/>
      <c r="T103" s="12"/>
      <c r="U103" s="12"/>
      <c r="V103" s="12"/>
      <c r="W103" s="12"/>
      <c r="X103" s="12"/>
      <c r="Y103" s="12"/>
      <c r="Z103" s="12"/>
    </row>
    <row r="104" spans="1:26" ht="22.5" customHeight="1">
      <c r="A104" s="6" t="s">
        <v>2081</v>
      </c>
      <c r="B104" s="122">
        <v>102</v>
      </c>
      <c r="C104" s="123">
        <v>3.7</v>
      </c>
      <c r="D104" s="123" t="s">
        <v>2482</v>
      </c>
      <c r="E104" s="124" t="s">
        <v>2483</v>
      </c>
      <c r="F104" s="128" t="s">
        <v>2484</v>
      </c>
      <c r="G104" s="125" t="s">
        <v>2485</v>
      </c>
      <c r="H104" s="12"/>
      <c r="I104" s="12"/>
      <c r="J104" s="12"/>
      <c r="K104" s="12"/>
      <c r="L104" s="12"/>
      <c r="M104" s="12"/>
      <c r="N104" s="12"/>
      <c r="O104" s="12"/>
      <c r="P104" s="12"/>
      <c r="Q104" s="12"/>
      <c r="R104" s="12"/>
      <c r="S104" s="12"/>
      <c r="T104" s="12"/>
      <c r="U104" s="12"/>
      <c r="V104" s="12"/>
      <c r="W104" s="12"/>
      <c r="X104" s="12"/>
      <c r="Y104" s="12"/>
      <c r="Z104" s="12"/>
    </row>
    <row r="105" spans="1:26" ht="22.5" customHeight="1">
      <c r="A105" s="6" t="s">
        <v>2081</v>
      </c>
      <c r="B105" s="122">
        <v>103</v>
      </c>
      <c r="C105" s="123">
        <v>3.7</v>
      </c>
      <c r="D105" s="123" t="s">
        <v>2486</v>
      </c>
      <c r="E105" s="124" t="s">
        <v>2487</v>
      </c>
      <c r="F105" s="128" t="s">
        <v>2488</v>
      </c>
      <c r="G105" s="125" t="s">
        <v>2489</v>
      </c>
      <c r="H105" s="12"/>
      <c r="I105" s="12"/>
      <c r="J105" s="12"/>
      <c r="K105" s="12"/>
      <c r="L105" s="12"/>
      <c r="M105" s="12"/>
      <c r="N105" s="12"/>
      <c r="O105" s="12"/>
      <c r="P105" s="12"/>
      <c r="Q105" s="12"/>
      <c r="R105" s="12"/>
      <c r="S105" s="12"/>
      <c r="T105" s="12"/>
      <c r="U105" s="12"/>
      <c r="V105" s="12"/>
      <c r="W105" s="12"/>
      <c r="X105" s="12"/>
      <c r="Y105" s="12"/>
      <c r="Z105" s="12"/>
    </row>
    <row r="106" spans="1:26" ht="22.5" customHeight="1">
      <c r="A106" s="6" t="s">
        <v>2081</v>
      </c>
      <c r="B106" s="122">
        <v>104</v>
      </c>
      <c r="C106" s="123" t="s">
        <v>2486</v>
      </c>
      <c r="D106" s="123" t="s">
        <v>2490</v>
      </c>
      <c r="E106" s="124" t="s">
        <v>2491</v>
      </c>
      <c r="F106" s="128" t="s">
        <v>2492</v>
      </c>
      <c r="G106" s="125" t="s">
        <v>2493</v>
      </c>
      <c r="H106" s="12"/>
      <c r="I106" s="12"/>
      <c r="J106" s="12"/>
      <c r="K106" s="12"/>
      <c r="L106" s="12"/>
      <c r="M106" s="12"/>
      <c r="N106" s="12"/>
      <c r="O106" s="12"/>
      <c r="P106" s="12"/>
      <c r="Q106" s="12"/>
      <c r="R106" s="12"/>
      <c r="S106" s="12"/>
      <c r="T106" s="12"/>
      <c r="U106" s="12"/>
      <c r="V106" s="12"/>
      <c r="W106" s="12"/>
      <c r="X106" s="12"/>
      <c r="Y106" s="12"/>
      <c r="Z106" s="12"/>
    </row>
    <row r="107" spans="1:26" ht="22.5" customHeight="1">
      <c r="A107" s="6" t="s">
        <v>2081</v>
      </c>
      <c r="B107" s="122">
        <v>105</v>
      </c>
      <c r="C107" s="123" t="s">
        <v>1852</v>
      </c>
      <c r="D107" s="123" t="s">
        <v>2494</v>
      </c>
      <c r="E107" s="124" t="s">
        <v>2495</v>
      </c>
      <c r="F107" s="128" t="s">
        <v>2496</v>
      </c>
      <c r="G107" s="126" t="s">
        <v>2497</v>
      </c>
      <c r="H107" s="12"/>
      <c r="I107" s="12"/>
      <c r="J107" s="12"/>
      <c r="K107" s="12"/>
      <c r="L107" s="12"/>
      <c r="M107" s="12"/>
      <c r="N107" s="12"/>
      <c r="O107" s="12"/>
      <c r="P107" s="12"/>
      <c r="Q107" s="12"/>
      <c r="R107" s="12"/>
      <c r="S107" s="12"/>
      <c r="T107" s="12"/>
      <c r="U107" s="12"/>
      <c r="V107" s="12"/>
      <c r="W107" s="12"/>
      <c r="X107" s="12"/>
      <c r="Y107" s="12"/>
      <c r="Z107" s="12"/>
    </row>
    <row r="108" spans="1:26" ht="22.5" customHeight="1">
      <c r="A108" s="6" t="s">
        <v>2081</v>
      </c>
      <c r="B108" s="122">
        <v>106</v>
      </c>
      <c r="C108" s="123" t="s">
        <v>1852</v>
      </c>
      <c r="D108" s="123" t="s">
        <v>2498</v>
      </c>
      <c r="E108" s="124" t="s">
        <v>2499</v>
      </c>
      <c r="F108" s="128" t="s">
        <v>2500</v>
      </c>
      <c r="G108" s="126" t="s">
        <v>2501</v>
      </c>
      <c r="H108" s="12"/>
      <c r="I108" s="12"/>
      <c r="J108" s="12"/>
      <c r="K108" s="12"/>
      <c r="L108" s="12"/>
      <c r="M108" s="12"/>
      <c r="N108" s="12"/>
      <c r="O108" s="12"/>
      <c r="P108" s="12"/>
      <c r="Q108" s="12"/>
      <c r="R108" s="12"/>
      <c r="S108" s="12"/>
      <c r="T108" s="12"/>
      <c r="U108" s="12"/>
      <c r="V108" s="12"/>
      <c r="W108" s="12"/>
      <c r="X108" s="12"/>
      <c r="Y108" s="12"/>
      <c r="Z108" s="12"/>
    </row>
    <row r="109" spans="1:26" ht="22.5" customHeight="1">
      <c r="A109" s="6" t="s">
        <v>2081</v>
      </c>
      <c r="B109" s="122">
        <v>107</v>
      </c>
      <c r="C109" s="123" t="s">
        <v>1852</v>
      </c>
      <c r="D109" s="123" t="s">
        <v>2502</v>
      </c>
      <c r="E109" s="124" t="s">
        <v>2503</v>
      </c>
      <c r="F109" s="128" t="s">
        <v>2504</v>
      </c>
      <c r="G109" s="125" t="s">
        <v>2412</v>
      </c>
      <c r="H109" s="12"/>
      <c r="I109" s="12"/>
      <c r="J109" s="12"/>
      <c r="K109" s="12"/>
      <c r="L109" s="12"/>
      <c r="M109" s="12"/>
      <c r="N109" s="12"/>
      <c r="O109" s="12"/>
      <c r="P109" s="12"/>
      <c r="Q109" s="12"/>
      <c r="R109" s="12"/>
      <c r="S109" s="12"/>
      <c r="T109" s="12"/>
      <c r="U109" s="12"/>
      <c r="V109" s="12"/>
      <c r="W109" s="12"/>
      <c r="X109" s="12"/>
      <c r="Y109" s="12"/>
      <c r="Z109" s="12"/>
    </row>
    <row r="110" spans="1:26" ht="22.5" customHeight="1">
      <c r="A110" s="6" t="s">
        <v>2081</v>
      </c>
      <c r="B110" s="122">
        <v>108</v>
      </c>
      <c r="C110" s="123" t="s">
        <v>2505</v>
      </c>
      <c r="D110" s="123" t="s">
        <v>2506</v>
      </c>
      <c r="E110" s="124" t="s">
        <v>2507</v>
      </c>
      <c r="F110" s="128" t="s">
        <v>2508</v>
      </c>
      <c r="G110" s="125" t="s">
        <v>2509</v>
      </c>
      <c r="H110" s="12"/>
      <c r="I110" s="12"/>
      <c r="J110" s="12"/>
      <c r="K110" s="12"/>
      <c r="L110" s="12"/>
      <c r="M110" s="12"/>
      <c r="N110" s="12"/>
      <c r="O110" s="12"/>
      <c r="P110" s="12"/>
      <c r="Q110" s="12"/>
      <c r="R110" s="12"/>
      <c r="S110" s="12"/>
      <c r="T110" s="12"/>
      <c r="U110" s="12"/>
      <c r="V110" s="12"/>
      <c r="W110" s="12"/>
      <c r="X110" s="12"/>
      <c r="Y110" s="12"/>
      <c r="Z110" s="12"/>
    </row>
    <row r="111" spans="1:26" ht="22.5" customHeight="1">
      <c r="A111" s="6" t="s">
        <v>2081</v>
      </c>
      <c r="B111" s="122">
        <v>109</v>
      </c>
      <c r="C111" s="123" t="s">
        <v>2505</v>
      </c>
      <c r="D111" s="123" t="s">
        <v>2510</v>
      </c>
      <c r="E111" s="124" t="s">
        <v>2511</v>
      </c>
      <c r="F111" s="128" t="s">
        <v>2512</v>
      </c>
      <c r="G111" s="125" t="s">
        <v>2513</v>
      </c>
      <c r="H111" s="12"/>
      <c r="I111" s="12"/>
      <c r="J111" s="12"/>
      <c r="K111" s="12"/>
      <c r="L111" s="12"/>
      <c r="M111" s="12"/>
      <c r="N111" s="12"/>
      <c r="O111" s="12"/>
      <c r="P111" s="12"/>
      <c r="Q111" s="12"/>
      <c r="R111" s="12"/>
      <c r="S111" s="12"/>
      <c r="T111" s="12"/>
      <c r="U111" s="12"/>
      <c r="V111" s="12"/>
      <c r="W111" s="12"/>
      <c r="X111" s="12"/>
      <c r="Y111" s="12"/>
      <c r="Z111" s="12"/>
    </row>
    <row r="112" spans="1:26" ht="22.5" customHeight="1">
      <c r="A112" s="6" t="s">
        <v>2081</v>
      </c>
      <c r="B112" s="122">
        <v>110</v>
      </c>
      <c r="C112" s="123" t="s">
        <v>2514</v>
      </c>
      <c r="D112" s="123" t="s">
        <v>2515</v>
      </c>
      <c r="E112" s="124" t="s">
        <v>2516</v>
      </c>
      <c r="F112" s="128" t="s">
        <v>2517</v>
      </c>
      <c r="G112" s="126" t="s">
        <v>2518</v>
      </c>
      <c r="H112" s="12"/>
      <c r="I112" s="12"/>
      <c r="J112" s="12"/>
      <c r="K112" s="12"/>
      <c r="L112" s="12"/>
      <c r="M112" s="12"/>
      <c r="N112" s="12"/>
      <c r="O112" s="12"/>
      <c r="P112" s="12"/>
      <c r="Q112" s="12"/>
      <c r="R112" s="12"/>
      <c r="S112" s="12"/>
      <c r="T112" s="12"/>
      <c r="U112" s="12"/>
      <c r="V112" s="12"/>
      <c r="W112" s="12"/>
      <c r="X112" s="12"/>
      <c r="Y112" s="12"/>
      <c r="Z112" s="12"/>
    </row>
    <row r="113" spans="1:26" ht="22.5" customHeight="1">
      <c r="A113" s="6" t="s">
        <v>2081</v>
      </c>
      <c r="B113" s="122">
        <v>111</v>
      </c>
      <c r="C113" s="123">
        <v>3.7</v>
      </c>
      <c r="D113" s="123" t="s">
        <v>2519</v>
      </c>
      <c r="E113" s="124" t="s">
        <v>2520</v>
      </c>
      <c r="F113" s="128" t="s">
        <v>2521</v>
      </c>
      <c r="G113" s="126" t="s">
        <v>2522</v>
      </c>
      <c r="H113" s="12"/>
      <c r="I113" s="12"/>
      <c r="J113" s="12"/>
      <c r="K113" s="12"/>
      <c r="L113" s="12"/>
      <c r="M113" s="12"/>
      <c r="N113" s="12"/>
      <c r="O113" s="12"/>
      <c r="P113" s="12"/>
      <c r="Q113" s="12"/>
      <c r="R113" s="12"/>
      <c r="S113" s="12"/>
      <c r="T113" s="12"/>
      <c r="U113" s="12"/>
      <c r="V113" s="12"/>
      <c r="W113" s="12"/>
      <c r="X113" s="12"/>
      <c r="Y113" s="12"/>
      <c r="Z113" s="12"/>
    </row>
    <row r="114" spans="1:26" ht="22.5" customHeight="1">
      <c r="A114" s="6" t="s">
        <v>2081</v>
      </c>
      <c r="B114" s="122">
        <v>112</v>
      </c>
      <c r="C114" s="123" t="s">
        <v>2519</v>
      </c>
      <c r="D114" s="123" t="s">
        <v>2523</v>
      </c>
      <c r="E114" s="124" t="s">
        <v>2524</v>
      </c>
      <c r="F114" s="128" t="s">
        <v>2525</v>
      </c>
      <c r="G114" s="126" t="s">
        <v>2526</v>
      </c>
      <c r="H114" s="12"/>
      <c r="I114" s="12"/>
      <c r="J114" s="12"/>
      <c r="K114" s="12"/>
      <c r="L114" s="12"/>
      <c r="M114" s="12"/>
      <c r="N114" s="12"/>
      <c r="O114" s="12"/>
      <c r="P114" s="12"/>
      <c r="Q114" s="12"/>
      <c r="R114" s="12"/>
      <c r="S114" s="12"/>
      <c r="T114" s="12"/>
      <c r="U114" s="12"/>
      <c r="V114" s="12"/>
      <c r="W114" s="12"/>
      <c r="X114" s="12"/>
      <c r="Y114" s="12"/>
      <c r="Z114" s="12"/>
    </row>
    <row r="115" spans="1:26" ht="22.5" customHeight="1">
      <c r="A115" s="6" t="s">
        <v>2081</v>
      </c>
      <c r="B115" s="122">
        <v>113</v>
      </c>
      <c r="C115" s="123" t="s">
        <v>2527</v>
      </c>
      <c r="D115" s="123" t="s">
        <v>2528</v>
      </c>
      <c r="E115" s="124" t="s">
        <v>2529</v>
      </c>
      <c r="F115" s="128" t="s">
        <v>2530</v>
      </c>
      <c r="G115" s="126" t="s">
        <v>2531</v>
      </c>
      <c r="H115" s="12"/>
      <c r="I115" s="12"/>
      <c r="J115" s="12"/>
      <c r="K115" s="12"/>
      <c r="L115" s="12"/>
      <c r="M115" s="12"/>
      <c r="N115" s="12"/>
      <c r="O115" s="12"/>
      <c r="P115" s="12"/>
      <c r="Q115" s="12"/>
      <c r="R115" s="12"/>
      <c r="S115" s="12"/>
      <c r="T115" s="12"/>
      <c r="U115" s="12"/>
      <c r="V115" s="12"/>
      <c r="W115" s="12"/>
      <c r="X115" s="12"/>
      <c r="Y115" s="12"/>
      <c r="Z115" s="12"/>
    </row>
    <row r="116" spans="1:26" ht="22.5" customHeight="1">
      <c r="A116" s="6" t="s">
        <v>2081</v>
      </c>
      <c r="B116" s="122">
        <v>114</v>
      </c>
      <c r="C116" s="123">
        <v>3.7</v>
      </c>
      <c r="D116" s="123" t="s">
        <v>2532</v>
      </c>
      <c r="E116" s="124" t="s">
        <v>2533</v>
      </c>
      <c r="F116" s="128" t="s">
        <v>2534</v>
      </c>
      <c r="G116" s="125" t="s">
        <v>2535</v>
      </c>
      <c r="H116" s="12"/>
      <c r="I116" s="12"/>
      <c r="J116" s="12"/>
      <c r="K116" s="12"/>
      <c r="L116" s="12"/>
      <c r="M116" s="12"/>
      <c r="N116" s="12"/>
      <c r="O116" s="12"/>
      <c r="P116" s="12"/>
      <c r="Q116" s="12"/>
      <c r="R116" s="12"/>
      <c r="S116" s="12"/>
      <c r="T116" s="12"/>
      <c r="U116" s="12"/>
      <c r="V116" s="12"/>
      <c r="W116" s="12"/>
      <c r="X116" s="12"/>
      <c r="Y116" s="12"/>
      <c r="Z116" s="12"/>
    </row>
    <row r="117" spans="1:26" ht="22.5" customHeight="1">
      <c r="A117" s="6" t="s">
        <v>2081</v>
      </c>
      <c r="B117" s="122">
        <v>115</v>
      </c>
      <c r="C117" s="123" t="s">
        <v>2536</v>
      </c>
      <c r="D117" s="123" t="s">
        <v>84</v>
      </c>
      <c r="E117" s="124" t="s">
        <v>2537</v>
      </c>
      <c r="F117" s="128" t="s">
        <v>2538</v>
      </c>
      <c r="G117" s="126" t="s">
        <v>2539</v>
      </c>
      <c r="H117" s="12"/>
      <c r="I117" s="12"/>
      <c r="J117" s="12"/>
      <c r="K117" s="12"/>
      <c r="L117" s="12"/>
      <c r="M117" s="12"/>
      <c r="N117" s="12"/>
      <c r="O117" s="12"/>
      <c r="P117" s="12"/>
      <c r="Q117" s="12"/>
      <c r="R117" s="12"/>
      <c r="S117" s="12"/>
      <c r="T117" s="12"/>
      <c r="U117" s="12"/>
      <c r="V117" s="12"/>
      <c r="W117" s="12"/>
      <c r="X117" s="12"/>
      <c r="Y117" s="12"/>
      <c r="Z117" s="12"/>
    </row>
    <row r="118" spans="1:26"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sheetData>
  <mergeCells count="7">
    <mergeCell ref="F1:F2"/>
    <mergeCell ref="G1:G2"/>
    <mergeCell ref="A1:A2"/>
    <mergeCell ref="B1:B2"/>
    <mergeCell ref="C1:C2"/>
    <mergeCell ref="D1:D2"/>
    <mergeCell ref="E1:E2"/>
  </mergeCells>
  <phoneticPr fontId="3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항우연_자문요청항목</vt:lpstr>
      <vt:lpstr>(평가요청)JSSG-2007A요구도_추적성</vt:lpstr>
      <vt:lpstr>(참고)JSSG-2007A_MOC_용어</vt:lpstr>
      <vt:lpstr>(참고)55종기술분류넘버링(PPT)</vt:lpstr>
      <vt:lpstr>(참고)TA1_시제개발RFP개발요구규격_넘버링</vt:lpstr>
      <vt:lpstr>(참고)TA2_55종기술분류넘버링</vt:lpstr>
      <vt:lpstr>(참고)TA3_시제개발RFP세부개발방안</vt:lpstr>
      <vt:lpstr>(참고)TB1_MIL-HDBK-516C-CH7원천자료_넘</vt:lpstr>
      <vt:lpstr>(참고)TB2_MIL-HDBK-516C-CH15원천자료_</vt:lpstr>
      <vt:lpstr>(참고)TB3_MIL-E-8593A챕터명칭_넘버링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parkseeun</cp:lastModifiedBy>
  <dcterms:modified xsi:type="dcterms:W3CDTF">2026-05-01T08:27:04Z</dcterms:modified>
</cp:coreProperties>
</file>